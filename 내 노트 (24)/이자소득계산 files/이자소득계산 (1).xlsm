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20" windowWidth="13995" windowHeight="490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G2" i="1" l="1"/>
  <c r="H3" i="1" l="1"/>
  <c r="D3" i="1"/>
  <c r="D2" i="1"/>
  <c r="G3" i="1"/>
  <c r="J3" i="1" s="1"/>
  <c r="K3" i="1" l="1"/>
  <c r="H2" i="1"/>
  <c r="J2" i="1"/>
  <c r="K2" i="1" l="1"/>
</calcChain>
</file>

<file path=xl/sharedStrings.xml><?xml version="1.0" encoding="utf-8"?>
<sst xmlns="http://schemas.openxmlformats.org/spreadsheetml/2006/main" count="21" uniqueCount="21">
  <si>
    <t>이율</t>
    <phoneticPr fontId="1" type="noConversion"/>
  </si>
  <si>
    <t xml:space="preserve"> 이자</t>
    <phoneticPr fontId="1" type="noConversion"/>
  </si>
  <si>
    <t>합계</t>
    <phoneticPr fontId="1" type="noConversion"/>
  </si>
  <si>
    <t>이자세율</t>
    <phoneticPr fontId="1" type="noConversion"/>
  </si>
  <si>
    <t>실지급금</t>
    <phoneticPr fontId="1" type="noConversion"/>
  </si>
  <si>
    <t>실이자</t>
    <phoneticPr fontId="1" type="noConversion"/>
  </si>
  <si>
    <t>복리</t>
    <phoneticPr fontId="1" type="noConversion"/>
  </si>
  <si>
    <t>단리</t>
  </si>
  <si>
    <t>단리</t>
    <phoneticPr fontId="1" type="noConversion"/>
  </si>
  <si>
    <t>복리</t>
  </si>
  <si>
    <t>총원금</t>
    <phoneticPr fontId="1" type="noConversion"/>
  </si>
  <si>
    <t>예금</t>
    <phoneticPr fontId="1" type="noConversion"/>
  </si>
  <si>
    <t>적금</t>
    <phoneticPr fontId="1" type="noConversion"/>
  </si>
  <si>
    <t>저축방식</t>
    <phoneticPr fontId="1" type="noConversion"/>
  </si>
  <si>
    <t>납입금액</t>
    <phoneticPr fontId="1" type="noConversion"/>
  </si>
  <si>
    <t>적금</t>
  </si>
  <si>
    <t>예금</t>
    <phoneticPr fontId="1" type="noConversion"/>
  </si>
  <si>
    <t>개월</t>
    <phoneticPr fontId="1" type="noConversion"/>
  </si>
  <si>
    <t>이자
지급주기</t>
    <phoneticPr fontId="1" type="noConversion"/>
  </si>
  <si>
    <t>월</t>
    <phoneticPr fontId="1" type="noConversion"/>
  </si>
  <si>
    <t>만기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</si>
</sst>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0" fillId="0" borderId="1" xfId="0" applyNumberForma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"/>
  <sheetViews>
    <sheetView tabSelected="1" zoomScale="85" zoomScaleNormal="85" workbookViewId="0">
      <selection activeCell="N21" sqref="N21"/>
    </sheetView>
  </sheetViews>
  <sheetFormatPr defaultRowHeight="16.5" x14ac:dyDescent="0.3"/>
  <cols>
    <col min="1" max="2" width="10.25" customWidth="1"/>
    <col min="3" max="5" width="9" style="1"/>
    <col min="7" max="8" width="7.625" customWidth="1"/>
    <col min="9" max="11" width="9" customWidth="1"/>
  </cols>
  <sheetData>
    <row r="1" spans="1:15" ht="33" x14ac:dyDescent="0.3">
      <c r="A1" s="2" t="s">
        <v>13</v>
      </c>
      <c r="B1" s="2" t="s">
        <v>14</v>
      </c>
      <c r="C1" s="2" t="s">
        <v>17</v>
      </c>
      <c r="D1" s="2" t="s">
        <v>10</v>
      </c>
      <c r="E1" s="6" t="s">
        <v>18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5</v>
      </c>
      <c r="K1" s="2" t="s">
        <v>4</v>
      </c>
    </row>
    <row r="2" spans="1:15" x14ac:dyDescent="0.3">
      <c r="A2" s="3" t="s">
        <v>15</v>
      </c>
      <c r="B2" s="3">
        <v>100</v>
      </c>
      <c r="C2" s="4">
        <v>12</v>
      </c>
      <c r="D2" s="4">
        <f>totOrgAmt(B2,C2,A2)</f>
        <v>1200</v>
      </c>
      <c r="E2" s="4" t="s">
        <v>9</v>
      </c>
      <c r="F2" s="5">
        <v>4.5999999999999996</v>
      </c>
      <c r="G2" s="5">
        <f>bRateAmt(A2, B2, C2, D2, E2,F2)</f>
        <v>1626.8903991730735</v>
      </c>
      <c r="H2" s="5">
        <f>B2*(1+(F2/100))</f>
        <v>104.60000000000001</v>
      </c>
      <c r="I2" s="5">
        <v>15.4</v>
      </c>
      <c r="J2" s="5">
        <f>rRateAmt(G2,I2)</f>
        <v>1376.3492777004201</v>
      </c>
      <c r="K2" s="3">
        <f>B2+J2</f>
        <v>1476.3492777004201</v>
      </c>
      <c r="M2" t="s">
        <v>11</v>
      </c>
      <c r="N2" t="s">
        <v>8</v>
      </c>
      <c r="O2" s="4" t="s">
        <v>19</v>
      </c>
    </row>
    <row r="3" spans="1:15" x14ac:dyDescent="0.3">
      <c r="A3" s="3" t="s">
        <v>16</v>
      </c>
      <c r="B3" s="3">
        <v>1200</v>
      </c>
      <c r="C3" s="4">
        <v>12</v>
      </c>
      <c r="D3" s="4">
        <f>totOrgAmt(B3,C3,A3)</f>
        <v>1200</v>
      </c>
      <c r="E3" s="4" t="s">
        <v>7</v>
      </c>
      <c r="F3" s="5">
        <v>4.5999999999999996</v>
      </c>
      <c r="G3" s="5">
        <f>bRateAmt(A3, B3, C3, D3, E3,F3)</f>
        <v>55.199999999999996</v>
      </c>
      <c r="H3" s="5">
        <f>B3*(1+(F3/100))</f>
        <v>1255.2</v>
      </c>
      <c r="I3" s="5">
        <v>15.4</v>
      </c>
      <c r="J3" s="5">
        <f>rRateAmt(G3,I3)</f>
        <v>46.699199999999998</v>
      </c>
      <c r="K3" s="3">
        <f>B3+J3</f>
        <v>1246.6992</v>
      </c>
      <c r="M3" t="s">
        <v>12</v>
      </c>
      <c r="N3" t="s">
        <v>6</v>
      </c>
      <c r="O3" s="4" t="s">
        <v>20</v>
      </c>
    </row>
  </sheetData>
  <phoneticPr fontId="1" type="noConversion"/>
  <dataValidations count="1">
    <dataValidation type="list" allowBlank="1" showInputMessage="1" showErrorMessage="1" sqref="E2:E3 A2:A3">
      <formula1>$M$2:$M$3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2013-08-01T05:20:44Z</dcterms:created>
  <dcterms:modified xsi:type="dcterms:W3CDTF">2013-08-03T10:49:13Z</dcterms:modified>
</cp:coreProperties>
</file>