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현재_통합_문서" defaultThemeVersion="124226"/>
  <bookViews>
    <workbookView xWindow="360" yWindow="2400" windowWidth="8595" windowHeight="5775" tabRatio="848" activeTab="1"/>
  </bookViews>
  <sheets>
    <sheet name="용어관리" sheetId="1" r:id="rId1"/>
    <sheet name="작업목록" sheetId="3" r:id="rId2"/>
    <sheet name="TB" sheetId="7" r:id="rId3"/>
    <sheet name="HMA_TB" sheetId="9" r:id="rId4"/>
    <sheet name="PM_TB" sheetId="8" r:id="rId5"/>
    <sheet name="공통코드(마스터)" sheetId="5" r:id="rId6"/>
    <sheet name="공통코드(디테일)" sheetId="6" r:id="rId7"/>
    <sheet name="직급코드표" sheetId="13" r:id="rId8"/>
    <sheet name="작업" sheetId="14" r:id="rId9"/>
    <sheet name="메뉴얼목록" sheetId="16" r:id="rId10"/>
    <sheet name="holidays" sheetId="11" r:id="rId11"/>
    <sheet name="dic" sheetId="2" r:id="rId12"/>
    <sheet name="템프" sheetId="15" r:id="rId13"/>
  </sheets>
  <functionGroups builtInGroupCount="17"/>
  <definedNames>
    <definedName name="_xlnm._FilterDatabase" localSheetId="4" hidden="1">PM_TB!$B$2:$J$2</definedName>
    <definedName name="_xlnm._FilterDatabase" localSheetId="2" hidden="1">TB!$B$2:$C$2</definedName>
    <definedName name="_xlnm._FilterDatabase" localSheetId="5" hidden="1">'공통코드(마스터)'!$A$2:$P$169</definedName>
    <definedName name="_xlnm._FilterDatabase" localSheetId="1" hidden="1">작업목록!$B$4:$AF$199</definedName>
  </definedNames>
  <calcPr calcId="145621"/>
</workbook>
</file>

<file path=xl/calcChain.xml><?xml version="1.0" encoding="utf-8"?>
<calcChain xmlns="http://schemas.openxmlformats.org/spreadsheetml/2006/main">
  <c r="B5" i="3" l="1"/>
  <c r="Z5" i="3"/>
  <c r="W5" i="3"/>
  <c r="O2" i="3" l="1"/>
  <c r="W6" i="3"/>
  <c r="B6" i="3" l="1"/>
  <c r="Z6" i="3"/>
  <c r="B7" i="3" l="1"/>
  <c r="B8" i="3"/>
  <c r="B9" i="3"/>
  <c r="Z8" i="3"/>
  <c r="W8" i="3"/>
  <c r="Z9" i="3"/>
  <c r="W9" i="3"/>
  <c r="Z7" i="3"/>
  <c r="W7" i="3"/>
  <c r="B10" i="3" l="1"/>
  <c r="Z10" i="3"/>
  <c r="W10" i="3"/>
  <c r="B11" i="3" l="1"/>
  <c r="Z11" i="3"/>
  <c r="W11" i="3"/>
  <c r="B12" i="3" l="1"/>
  <c r="Z12" i="3"/>
  <c r="W12" i="3"/>
  <c r="B13" i="3" l="1"/>
  <c r="Z13" i="3"/>
  <c r="W13" i="3"/>
  <c r="B14" i="3" l="1"/>
  <c r="Z14" i="3"/>
  <c r="W14" i="3"/>
  <c r="B15" i="3" l="1"/>
  <c r="Z15" i="3"/>
  <c r="W15" i="3"/>
  <c r="B16" i="3" l="1"/>
  <c r="Z16" i="3"/>
  <c r="W16" i="3"/>
  <c r="B17" i="3" l="1"/>
  <c r="W17" i="3"/>
  <c r="Z17" i="3"/>
  <c r="B18" i="3" l="1"/>
  <c r="B19" i="3"/>
  <c r="B20" i="3"/>
  <c r="B21" i="3"/>
  <c r="B22" i="3"/>
  <c r="W18" i="3"/>
  <c r="Z18" i="3"/>
  <c r="Z19" i="3"/>
  <c r="W19" i="3"/>
  <c r="Z20" i="3"/>
  <c r="W20" i="3"/>
  <c r="W21" i="3"/>
  <c r="Z21" i="3"/>
  <c r="Z22" i="3"/>
  <c r="W22" i="3"/>
  <c r="B123" i="3" l="1"/>
  <c r="B122" i="3" s="1"/>
  <c r="B121" i="3" s="1"/>
  <c r="B120" i="3" s="1"/>
  <c r="B119" i="3" s="1"/>
  <c r="B118" i="3" s="1"/>
  <c r="B117" i="3" s="1"/>
  <c r="B116" i="3" s="1"/>
  <c r="B115" i="3" s="1"/>
  <c r="B114" i="3" s="1"/>
  <c r="B113" i="3" s="1"/>
  <c r="B112" i="3" s="1"/>
  <c r="B111" i="3" s="1"/>
  <c r="B110" i="3" s="1"/>
  <c r="B109" i="3" s="1"/>
  <c r="B108" i="3" s="1"/>
  <c r="B107" i="3" s="1"/>
  <c r="B106" i="3" s="1"/>
  <c r="B105" i="3" s="1"/>
  <c r="B104" i="3" s="1"/>
  <c r="B103" i="3" s="1"/>
  <c r="B102" i="3" s="1"/>
  <c r="B101" i="3" s="1"/>
  <c r="B100" i="3" s="1"/>
  <c r="B99" i="3" s="1"/>
  <c r="B98" i="3" s="1"/>
  <c r="B97" i="3" s="1"/>
  <c r="B96" i="3" s="1"/>
  <c r="B95" i="3" s="1"/>
  <c r="B94" i="3" s="1"/>
  <c r="B93" i="3" s="1"/>
  <c r="B92" i="3" s="1"/>
  <c r="B91" i="3" s="1"/>
  <c r="B90" i="3" s="1"/>
  <c r="B89" i="3" s="1"/>
  <c r="B88" i="3" s="1"/>
  <c r="B87" i="3" s="1"/>
  <c r="B86" i="3" s="1"/>
  <c r="B85" i="3" s="1"/>
  <c r="B84" i="3" s="1"/>
  <c r="B83" i="3" s="1"/>
  <c r="B82" i="3" s="1"/>
  <c r="B81" i="3" s="1"/>
  <c r="B80" i="3" s="1"/>
  <c r="B79" i="3" s="1"/>
  <c r="B78" i="3" s="1"/>
  <c r="B77" i="3" s="1"/>
  <c r="B76" i="3" s="1"/>
  <c r="B75" i="3" s="1"/>
  <c r="B74" i="3" s="1"/>
  <c r="B73" i="3" s="1"/>
  <c r="B72" i="3" s="1"/>
  <c r="B71" i="3" s="1"/>
  <c r="B70" i="3" s="1"/>
  <c r="B69" i="3" s="1"/>
  <c r="B68" i="3" s="1"/>
  <c r="B67" i="3" s="1"/>
  <c r="B66" i="3" s="1"/>
  <c r="B65" i="3" s="1"/>
  <c r="B64" i="3" s="1"/>
  <c r="B63" i="3" s="1"/>
  <c r="B62" i="3" s="1"/>
  <c r="B61" i="3" s="1"/>
  <c r="B60" i="3" s="1"/>
  <c r="B59" i="3" s="1"/>
  <c r="B58" i="3" s="1"/>
  <c r="B57" i="3" s="1"/>
  <c r="B56" i="3" s="1"/>
  <c r="B55" i="3" s="1"/>
  <c r="B54" i="3" s="1"/>
  <c r="B53" i="3" s="1"/>
  <c r="B52" i="3" s="1"/>
  <c r="B51" i="3" s="1"/>
  <c r="B50" i="3" s="1"/>
  <c r="B49" i="3" s="1"/>
  <c r="B48" i="3" s="1"/>
  <c r="B47" i="3" s="1"/>
  <c r="B46" i="3" s="1"/>
  <c r="B45" i="3" s="1"/>
  <c r="B44" i="3" s="1"/>
  <c r="B43" i="3" s="1"/>
  <c r="B42" i="3" s="1"/>
  <c r="B41" i="3" s="1"/>
  <c r="B40" i="3" s="1"/>
  <c r="B39" i="3" s="1"/>
  <c r="B38" i="3" s="1"/>
  <c r="B37" i="3" s="1"/>
  <c r="B36" i="3" s="1"/>
  <c r="B35" i="3" s="1"/>
  <c r="B34" i="3" s="1"/>
  <c r="B33" i="3" s="1"/>
  <c r="B32" i="3" s="1"/>
  <c r="B31" i="3" s="1"/>
  <c r="B30" i="3" s="1"/>
  <c r="B29" i="3" s="1"/>
  <c r="B28" i="3" s="1"/>
  <c r="B27" i="3" s="1"/>
  <c r="B26" i="3" s="1"/>
  <c r="B25" i="3" s="1"/>
  <c r="B24" i="3" s="1"/>
  <c r="B23" i="3" s="1"/>
  <c r="Z23" i="3"/>
  <c r="W23" i="3"/>
  <c r="Z24" i="3"/>
  <c r="W24" i="3"/>
  <c r="Z25" i="3"/>
  <c r="W25" i="3"/>
  <c r="Z84" i="3" l="1"/>
  <c r="W84" i="3"/>
  <c r="Z81" i="3"/>
  <c r="W81" i="3"/>
  <c r="Z83" i="3"/>
  <c r="W83" i="3"/>
  <c r="Z26" i="3"/>
  <c r="W26" i="3"/>
  <c r="Z82" i="3"/>
  <c r="W82" i="3"/>
  <c r="Z35" i="3" l="1"/>
  <c r="W35" i="3"/>
  <c r="Z30" i="3"/>
  <c r="Z29" i="3"/>
  <c r="Z28" i="3"/>
  <c r="Z31" i="3"/>
  <c r="Z27" i="3"/>
  <c r="W30" i="3"/>
  <c r="W29" i="3"/>
  <c r="W28" i="3"/>
  <c r="W31" i="3"/>
  <c r="W27" i="3"/>
  <c r="Z34" i="3" l="1"/>
  <c r="W34" i="3"/>
  <c r="W32" i="3"/>
  <c r="W33" i="3"/>
  <c r="Z33" i="3"/>
  <c r="Z32" i="3"/>
  <c r="Z36" i="3" l="1"/>
  <c r="W36" i="3"/>
  <c r="D43" i="3" l="1"/>
  <c r="W40" i="3"/>
  <c r="Z37" i="3"/>
  <c r="Z41" i="3"/>
  <c r="W37" i="3"/>
  <c r="W41" i="3"/>
  <c r="W38" i="3"/>
  <c r="Z42" i="3"/>
  <c r="Z38" i="3"/>
  <c r="W42" i="3"/>
  <c r="Z39" i="3"/>
  <c r="Z43" i="3"/>
  <c r="W39" i="3"/>
  <c r="W43" i="3"/>
  <c r="Z40" i="3"/>
  <c r="W53" i="3" l="1"/>
  <c r="Z51" i="3"/>
  <c r="Z49" i="3"/>
  <c r="Z54" i="3"/>
  <c r="Z53" i="3"/>
  <c r="W51" i="3"/>
  <c r="W54" i="3"/>
  <c r="W46" i="3"/>
  <c r="W52" i="3"/>
  <c r="W44" i="3"/>
  <c r="Z48" i="3"/>
  <c r="W45" i="3"/>
  <c r="Z45" i="3"/>
  <c r="W50" i="3"/>
  <c r="W48" i="3"/>
  <c r="Z46" i="3"/>
  <c r="W49" i="3"/>
  <c r="Z44" i="3"/>
  <c r="W47" i="3"/>
  <c r="Z52" i="3"/>
  <c r="Z47" i="3"/>
  <c r="Z50" i="3"/>
  <c r="B18" i="16" l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Z56" i="3"/>
  <c r="Z55" i="3"/>
  <c r="W56" i="3"/>
  <c r="Z57" i="3"/>
  <c r="W55" i="3"/>
  <c r="W57" i="3"/>
  <c r="W68" i="3" l="1"/>
  <c r="M30" i="1"/>
  <c r="Z66" i="3"/>
  <c r="Z62" i="3"/>
  <c r="Z65" i="3"/>
  <c r="W61" i="3"/>
  <c r="W60" i="3"/>
  <c r="Z60" i="3"/>
  <c r="W64" i="3"/>
  <c r="W62" i="3"/>
  <c r="W67" i="3"/>
  <c r="Z61" i="3"/>
  <c r="Z58" i="3"/>
  <c r="W66" i="3"/>
  <c r="Z63" i="3"/>
  <c r="W65" i="3"/>
  <c r="Z64" i="3"/>
  <c r="W59" i="3"/>
  <c r="Z59" i="3"/>
  <c r="Z67" i="3"/>
  <c r="W58" i="3"/>
  <c r="W63" i="3"/>
  <c r="Z68" i="3"/>
  <c r="W71" i="3" l="1"/>
  <c r="W69" i="3"/>
  <c r="W70" i="3"/>
  <c r="W72" i="3"/>
  <c r="Z69" i="3"/>
  <c r="Z72" i="3"/>
  <c r="Z71" i="3"/>
  <c r="Z70" i="3"/>
  <c r="D73" i="3" l="1"/>
  <c r="W73" i="3"/>
  <c r="Z73" i="3"/>
  <c r="W74" i="3" l="1"/>
  <c r="Z74" i="3"/>
  <c r="W75" i="3" l="1"/>
  <c r="W76" i="3"/>
  <c r="W77" i="3"/>
  <c r="B198" i="3"/>
  <c r="B197" i="3" s="1"/>
  <c r="B196" i="3" s="1"/>
  <c r="B195" i="3" s="1"/>
  <c r="B194" i="3" s="1"/>
  <c r="B193" i="3" s="1"/>
  <c r="B192" i="3" s="1"/>
  <c r="B191" i="3" s="1"/>
  <c r="B190" i="3" s="1"/>
  <c r="B189" i="3" s="1"/>
  <c r="B188" i="3" s="1"/>
  <c r="B187" i="3" s="1"/>
  <c r="B186" i="3" s="1"/>
  <c r="B185" i="3" s="1"/>
  <c r="B184" i="3" s="1"/>
  <c r="B183" i="3" s="1"/>
  <c r="B182" i="3" s="1"/>
  <c r="B181" i="3" s="1"/>
  <c r="B180" i="3" s="1"/>
  <c r="B179" i="3" s="1"/>
  <c r="B178" i="3" s="1"/>
  <c r="B177" i="3" s="1"/>
  <c r="B176" i="3" s="1"/>
  <c r="B175" i="3" s="1"/>
  <c r="B174" i="3" s="1"/>
  <c r="B173" i="3" s="1"/>
  <c r="B172" i="3" s="1"/>
  <c r="B171" i="3" s="1"/>
  <c r="B170" i="3" s="1"/>
  <c r="B169" i="3" s="1"/>
  <c r="B168" i="3" s="1"/>
  <c r="B167" i="3" s="1"/>
  <c r="B166" i="3" s="1"/>
  <c r="B165" i="3" s="1"/>
  <c r="B164" i="3" s="1"/>
  <c r="B163" i="3" s="1"/>
  <c r="B162" i="3" s="1"/>
  <c r="B161" i="3" s="1"/>
  <c r="B160" i="3" s="1"/>
  <c r="B159" i="3" s="1"/>
  <c r="B158" i="3" s="1"/>
  <c r="B157" i="3" s="1"/>
  <c r="B156" i="3" s="1"/>
  <c r="B155" i="3" s="1"/>
  <c r="B154" i="3" s="1"/>
  <c r="B153" i="3" s="1"/>
  <c r="B152" i="3" s="1"/>
  <c r="B151" i="3" s="1"/>
  <c r="B150" i="3" s="1"/>
  <c r="B149" i="3" s="1"/>
  <c r="B148" i="3" s="1"/>
  <c r="B147" i="3" s="1"/>
  <c r="B146" i="3" s="1"/>
  <c r="B145" i="3" s="1"/>
  <c r="B144" i="3" s="1"/>
  <c r="B143" i="3" s="1"/>
  <c r="B142" i="3" s="1"/>
  <c r="B141" i="3" s="1"/>
  <c r="B140" i="3" s="1"/>
  <c r="B139" i="3" s="1"/>
  <c r="B138" i="3" s="1"/>
  <c r="B137" i="3" s="1"/>
  <c r="B136" i="3" s="1"/>
  <c r="B135" i="3" s="1"/>
  <c r="B134" i="3" s="1"/>
  <c r="B133" i="3" s="1"/>
  <c r="B132" i="3" s="1"/>
  <c r="Z105" i="3"/>
  <c r="Z104" i="3"/>
  <c r="Z103" i="3"/>
  <c r="Z102" i="3"/>
  <c r="Z101" i="3"/>
  <c r="W100" i="3"/>
  <c r="W98" i="3"/>
  <c r="W90" i="3"/>
  <c r="W88" i="3"/>
  <c r="Z79" i="3"/>
  <c r="Z80" i="3"/>
  <c r="W80" i="3"/>
  <c r="W103" i="3"/>
  <c r="W102" i="3"/>
  <c r="Z90" i="3"/>
  <c r="W79" i="3"/>
  <c r="Z88" i="3"/>
  <c r="W105" i="3"/>
  <c r="Z100" i="3"/>
  <c r="Z75" i="3"/>
  <c r="Z77" i="3"/>
  <c r="Z76" i="3"/>
  <c r="W101" i="3"/>
  <c r="Z98" i="3"/>
  <c r="W104" i="3"/>
  <c r="B131" i="3" l="1"/>
  <c r="B130" i="3" s="1"/>
  <c r="B129" i="3" s="1"/>
  <c r="B128" i="3" s="1"/>
  <c r="B127" i="3" s="1"/>
  <c r="B126" i="3" s="1"/>
  <c r="B125" i="3" s="1"/>
  <c r="B124" i="3" s="1"/>
  <c r="W109" i="3"/>
  <c r="Z109" i="3"/>
  <c r="W78" i="3" l="1"/>
  <c r="Z78" i="3"/>
  <c r="W87" i="3" l="1"/>
  <c r="W94" i="3"/>
  <c r="W99" i="3"/>
  <c r="Z87" i="3"/>
  <c r="Z99" i="3"/>
  <c r="Z94" i="3"/>
  <c r="W92" i="3" l="1"/>
  <c r="W96" i="3"/>
  <c r="W91" i="3"/>
  <c r="W95" i="3"/>
  <c r="W106" i="3"/>
  <c r="Z96" i="3"/>
  <c r="Z92" i="3"/>
  <c r="Z95" i="3"/>
  <c r="Z91" i="3"/>
  <c r="Z106" i="3"/>
  <c r="Z110" i="3" l="1"/>
  <c r="W97" i="3"/>
  <c r="W85" i="3"/>
  <c r="W86" i="3"/>
  <c r="W107" i="3"/>
  <c r="W108" i="3"/>
  <c r="W93" i="3"/>
  <c r="W89" i="3"/>
  <c r="Z86" i="3"/>
  <c r="Z108" i="3"/>
  <c r="Z89" i="3"/>
  <c r="Z85" i="3"/>
  <c r="W110" i="3"/>
  <c r="Z93" i="3"/>
  <c r="Z97" i="3"/>
  <c r="Z107" i="3"/>
  <c r="Z111" i="3" l="1"/>
  <c r="W111" i="3"/>
  <c r="Z115" i="3" l="1"/>
  <c r="W115" i="3"/>
  <c r="Z114" i="3" l="1"/>
  <c r="W114" i="3"/>
  <c r="W113" i="3"/>
  <c r="Z112" i="3"/>
  <c r="W112" i="3"/>
  <c r="Z113" i="3"/>
  <c r="K385" i="8" l="1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Z120" i="3"/>
  <c r="W120" i="3"/>
  <c r="M40" i="1"/>
  <c r="M33" i="1"/>
  <c r="M29" i="1"/>
  <c r="M35" i="1"/>
  <c r="M41" i="1"/>
  <c r="M24" i="1"/>
  <c r="M34" i="1"/>
  <c r="M23" i="1"/>
  <c r="M27" i="1"/>
  <c r="M38" i="1"/>
  <c r="M22" i="1"/>
  <c r="M26" i="1"/>
  <c r="M31" i="1"/>
  <c r="M28" i="1"/>
  <c r="M42" i="1"/>
  <c r="M25" i="1"/>
  <c r="M39" i="1"/>
  <c r="M37" i="1"/>
  <c r="Z145" i="3" l="1"/>
  <c r="Z144" i="3"/>
  <c r="Z143" i="3"/>
  <c r="Z142" i="3"/>
  <c r="W143" i="3"/>
  <c r="W125" i="3"/>
  <c r="W117" i="3"/>
  <c r="W126" i="3"/>
  <c r="W145" i="3"/>
  <c r="Z124" i="3"/>
  <c r="Z129" i="3"/>
  <c r="W128" i="3"/>
  <c r="Z126" i="3"/>
  <c r="W142" i="3"/>
  <c r="Z117" i="3"/>
  <c r="Z128" i="3"/>
  <c r="Z118" i="3"/>
  <c r="Z116" i="3"/>
  <c r="W129" i="3"/>
  <c r="W119" i="3"/>
  <c r="W127" i="3"/>
  <c r="W123" i="3"/>
  <c r="W118" i="3"/>
  <c r="Z119" i="3"/>
  <c r="Z123" i="3"/>
  <c r="Z125" i="3"/>
  <c r="W124" i="3"/>
  <c r="W116" i="3"/>
  <c r="Z127" i="3"/>
  <c r="W144" i="3"/>
  <c r="M43" i="1"/>
  <c r="Z141" i="3" l="1"/>
  <c r="Z140" i="3"/>
  <c r="Z133" i="3"/>
  <c r="W137" i="3"/>
  <c r="Z132" i="3"/>
  <c r="W131" i="3"/>
  <c r="Z138" i="3"/>
  <c r="W133" i="3"/>
  <c r="W134" i="3"/>
  <c r="W135" i="3"/>
  <c r="Z136" i="3"/>
  <c r="W140" i="3"/>
  <c r="Z130" i="3"/>
  <c r="Z135" i="3"/>
  <c r="W138" i="3"/>
  <c r="W132" i="3"/>
  <c r="Z131" i="3"/>
  <c r="Z134" i="3"/>
  <c r="W136" i="3"/>
  <c r="W141" i="3"/>
  <c r="W130" i="3"/>
  <c r="Z137" i="3"/>
  <c r="Z151" i="3" l="1"/>
  <c r="Z152" i="3"/>
  <c r="Z139" i="3"/>
  <c r="Z122" i="3"/>
  <c r="Z121" i="3"/>
  <c r="Z153" i="3"/>
  <c r="W152" i="3"/>
  <c r="Z146" i="3"/>
  <c r="W139" i="3"/>
  <c r="W148" i="3"/>
  <c r="W122" i="3"/>
  <c r="Z150" i="3"/>
  <c r="W150" i="3"/>
  <c r="W146" i="3"/>
  <c r="Z148" i="3"/>
  <c r="Z149" i="3"/>
  <c r="W147" i="3"/>
  <c r="W153" i="3"/>
  <c r="W151" i="3"/>
  <c r="W149" i="3"/>
  <c r="W121" i="3"/>
  <c r="Z147" i="3"/>
  <c r="D154" i="3" l="1"/>
  <c r="Z181" i="3"/>
  <c r="W181" i="3"/>
  <c r="W155" i="3"/>
  <c r="W162" i="3"/>
  <c r="Z199" i="3"/>
  <c r="Z162" i="3"/>
  <c r="Z161" i="3"/>
  <c r="W184" i="3"/>
  <c r="W171" i="3"/>
  <c r="W154" i="3"/>
  <c r="W187" i="3"/>
  <c r="Z189" i="3"/>
  <c r="W176" i="3"/>
  <c r="Z171" i="3"/>
  <c r="Z193" i="3"/>
  <c r="Z186" i="3"/>
  <c r="W185" i="3"/>
  <c r="W183" i="3"/>
  <c r="Z195" i="3"/>
  <c r="Z163" i="3"/>
  <c r="Z154" i="3"/>
  <c r="W198" i="3"/>
  <c r="W180" i="3"/>
  <c r="Z192" i="3"/>
  <c r="W189" i="3"/>
  <c r="Z194" i="3"/>
  <c r="W166" i="3"/>
  <c r="W170" i="3"/>
  <c r="W194" i="3"/>
  <c r="Z167" i="3"/>
  <c r="Z176" i="3"/>
  <c r="Z184" i="3"/>
  <c r="Z175" i="3"/>
  <c r="Z191" i="3"/>
  <c r="W179" i="3"/>
  <c r="W167" i="3"/>
  <c r="Z169" i="3"/>
  <c r="Z168" i="3"/>
  <c r="W160" i="3"/>
  <c r="W163" i="3"/>
  <c r="Z185" i="3"/>
  <c r="W192" i="3"/>
  <c r="Z173" i="3"/>
  <c r="Z197" i="3"/>
  <c r="W195" i="3"/>
  <c r="Z180" i="3"/>
  <c r="Z166" i="3"/>
  <c r="Z198" i="3"/>
  <c r="Z190" i="3"/>
  <c r="W157" i="3"/>
  <c r="Z157" i="3"/>
  <c r="Z165" i="3"/>
  <c r="W186" i="3"/>
  <c r="Z172" i="3"/>
  <c r="Z183" i="3"/>
  <c r="W156" i="3"/>
  <c r="Z177" i="3"/>
  <c r="Z187" i="3"/>
  <c r="W197" i="3"/>
  <c r="W199" i="3"/>
  <c r="Z155" i="3"/>
  <c r="Z156" i="3"/>
  <c r="W161" i="3"/>
  <c r="Z159" i="3"/>
  <c r="W182" i="3"/>
  <c r="W191" i="3"/>
  <c r="Z170" i="3"/>
  <c r="Z178" i="3"/>
  <c r="W178" i="3"/>
  <c r="W193" i="3"/>
  <c r="W174" i="3"/>
  <c r="W165" i="3"/>
  <c r="Z164" i="3"/>
  <c r="W172" i="3"/>
  <c r="W169" i="3"/>
  <c r="Z182" i="3"/>
  <c r="W190" i="3"/>
  <c r="Z158" i="3"/>
  <c r="W158" i="3"/>
  <c r="W159" i="3"/>
  <c r="W168" i="3"/>
  <c r="Z196" i="3"/>
  <c r="Z160" i="3"/>
  <c r="W188" i="3"/>
  <c r="W173" i="3"/>
  <c r="W196" i="3"/>
  <c r="Z174" i="3"/>
  <c r="W175" i="3"/>
  <c r="Z188" i="3"/>
  <c r="W164" i="3"/>
  <c r="W177" i="3"/>
  <c r="Z179" i="3"/>
  <c r="D199" i="3" l="1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6" i="3"/>
  <c r="M9" i="1"/>
  <c r="M6" i="1"/>
  <c r="M15" i="1"/>
  <c r="M7" i="1"/>
  <c r="M20" i="1"/>
  <c r="M10" i="1"/>
  <c r="M19" i="1"/>
  <c r="M17" i="1"/>
  <c r="M8" i="1"/>
  <c r="M5" i="1"/>
  <c r="M21" i="1"/>
  <c r="M14" i="1"/>
  <c r="M12" i="1"/>
  <c r="M13" i="1"/>
  <c r="M11" i="1"/>
  <c r="M16" i="1"/>
  <c r="M18" i="1"/>
  <c r="O1" i="1" l="1"/>
  <c r="M4" i="1"/>
  <c r="M3" i="1"/>
</calcChain>
</file>

<file path=xl/comments1.xml><?xml version="1.0" encoding="utf-8"?>
<comments xmlns="http://schemas.openxmlformats.org/spreadsheetml/2006/main">
  <authors>
    <author>softm</author>
  </authors>
  <commentList>
    <comment ref="AB41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- </t>
        </r>
        <r>
          <rPr>
            <sz val="9"/>
            <color indexed="81"/>
            <rFont val="돋움"/>
            <family val="3"/>
            <charset val="129"/>
          </rPr>
          <t>인사발령처리</t>
        </r>
        <r>
          <rPr>
            <sz val="9"/>
            <color indexed="81"/>
            <rFont val="Tahoma"/>
            <family val="2"/>
          </rPr>
          <t xml:space="preserve">(HMA950AA)
        </t>
        </r>
        <r>
          <rPr>
            <sz val="9"/>
            <color indexed="81"/>
            <rFont val="돋움"/>
            <family val="3"/>
            <charset val="129"/>
          </rPr>
          <t>인사마스타적용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클릭시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인사발령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일괄처리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                                 </t>
        </r>
        <r>
          <rPr>
            <sz val="9"/>
            <color indexed="81"/>
            <rFont val="돋움"/>
            <family val="3"/>
            <charset val="129"/>
          </rPr>
          <t>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- </t>
        </r>
        <r>
          <rPr>
            <sz val="9"/>
            <color indexed="81"/>
            <rFont val="돋움"/>
            <family val="3"/>
            <charset val="129"/>
          </rPr>
          <t>승급처리</t>
        </r>
        <r>
          <rPr>
            <sz val="9"/>
            <color indexed="81"/>
            <rFont val="Tahoma"/>
            <family val="2"/>
          </rPr>
          <t xml:space="preserve">(HMA320AA)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        1.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추가한다</t>
        </r>
        <r>
          <rPr>
            <sz val="9"/>
            <color indexed="81"/>
            <rFont val="Tahoma"/>
            <family val="2"/>
          </rPr>
          <t xml:space="preserve">.
        2.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쿼리를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작성한다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조건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발령일자가</t>
        </r>
        <r>
          <rPr>
            <sz val="9"/>
            <color indexed="81"/>
            <rFont val="Tahoma"/>
            <family val="2"/>
          </rPr>
          <t xml:space="preserve"> &gt; 1</t>
        </r>
        <r>
          <rPr>
            <sz val="9"/>
            <color indexed="81"/>
            <rFont val="돋움"/>
            <family val="3"/>
            <charset val="129"/>
          </rPr>
          <t xml:space="preserve">년이상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아닌사람</t>
        </r>
        <r>
          <rPr>
            <sz val="9"/>
            <color indexed="81"/>
            <rFont val="Tahoma"/>
            <family val="2"/>
          </rPr>
          <t xml:space="preserve"> ( </t>
        </r>
        <r>
          <rPr>
            <sz val="9"/>
            <color indexed="81"/>
            <rFont val="돋움"/>
            <family val="3"/>
            <charset val="129"/>
          </rPr>
          <t>병역</t>
        </r>
        <r>
          <rPr>
            <sz val="9"/>
            <color indexed="81"/>
            <rFont val="Tahoma"/>
            <family val="2"/>
          </rPr>
          <t>(03),</t>
        </r>
        <r>
          <rPr>
            <sz val="9"/>
            <color indexed="81"/>
            <rFont val="돋움"/>
            <family val="3"/>
            <charset val="129"/>
          </rPr>
          <t>육아</t>
        </r>
        <r>
          <rPr>
            <sz val="9"/>
            <color indexed="81"/>
            <rFont val="Tahoma"/>
            <family val="2"/>
          </rPr>
          <t xml:space="preserve">(09) </t>
        </r>
        <r>
          <rPr>
            <sz val="9"/>
            <color indexed="81"/>
            <rFont val="돋움"/>
            <family val="3"/>
            <charset val="129"/>
          </rPr>
          <t>휴직은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 xml:space="preserve"> HM61(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) )
            </t>
        </r>
        <r>
          <rPr>
            <sz val="9"/>
            <color indexed="81"/>
            <rFont val="돋움"/>
            <family val="3"/>
            <charset val="129"/>
          </rPr>
          <t>호봉</t>
        </r>
        <r>
          <rPr>
            <sz val="9"/>
            <color indexed="81"/>
            <rFont val="Tahoma"/>
            <family val="2"/>
          </rPr>
          <t xml:space="preserve"> &lt; 30
    - </t>
        </r>
        <r>
          <rPr>
            <sz val="9"/>
            <color indexed="81"/>
            <rFont val="돋움"/>
            <family val="3"/>
            <charset val="129"/>
          </rPr>
          <t>휴직관리</t>
        </r>
        <r>
          <rPr>
            <sz val="9"/>
            <color indexed="81"/>
            <rFont val="Tahoma"/>
            <family val="2"/>
          </rPr>
          <t xml:space="preserve">(HMA200AA)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휴직이유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    -&gt; </t>
        </r>
        <r>
          <rPr>
            <sz val="9"/>
            <color indexed="81"/>
            <rFont val="돋움"/>
            <family val="3"/>
            <charset val="129"/>
          </rPr>
          <t>콤보로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공통테이블에서</t>
        </r>
        <r>
          <rPr>
            <sz val="9"/>
            <color indexed="81"/>
            <rFont val="Tahoma"/>
            <family val="2"/>
          </rPr>
          <t xml:space="preserve"> HM61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바인딩한다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B42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- </t>
        </r>
        <r>
          <rPr>
            <sz val="9"/>
            <color indexed="81"/>
            <rFont val="돋움"/>
            <family val="3"/>
            <charset val="129"/>
          </rPr>
          <t>인사발령처리</t>
        </r>
        <r>
          <rPr>
            <sz val="9"/>
            <color indexed="81"/>
            <rFont val="Tahoma"/>
            <family val="2"/>
          </rPr>
          <t xml:space="preserve">(HMA950AA)
        </t>
        </r>
        <r>
          <rPr>
            <sz val="9"/>
            <color indexed="81"/>
            <rFont val="돋움"/>
            <family val="3"/>
            <charset val="129"/>
          </rPr>
          <t>인사마스타적용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클릭시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인사발령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일괄처리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                                 </t>
        </r>
        <r>
          <rPr>
            <sz val="9"/>
            <color indexed="81"/>
            <rFont val="돋움"/>
            <family val="3"/>
            <charset val="129"/>
          </rPr>
          <t>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- </t>
        </r>
        <r>
          <rPr>
            <sz val="9"/>
            <color indexed="81"/>
            <rFont val="돋움"/>
            <family val="3"/>
            <charset val="129"/>
          </rPr>
          <t>승급처리</t>
        </r>
        <r>
          <rPr>
            <sz val="9"/>
            <color indexed="81"/>
            <rFont val="Tahoma"/>
            <family val="2"/>
          </rPr>
          <t xml:space="preserve">(HMA320AA)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        1.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추가한다</t>
        </r>
        <r>
          <rPr>
            <sz val="9"/>
            <color indexed="81"/>
            <rFont val="Tahoma"/>
            <family val="2"/>
          </rPr>
          <t xml:space="preserve">.
        2.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쿼리를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작성한다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조건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발령일자가</t>
        </r>
        <r>
          <rPr>
            <sz val="9"/>
            <color indexed="81"/>
            <rFont val="Tahoma"/>
            <family val="2"/>
          </rPr>
          <t xml:space="preserve"> &gt; 1</t>
        </r>
        <r>
          <rPr>
            <sz val="9"/>
            <color indexed="81"/>
            <rFont val="돋움"/>
            <family val="3"/>
            <charset val="129"/>
          </rPr>
          <t xml:space="preserve">년이상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아닌사람</t>
        </r>
        <r>
          <rPr>
            <sz val="9"/>
            <color indexed="81"/>
            <rFont val="Tahoma"/>
            <family val="2"/>
          </rPr>
          <t xml:space="preserve"> ( </t>
        </r>
        <r>
          <rPr>
            <sz val="9"/>
            <color indexed="81"/>
            <rFont val="돋움"/>
            <family val="3"/>
            <charset val="129"/>
          </rPr>
          <t>병역</t>
        </r>
        <r>
          <rPr>
            <sz val="9"/>
            <color indexed="81"/>
            <rFont val="Tahoma"/>
            <family val="2"/>
          </rPr>
          <t>(03),</t>
        </r>
        <r>
          <rPr>
            <sz val="9"/>
            <color indexed="81"/>
            <rFont val="돋움"/>
            <family val="3"/>
            <charset val="129"/>
          </rPr>
          <t>육아</t>
        </r>
        <r>
          <rPr>
            <sz val="9"/>
            <color indexed="81"/>
            <rFont val="Tahoma"/>
            <family val="2"/>
          </rPr>
          <t xml:space="preserve">(09) </t>
        </r>
        <r>
          <rPr>
            <sz val="9"/>
            <color indexed="81"/>
            <rFont val="돋움"/>
            <family val="3"/>
            <charset val="129"/>
          </rPr>
          <t>휴직은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 xml:space="preserve"> HM61(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) )
            </t>
        </r>
        <r>
          <rPr>
            <sz val="9"/>
            <color indexed="81"/>
            <rFont val="돋움"/>
            <family val="3"/>
            <charset val="129"/>
          </rPr>
          <t>호봉</t>
        </r>
        <r>
          <rPr>
            <sz val="9"/>
            <color indexed="81"/>
            <rFont val="Tahoma"/>
            <family val="2"/>
          </rPr>
          <t xml:space="preserve"> &lt; 30
    - </t>
        </r>
        <r>
          <rPr>
            <sz val="9"/>
            <color indexed="81"/>
            <rFont val="돋움"/>
            <family val="3"/>
            <charset val="129"/>
          </rPr>
          <t>휴직관리</t>
        </r>
        <r>
          <rPr>
            <sz val="9"/>
            <color indexed="81"/>
            <rFont val="Tahoma"/>
            <family val="2"/>
          </rPr>
          <t xml:space="preserve">(HMA200AA)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휴직이유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    -&gt; </t>
        </r>
        <r>
          <rPr>
            <sz val="9"/>
            <color indexed="81"/>
            <rFont val="돋움"/>
            <family val="3"/>
            <charset val="129"/>
          </rPr>
          <t>콤보로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공통테이블에서</t>
        </r>
        <r>
          <rPr>
            <sz val="9"/>
            <color indexed="81"/>
            <rFont val="Tahoma"/>
            <family val="2"/>
          </rPr>
          <t xml:space="preserve"> HM61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바인딩한다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B43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- </t>
        </r>
        <r>
          <rPr>
            <sz val="9"/>
            <color indexed="81"/>
            <rFont val="돋움"/>
            <family val="3"/>
            <charset val="129"/>
          </rPr>
          <t>인사발령처리</t>
        </r>
        <r>
          <rPr>
            <sz val="9"/>
            <color indexed="81"/>
            <rFont val="Tahoma"/>
            <family val="2"/>
          </rPr>
          <t xml:space="preserve">(HMA950AA)
        </t>
        </r>
        <r>
          <rPr>
            <sz val="9"/>
            <color indexed="81"/>
            <rFont val="돋움"/>
            <family val="3"/>
            <charset val="129"/>
          </rPr>
          <t>인사마스타적용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클릭시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인사발령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일괄처리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                                 </t>
        </r>
        <r>
          <rPr>
            <sz val="9"/>
            <color indexed="81"/>
            <rFont val="돋움"/>
            <family val="3"/>
            <charset val="129"/>
          </rPr>
          <t>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- </t>
        </r>
        <r>
          <rPr>
            <sz val="9"/>
            <color indexed="81"/>
            <rFont val="돋움"/>
            <family val="3"/>
            <charset val="129"/>
          </rPr>
          <t>승급처리</t>
        </r>
        <r>
          <rPr>
            <sz val="9"/>
            <color indexed="81"/>
            <rFont val="Tahoma"/>
            <family val="2"/>
          </rPr>
          <t xml:space="preserve">(HMA320AA)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        1.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추가한다</t>
        </r>
        <r>
          <rPr>
            <sz val="9"/>
            <color indexed="81"/>
            <rFont val="Tahoma"/>
            <family val="2"/>
          </rPr>
          <t xml:space="preserve">.
        2.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쿼리를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작성한다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조건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발령일자가</t>
        </r>
        <r>
          <rPr>
            <sz val="9"/>
            <color indexed="81"/>
            <rFont val="Tahoma"/>
            <family val="2"/>
          </rPr>
          <t xml:space="preserve"> &gt; 1</t>
        </r>
        <r>
          <rPr>
            <sz val="9"/>
            <color indexed="81"/>
            <rFont val="돋움"/>
            <family val="3"/>
            <charset val="129"/>
          </rPr>
          <t xml:space="preserve">년이상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아닌사람</t>
        </r>
        <r>
          <rPr>
            <sz val="9"/>
            <color indexed="81"/>
            <rFont val="Tahoma"/>
            <family val="2"/>
          </rPr>
          <t xml:space="preserve"> ( </t>
        </r>
        <r>
          <rPr>
            <sz val="9"/>
            <color indexed="81"/>
            <rFont val="돋움"/>
            <family val="3"/>
            <charset val="129"/>
          </rPr>
          <t>병역</t>
        </r>
        <r>
          <rPr>
            <sz val="9"/>
            <color indexed="81"/>
            <rFont val="Tahoma"/>
            <family val="2"/>
          </rPr>
          <t>(03),</t>
        </r>
        <r>
          <rPr>
            <sz val="9"/>
            <color indexed="81"/>
            <rFont val="돋움"/>
            <family val="3"/>
            <charset val="129"/>
          </rPr>
          <t>육아</t>
        </r>
        <r>
          <rPr>
            <sz val="9"/>
            <color indexed="81"/>
            <rFont val="Tahoma"/>
            <family val="2"/>
          </rPr>
          <t xml:space="preserve">(09) </t>
        </r>
        <r>
          <rPr>
            <sz val="9"/>
            <color indexed="81"/>
            <rFont val="돋움"/>
            <family val="3"/>
            <charset val="129"/>
          </rPr>
          <t>휴직은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 xml:space="preserve"> HM61(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) )
            </t>
        </r>
        <r>
          <rPr>
            <sz val="9"/>
            <color indexed="81"/>
            <rFont val="돋움"/>
            <family val="3"/>
            <charset val="129"/>
          </rPr>
          <t>호봉</t>
        </r>
        <r>
          <rPr>
            <sz val="9"/>
            <color indexed="81"/>
            <rFont val="Tahoma"/>
            <family val="2"/>
          </rPr>
          <t xml:space="preserve"> &lt; 30
    - </t>
        </r>
        <r>
          <rPr>
            <sz val="9"/>
            <color indexed="81"/>
            <rFont val="돋움"/>
            <family val="3"/>
            <charset val="129"/>
          </rPr>
          <t>휴직관리</t>
        </r>
        <r>
          <rPr>
            <sz val="9"/>
            <color indexed="81"/>
            <rFont val="Tahoma"/>
            <family val="2"/>
          </rPr>
          <t xml:space="preserve">(HMA200AA)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휴직이유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    -&gt; </t>
        </r>
        <r>
          <rPr>
            <sz val="9"/>
            <color indexed="81"/>
            <rFont val="돋움"/>
            <family val="3"/>
            <charset val="129"/>
          </rPr>
          <t>콤보로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공통테이블에서</t>
        </r>
        <r>
          <rPr>
            <sz val="9"/>
            <color indexed="81"/>
            <rFont val="Tahoma"/>
            <family val="2"/>
          </rPr>
          <t xml:space="preserve"> HM61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바인딩한다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B156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- </t>
        </r>
        <r>
          <rPr>
            <sz val="9"/>
            <color indexed="81"/>
            <rFont val="돋움"/>
            <family val="3"/>
            <charset val="129"/>
          </rPr>
          <t>인사발령처리</t>
        </r>
        <r>
          <rPr>
            <sz val="9"/>
            <color indexed="81"/>
            <rFont val="Tahoma"/>
            <family val="2"/>
          </rPr>
          <t xml:space="preserve">(HMA950AA)
        </t>
        </r>
        <r>
          <rPr>
            <sz val="9"/>
            <color indexed="81"/>
            <rFont val="돋움"/>
            <family val="3"/>
            <charset val="129"/>
          </rPr>
          <t>인사마스타적용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클릭시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인사발령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일괄처리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                                 </t>
        </r>
        <r>
          <rPr>
            <sz val="9"/>
            <color indexed="81"/>
            <rFont val="돋움"/>
            <family val="3"/>
            <charset val="129"/>
          </rPr>
          <t>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.
    - </t>
        </r>
        <r>
          <rPr>
            <sz val="9"/>
            <color indexed="81"/>
            <rFont val="돋움"/>
            <family val="3"/>
            <charset val="129"/>
          </rPr>
          <t>승급처리</t>
        </r>
        <r>
          <rPr>
            <sz val="9"/>
            <color indexed="81"/>
            <rFont val="Tahoma"/>
            <family val="2"/>
          </rPr>
          <t xml:space="preserve">(HMA320AA)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        1.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추가한다</t>
        </r>
        <r>
          <rPr>
            <sz val="9"/>
            <color indexed="81"/>
            <rFont val="Tahoma"/>
            <family val="2"/>
          </rPr>
          <t xml:space="preserve">.
        2. </t>
        </r>
        <r>
          <rPr>
            <sz val="9"/>
            <color indexed="81"/>
            <rFont val="돋움"/>
            <family val="3"/>
            <charset val="129"/>
          </rPr>
          <t>대상자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쿼리를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작성한다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대상자조회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조건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발령일자가</t>
        </r>
        <r>
          <rPr>
            <sz val="9"/>
            <color indexed="81"/>
            <rFont val="Tahoma"/>
            <family val="2"/>
          </rPr>
          <t xml:space="preserve"> &gt; 1</t>
        </r>
        <r>
          <rPr>
            <sz val="9"/>
            <color indexed="81"/>
            <rFont val="돋움"/>
            <family val="3"/>
            <charset val="129"/>
          </rPr>
          <t xml:space="preserve">년이상
</t>
        </r>
        <r>
          <rPr>
            <sz val="9"/>
            <color indexed="81"/>
            <rFont val="Tahoma"/>
            <family val="2"/>
          </rPr>
          <t xml:space="preserve">            </t>
        </r>
        <r>
          <rPr>
            <sz val="9"/>
            <color indexed="81"/>
            <rFont val="돋움"/>
            <family val="3"/>
            <charset val="129"/>
          </rPr>
          <t>휴직이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아닌사람</t>
        </r>
        <r>
          <rPr>
            <sz val="9"/>
            <color indexed="81"/>
            <rFont val="Tahoma"/>
            <family val="2"/>
          </rPr>
          <t xml:space="preserve"> ( </t>
        </r>
        <r>
          <rPr>
            <sz val="9"/>
            <color indexed="81"/>
            <rFont val="돋움"/>
            <family val="3"/>
            <charset val="129"/>
          </rPr>
          <t>병역</t>
        </r>
        <r>
          <rPr>
            <sz val="9"/>
            <color indexed="81"/>
            <rFont val="Tahoma"/>
            <family val="2"/>
          </rPr>
          <t>(03),</t>
        </r>
        <r>
          <rPr>
            <sz val="9"/>
            <color indexed="81"/>
            <rFont val="돋움"/>
            <family val="3"/>
            <charset val="129"/>
          </rPr>
          <t>육아</t>
        </r>
        <r>
          <rPr>
            <sz val="9"/>
            <color indexed="81"/>
            <rFont val="Tahoma"/>
            <family val="2"/>
          </rPr>
          <t xml:space="preserve">(09) </t>
        </r>
        <r>
          <rPr>
            <sz val="9"/>
            <color indexed="81"/>
            <rFont val="돋움"/>
            <family val="3"/>
            <charset val="129"/>
          </rPr>
          <t>휴직은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 xml:space="preserve"> HM61(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) )
            </t>
        </r>
        <r>
          <rPr>
            <sz val="9"/>
            <color indexed="81"/>
            <rFont val="돋움"/>
            <family val="3"/>
            <charset val="129"/>
          </rPr>
          <t>호봉</t>
        </r>
        <r>
          <rPr>
            <sz val="9"/>
            <color indexed="81"/>
            <rFont val="Tahoma"/>
            <family val="2"/>
          </rPr>
          <t xml:space="preserve"> &lt; 30
    - </t>
        </r>
        <r>
          <rPr>
            <sz val="9"/>
            <color indexed="81"/>
            <rFont val="돋움"/>
            <family val="3"/>
            <charset val="129"/>
          </rPr>
          <t>휴직관리</t>
        </r>
        <r>
          <rPr>
            <sz val="9"/>
            <color indexed="81"/>
            <rFont val="Tahoma"/>
            <family val="2"/>
          </rPr>
          <t xml:space="preserve">(HMA200AA)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</t>
        </r>
        <r>
          <rPr>
            <sz val="9"/>
            <color indexed="81"/>
            <rFont val="돋움"/>
            <family val="3"/>
            <charset val="129"/>
          </rPr>
          <t>휴직이유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.
            -&gt; </t>
        </r>
        <r>
          <rPr>
            <sz val="9"/>
            <color indexed="81"/>
            <rFont val="돋움"/>
            <family val="3"/>
            <charset val="129"/>
          </rPr>
          <t>콤보로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공통테이블에서</t>
        </r>
        <r>
          <rPr>
            <sz val="9"/>
            <color indexed="81"/>
            <rFont val="Tahoma"/>
            <family val="2"/>
          </rPr>
          <t xml:space="preserve"> HM61 </t>
        </r>
        <r>
          <rPr>
            <sz val="9"/>
            <color indexed="81"/>
            <rFont val="돋움"/>
            <family val="3"/>
            <charset val="129"/>
          </rPr>
          <t>휴직상세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바인딩한다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B194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Hma620as_getSearchResult.sql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AB195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# </t>
        </r>
        <r>
          <rPr>
            <sz val="9"/>
            <color indexed="81"/>
            <rFont val="돋움"/>
            <family val="3"/>
            <charset val="129"/>
          </rPr>
          <t>형상관리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구현</t>
        </r>
        <r>
          <rPr>
            <sz val="9"/>
            <color indexed="81"/>
            <rFont val="Tahoma"/>
            <family val="2"/>
          </rPr>
          <t xml:space="preserve">. (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)
        # </t>
        </r>
        <r>
          <rPr>
            <sz val="9"/>
            <color indexed="81"/>
            <rFont val="돋움"/>
            <family val="3"/>
            <charset val="129"/>
          </rPr>
          <t>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        # </t>
        </r>
        <r>
          <rPr>
            <sz val="9"/>
            <color indexed="81"/>
            <rFont val="돋움"/>
            <family val="3"/>
            <charset val="129"/>
          </rPr>
          <t>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        # </t>
        </r>
        <r>
          <rPr>
            <sz val="9"/>
            <color indexed="81"/>
            <rFont val="돋움"/>
            <family val="3"/>
            <charset val="129"/>
          </rPr>
          <t>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동기화후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재기동
</t>
        </r>
      </text>
    </comment>
    <comment ref="AB196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    # </t>
        </r>
        <r>
          <rPr>
            <sz val="9"/>
            <color indexed="81"/>
            <rFont val="돋움"/>
            <family val="3"/>
            <charset val="129"/>
          </rPr>
          <t>형상관리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구현</t>
        </r>
        <r>
          <rPr>
            <sz val="9"/>
            <color indexed="81"/>
            <rFont val="Tahoma"/>
            <family val="2"/>
          </rPr>
          <t xml:space="preserve">. (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)
        # </t>
        </r>
        <r>
          <rPr>
            <sz val="9"/>
            <color indexed="81"/>
            <rFont val="돋움"/>
            <family val="3"/>
            <charset val="129"/>
          </rPr>
          <t>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        # </t>
        </r>
        <r>
          <rPr>
            <sz val="9"/>
            <color indexed="81"/>
            <rFont val="돋움"/>
            <family val="3"/>
            <charset val="129"/>
          </rPr>
          <t>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백업
</t>
        </r>
        <r>
          <rPr>
            <sz val="9"/>
            <color indexed="81"/>
            <rFont val="Tahoma"/>
            <family val="2"/>
          </rPr>
          <t xml:space="preserve">        # </t>
        </r>
        <r>
          <rPr>
            <sz val="9"/>
            <color indexed="81"/>
            <rFont val="돋움"/>
            <family val="3"/>
            <charset val="129"/>
          </rPr>
          <t>소스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동기화후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재기동
</t>
        </r>
      </text>
    </comment>
    <comment ref="AB198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Hma620as_getSearchResult.sql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AB199" authorId="0">
      <text>
        <r>
          <rPr>
            <b/>
            <sz val="9"/>
            <color indexed="81"/>
            <rFont val="Tahoma"/>
            <family val="2"/>
          </rPr>
          <t>softm:</t>
        </r>
        <r>
          <rPr>
            <sz val="9"/>
            <color indexed="81"/>
            <rFont val="Tahoma"/>
            <family val="2"/>
          </rPr>
          <t xml:space="preserve">
Hma620as_getSearchResult.sql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<sst xmlns="http://schemas.openxmlformats.org/spreadsheetml/2006/main" count="28599" uniqueCount="15136">
  <si>
    <t>구분</t>
  </si>
  <si>
    <t>구분</t>
    <phoneticPr fontId="1" type="noConversion"/>
  </si>
  <si>
    <t>이름1</t>
    <phoneticPr fontId="1" type="noConversion"/>
  </si>
  <si>
    <t>이름3</t>
    <phoneticPr fontId="1" type="noConversion"/>
  </si>
  <si>
    <t>이름2</t>
    <phoneticPr fontId="1" type="noConversion"/>
  </si>
  <si>
    <t>이름4</t>
    <phoneticPr fontId="1" type="noConversion"/>
  </si>
  <si>
    <t>대상</t>
  </si>
  <si>
    <t>OBJECT</t>
  </si>
  <si>
    <t>계정과목</t>
  </si>
  <si>
    <t>A</t>
  </si>
  <si>
    <t>ACCOUNT</t>
  </si>
  <si>
    <t>농공단지</t>
  </si>
  <si>
    <t>AAD</t>
  </si>
  <si>
    <t>AGRICLUTURE AND MANUFACTURE DANJI</t>
  </si>
  <si>
    <t>농공입주</t>
  </si>
  <si>
    <t>AAI</t>
  </si>
  <si>
    <t>AGRICLUTURE AND MANUFACTURE INCOME</t>
  </si>
  <si>
    <t>농공</t>
  </si>
  <si>
    <t>AAM</t>
  </si>
  <si>
    <t>AGRICLUTURE AND MANUFACTURE</t>
  </si>
  <si>
    <t>장부가</t>
  </si>
  <si>
    <t>ABA</t>
  </si>
  <si>
    <t>ACCOUNT BOOK AMOUNT</t>
  </si>
  <si>
    <t>약어</t>
  </si>
  <si>
    <t>ABB</t>
  </si>
  <si>
    <t>장부</t>
  </si>
  <si>
    <t>국외</t>
  </si>
  <si>
    <t>ABD</t>
  </si>
  <si>
    <t>ABROAD</t>
  </si>
  <si>
    <t>포기</t>
  </si>
  <si>
    <t>ABO</t>
  </si>
  <si>
    <t>ABANDON</t>
  </si>
  <si>
    <t>포기자</t>
  </si>
  <si>
    <t>ABR</t>
  </si>
  <si>
    <t>ABANDONER</t>
  </si>
  <si>
    <t>회계</t>
  </si>
  <si>
    <t>AC</t>
  </si>
  <si>
    <t>임의적립금</t>
  </si>
  <si>
    <t>ACA</t>
  </si>
  <si>
    <t>ACCUMULATION</t>
  </si>
  <si>
    <t>사고일</t>
  </si>
  <si>
    <t>ACD</t>
  </si>
  <si>
    <t>ACCIDENT DATE</t>
  </si>
  <si>
    <t>수주</t>
  </si>
  <si>
    <t>ACE</t>
  </si>
  <si>
    <t>ACCEPTANCE ORDER</t>
  </si>
  <si>
    <t>경리</t>
  </si>
  <si>
    <t>ACG</t>
  </si>
  <si>
    <t>ACCOUNTING</t>
  </si>
  <si>
    <t>계리</t>
  </si>
  <si>
    <t>기성고</t>
  </si>
  <si>
    <t>달성</t>
  </si>
  <si>
    <t>ACH</t>
  </si>
  <si>
    <t>ACHIEVE</t>
  </si>
  <si>
    <t>변경후</t>
  </si>
  <si>
    <t>사건</t>
  </si>
  <si>
    <t>ACI</t>
  </si>
  <si>
    <t>A ACCIDENT</t>
  </si>
  <si>
    <t>인정</t>
  </si>
  <si>
    <t>ACK</t>
  </si>
  <si>
    <t>ACKNOWLEDGE</t>
  </si>
  <si>
    <t>누적</t>
  </si>
  <si>
    <t>ACM</t>
  </si>
  <si>
    <t>ACCMULATION</t>
  </si>
  <si>
    <t>실적월</t>
  </si>
  <si>
    <t>계정</t>
  </si>
  <si>
    <t>ACO</t>
  </si>
  <si>
    <t>수취</t>
  </si>
  <si>
    <t>ACP</t>
  </si>
  <si>
    <t>인수</t>
  </si>
  <si>
    <t>접수</t>
  </si>
  <si>
    <t>수취인</t>
  </si>
  <si>
    <t>ACR</t>
  </si>
  <si>
    <t>ACCEPTER</t>
  </si>
  <si>
    <t>원고</t>
  </si>
  <si>
    <t>접수자</t>
  </si>
  <si>
    <t>성사</t>
  </si>
  <si>
    <t>ACS</t>
  </si>
  <si>
    <t>ACCOMPLISHMENT</t>
  </si>
  <si>
    <t>행위</t>
  </si>
  <si>
    <t>ACT</t>
  </si>
  <si>
    <t>활동</t>
  </si>
  <si>
    <t>실태</t>
  </si>
  <si>
    <t>ACU</t>
  </si>
  <si>
    <t>ACTUAL CONDITION</t>
  </si>
  <si>
    <t>성과</t>
  </si>
  <si>
    <t>ACV</t>
  </si>
  <si>
    <t>ACHIEVEMENT</t>
  </si>
  <si>
    <t>실적</t>
  </si>
  <si>
    <t>가산금</t>
  </si>
  <si>
    <t>ADA</t>
  </si>
  <si>
    <t>ADDITION AMOUNT</t>
  </si>
  <si>
    <t>가산</t>
  </si>
  <si>
    <t>ADD</t>
  </si>
  <si>
    <t>ADDITION</t>
  </si>
  <si>
    <t>추가</t>
  </si>
  <si>
    <t>회계담당자</t>
  </si>
  <si>
    <t>ADDJ</t>
  </si>
  <si>
    <t>주소</t>
  </si>
  <si>
    <t>ADDR</t>
  </si>
  <si>
    <t>추가보증료</t>
  </si>
  <si>
    <t>ADG</t>
  </si>
  <si>
    <t>ADDED GURRA</t>
  </si>
  <si>
    <t>주소지</t>
  </si>
  <si>
    <t>ADJ</t>
  </si>
  <si>
    <t>ADDRESS JI</t>
  </si>
  <si>
    <t>가감점</t>
  </si>
  <si>
    <t>ADM</t>
  </si>
  <si>
    <t>ADDING AND REDUCING MARK</t>
  </si>
  <si>
    <t>사건번호</t>
  </si>
  <si>
    <t>ADN</t>
  </si>
  <si>
    <t>ACCIDENT NO</t>
  </si>
  <si>
    <t>채용</t>
  </si>
  <si>
    <t>ADP</t>
  </si>
  <si>
    <t>ADOPTION</t>
  </si>
  <si>
    <t>취업</t>
  </si>
  <si>
    <t>ADDRESS</t>
  </si>
  <si>
    <t>ADR</t>
  </si>
  <si>
    <t>부기</t>
  </si>
  <si>
    <t>ADT</t>
  </si>
  <si>
    <t>선진</t>
  </si>
  <si>
    <t>ADV</t>
  </si>
  <si>
    <t>ADVANCED</t>
  </si>
  <si>
    <t>동의</t>
  </si>
  <si>
    <t>AEE</t>
  </si>
  <si>
    <t>AGREE</t>
  </si>
  <si>
    <t>감안</t>
  </si>
  <si>
    <t>AFR</t>
  </si>
  <si>
    <t>ALLOW FOR</t>
  </si>
  <si>
    <t>이후</t>
  </si>
  <si>
    <t>AFT</t>
  </si>
  <si>
    <t>AFTER</t>
  </si>
  <si>
    <t>출장소</t>
  </si>
  <si>
    <t>AGB</t>
  </si>
  <si>
    <t>AGENCY BRANCH</t>
  </si>
  <si>
    <t>체결일</t>
  </si>
  <si>
    <t>AGD</t>
  </si>
  <si>
    <t>AGRESMENT DATE</t>
  </si>
  <si>
    <t>나이</t>
  </si>
  <si>
    <t>AGE</t>
  </si>
  <si>
    <t>년령</t>
  </si>
  <si>
    <t>연령</t>
  </si>
  <si>
    <t>기관명</t>
  </si>
  <si>
    <t>AGM</t>
  </si>
  <si>
    <t>AGENCY NAME</t>
  </si>
  <si>
    <t>기관</t>
  </si>
  <si>
    <t>AGN</t>
  </si>
  <si>
    <t>동의자</t>
  </si>
  <si>
    <t>AGR</t>
  </si>
  <si>
    <t>AGREE MAN</t>
  </si>
  <si>
    <t>체결</t>
  </si>
  <si>
    <t>지원</t>
  </si>
  <si>
    <t>AID</t>
  </si>
  <si>
    <t>양육</t>
  </si>
  <si>
    <t>AIE</t>
  </si>
  <si>
    <t>RAISE</t>
  </si>
  <si>
    <t>정산</t>
  </si>
  <si>
    <t>AJT</t>
  </si>
  <si>
    <t>ADJUSTMENT</t>
  </si>
  <si>
    <t>액면가</t>
  </si>
  <si>
    <t>AKK</t>
  </si>
  <si>
    <t>액면</t>
  </si>
  <si>
    <t>AKM</t>
  </si>
  <si>
    <t>ACKMEM</t>
  </si>
  <si>
    <t>수당</t>
  </si>
  <si>
    <t>ALA</t>
  </si>
  <si>
    <t>ALLOWANCE</t>
  </si>
  <si>
    <t>항공</t>
  </si>
  <si>
    <t>ALE</t>
  </si>
  <si>
    <t>AIRLINE</t>
  </si>
  <si>
    <t>조정</t>
  </si>
  <si>
    <t>ALG</t>
  </si>
  <si>
    <t>적용</t>
  </si>
  <si>
    <t>ALI</t>
  </si>
  <si>
    <t>APPLIED</t>
  </si>
  <si>
    <t>전체</t>
  </si>
  <si>
    <t>ALL</t>
  </si>
  <si>
    <t>기통지</t>
  </si>
  <si>
    <t>ALN</t>
  </si>
  <si>
    <t>ALREADY NOTICE</t>
  </si>
  <si>
    <t>분담금</t>
  </si>
  <si>
    <t>ALO</t>
  </si>
  <si>
    <t>ALLOTMENT</t>
  </si>
  <si>
    <t>전담</t>
  </si>
  <si>
    <t>ALR</t>
  </si>
  <si>
    <t>ALL RESPONSIABLITY</t>
  </si>
  <si>
    <t>기조달액</t>
  </si>
  <si>
    <t>ALS</t>
  </si>
  <si>
    <t>ALREADY SUPPLY</t>
  </si>
  <si>
    <t>허용</t>
  </si>
  <si>
    <t>ALW</t>
  </si>
  <si>
    <t>ALLOW</t>
  </si>
  <si>
    <t>기납부</t>
  </si>
  <si>
    <t>ALY</t>
  </si>
  <si>
    <t>ALREADY PAYMENT</t>
  </si>
  <si>
    <t>금액가</t>
  </si>
  <si>
    <t>AMA</t>
  </si>
  <si>
    <t>AMOUTN ADD</t>
  </si>
  <si>
    <t>대리</t>
  </si>
  <si>
    <t>AMG</t>
  </si>
  <si>
    <t>ASSISTANTS MANAGER</t>
  </si>
  <si>
    <t>금액감</t>
  </si>
  <si>
    <t>AMS</t>
  </si>
  <si>
    <t>AMOUNT SUB</t>
  </si>
  <si>
    <t>가액</t>
  </si>
  <si>
    <t>AMT</t>
  </si>
  <si>
    <t>계</t>
  </si>
  <si>
    <t>금액</t>
  </si>
  <si>
    <t>액</t>
  </si>
  <si>
    <t>금액별</t>
  </si>
  <si>
    <t>AMY</t>
  </si>
  <si>
    <t>AMOUNT LY</t>
  </si>
  <si>
    <t>응답코드</t>
  </si>
  <si>
    <t>ANC</t>
  </si>
  <si>
    <t>ANSWER CODE</t>
  </si>
  <si>
    <t>첨부</t>
  </si>
  <si>
    <t>AND</t>
  </si>
  <si>
    <t>APPEND</t>
  </si>
  <si>
    <t>분석</t>
  </si>
  <si>
    <t>ANL</t>
  </si>
  <si>
    <t>ANALYSIS</t>
  </si>
  <si>
    <t>연금</t>
  </si>
  <si>
    <t>ANN</t>
  </si>
  <si>
    <t>ANNUITY</t>
  </si>
  <si>
    <t>대답</t>
  </si>
  <si>
    <t>ANS</t>
  </si>
  <si>
    <t>ANSWER</t>
  </si>
  <si>
    <t>응답자</t>
  </si>
  <si>
    <t>귀속</t>
  </si>
  <si>
    <t>ANX</t>
  </si>
  <si>
    <t>ANNEX</t>
  </si>
  <si>
    <t>회계기관</t>
  </si>
  <si>
    <t>AO</t>
  </si>
  <si>
    <t>수주공사</t>
  </si>
  <si>
    <t>AOC</t>
  </si>
  <si>
    <t>ACCEPTANCE ORDER CONSTRUCTION</t>
  </si>
  <si>
    <t>기일</t>
  </si>
  <si>
    <t>AOD</t>
  </si>
  <si>
    <t>APPOINTED DAY</t>
  </si>
  <si>
    <t>응소</t>
  </si>
  <si>
    <t>AOL</t>
  </si>
  <si>
    <t>ACCEPTANCE OF LEGAL SUIT</t>
  </si>
  <si>
    <t>자동화</t>
  </si>
  <si>
    <t>AOT</t>
  </si>
  <si>
    <t>AUTOMATIC</t>
  </si>
  <si>
    <t>승인금액</t>
  </si>
  <si>
    <t>APA</t>
  </si>
  <si>
    <t>APPROVAL AMOUNT</t>
  </si>
  <si>
    <t>추심반</t>
  </si>
  <si>
    <t>APC</t>
  </si>
  <si>
    <t>ACCEPTANCE CLASS</t>
  </si>
  <si>
    <t>품의조건</t>
  </si>
  <si>
    <t>승인일</t>
  </si>
  <si>
    <t>APD</t>
  </si>
  <si>
    <t>APPROVAL DATE</t>
  </si>
  <si>
    <t>품의서</t>
  </si>
  <si>
    <t>상소</t>
  </si>
  <si>
    <t>APE</t>
  </si>
  <si>
    <t>APPEAL</t>
  </si>
  <si>
    <t>결재일수F</t>
  </si>
  <si>
    <t>APF</t>
  </si>
  <si>
    <t>APPROVAL FROM</t>
  </si>
  <si>
    <t>품의보증</t>
  </si>
  <si>
    <t>APG</t>
  </si>
  <si>
    <t>APPROVAL GURRA</t>
  </si>
  <si>
    <t>승인</t>
  </si>
  <si>
    <t>APL</t>
  </si>
  <si>
    <t>APPROVAL</t>
  </si>
  <si>
    <t>신청</t>
  </si>
  <si>
    <t>출원</t>
  </si>
  <si>
    <t>추심</t>
  </si>
  <si>
    <t>APN</t>
  </si>
  <si>
    <t>ACCEPTANCE</t>
  </si>
  <si>
    <t>품의번호</t>
  </si>
  <si>
    <t>가점</t>
  </si>
  <si>
    <t>APO</t>
  </si>
  <si>
    <t>ADD POINT</t>
  </si>
  <si>
    <t>지정</t>
  </si>
  <si>
    <t>품의</t>
  </si>
  <si>
    <t>APP</t>
  </si>
  <si>
    <t>품의자</t>
  </si>
  <si>
    <t>APR</t>
  </si>
  <si>
    <t>APPROVALER</t>
  </si>
  <si>
    <t>품의연번</t>
  </si>
  <si>
    <t>APS</t>
  </si>
  <si>
    <t>APPROVAL SEQUENCT</t>
  </si>
  <si>
    <t>결재</t>
  </si>
  <si>
    <t>APV</t>
  </si>
  <si>
    <t>approval</t>
  </si>
  <si>
    <t>기지급</t>
  </si>
  <si>
    <t>APY</t>
  </si>
  <si>
    <t>취득일</t>
  </si>
  <si>
    <t>AQD</t>
  </si>
  <si>
    <t>ACQUIT DATE</t>
  </si>
  <si>
    <t>취득</t>
  </si>
  <si>
    <t>AQU</t>
  </si>
  <si>
    <t>구역</t>
  </si>
  <si>
    <t>ARA</t>
  </si>
  <si>
    <t>면적</t>
  </si>
  <si>
    <t>지역</t>
  </si>
  <si>
    <t>전담반</t>
  </si>
  <si>
    <t>ARC</t>
  </si>
  <si>
    <t>ALL RESPONSIABLITY CLASS</t>
  </si>
  <si>
    <t>정리일</t>
  </si>
  <si>
    <t>ARD</t>
  </si>
  <si>
    <t>정리</t>
  </si>
  <si>
    <t>ARE</t>
  </si>
  <si>
    <t>지</t>
  </si>
  <si>
    <t>정리절차</t>
  </si>
  <si>
    <t>ARP</t>
  </si>
  <si>
    <t>ARRANGE PROCEDURE</t>
  </si>
  <si>
    <t>해당</t>
  </si>
  <si>
    <t>ARR</t>
  </si>
  <si>
    <t>APPROPRIATION</t>
  </si>
  <si>
    <t>해당자</t>
  </si>
  <si>
    <t>도착</t>
  </si>
  <si>
    <t>ARV</t>
  </si>
  <si>
    <t>arrival</t>
  </si>
  <si>
    <t>조합</t>
  </si>
  <si>
    <t>ASA</t>
  </si>
  <si>
    <t>ASSOCIATION</t>
  </si>
  <si>
    <t>종합</t>
  </si>
  <si>
    <t>ASB</t>
  </si>
  <si>
    <t>ASSEMBLY</t>
  </si>
  <si>
    <t>조합코드</t>
  </si>
  <si>
    <t>ASC</t>
  </si>
  <si>
    <t>ASSOCIATION CODE</t>
  </si>
  <si>
    <t>보조</t>
  </si>
  <si>
    <t>ASE</t>
  </si>
  <si>
    <t>ASSITANCE</t>
  </si>
  <si>
    <t>자산과목</t>
  </si>
  <si>
    <t>ASG</t>
  </si>
  <si>
    <t>지정품목</t>
  </si>
  <si>
    <t>ASI</t>
  </si>
  <si>
    <t>ASSIGN ITEM</t>
  </si>
  <si>
    <t>대리인</t>
  </si>
  <si>
    <t>ASM</t>
  </si>
  <si>
    <t>농특</t>
  </si>
  <si>
    <t>ASP</t>
  </si>
  <si>
    <t>AGRICLUTUREAL SPECIAL</t>
  </si>
  <si>
    <t>사정</t>
  </si>
  <si>
    <t>ASS</t>
  </si>
  <si>
    <t>ASSESSMENT</t>
  </si>
  <si>
    <t>자산</t>
  </si>
  <si>
    <t>AST</t>
  </si>
  <si>
    <t>농특세</t>
  </si>
  <si>
    <t>ASX</t>
  </si>
  <si>
    <t>AGRICLUTUREAL SPECIAL TAX</t>
  </si>
  <si>
    <t>유치</t>
  </si>
  <si>
    <t>ATA</t>
  </si>
  <si>
    <t>ATTRACTION</t>
  </si>
  <si>
    <t>물품</t>
  </si>
  <si>
    <t>ATC</t>
  </si>
  <si>
    <t>사후</t>
  </si>
  <si>
    <t>ATF</t>
  </si>
  <si>
    <t>AFTER THE FACT</t>
  </si>
  <si>
    <t>사후관리</t>
  </si>
  <si>
    <t>ATM</t>
  </si>
  <si>
    <t>AFTER MANAGEMENT</t>
  </si>
  <si>
    <t>상시</t>
  </si>
  <si>
    <t>실익</t>
  </si>
  <si>
    <t>ATP</t>
  </si>
  <si>
    <t>ACTUAL PROFIT</t>
  </si>
  <si>
    <t>취학</t>
  </si>
  <si>
    <t>ATS</t>
  </si>
  <si>
    <t>ATTENDING SCHOOL</t>
  </si>
  <si>
    <t>부속</t>
  </si>
  <si>
    <t>ATT</t>
  </si>
  <si>
    <t>경매</t>
  </si>
  <si>
    <t>AUC</t>
  </si>
  <si>
    <t>AUCTION</t>
  </si>
  <si>
    <t>수정후</t>
  </si>
  <si>
    <t>AUP</t>
  </si>
  <si>
    <t>AFTER UPDATE</t>
  </si>
  <si>
    <t>자동</t>
  </si>
  <si>
    <t>AUT</t>
  </si>
  <si>
    <t>AUTOMATION</t>
  </si>
  <si>
    <t>결재일</t>
  </si>
  <si>
    <t>AVD</t>
  </si>
  <si>
    <t>APPROVAL DAY</t>
  </si>
  <si>
    <t>평균</t>
  </si>
  <si>
    <t>AVG</t>
  </si>
  <si>
    <t>가동</t>
  </si>
  <si>
    <t>AVL</t>
  </si>
  <si>
    <t>AVAILABLE</t>
  </si>
  <si>
    <t>가중치</t>
  </si>
  <si>
    <t>결재자</t>
  </si>
  <si>
    <t>AVR</t>
  </si>
  <si>
    <t>approver</t>
  </si>
  <si>
    <t>경락</t>
  </si>
  <si>
    <t>AWD</t>
  </si>
  <si>
    <t>AWARDING</t>
  </si>
  <si>
    <t>경락인</t>
  </si>
  <si>
    <t>AWR</t>
  </si>
  <si>
    <t>AWARDOR</t>
  </si>
  <si>
    <t>추산</t>
  </si>
  <si>
    <t>AXT</t>
  </si>
  <si>
    <t>추정</t>
  </si>
  <si>
    <t>신청일</t>
  </si>
  <si>
    <t>AYD</t>
  </si>
  <si>
    <t>APPLY DATE</t>
  </si>
  <si>
    <t>신청인</t>
  </si>
  <si>
    <t>AYR</t>
  </si>
  <si>
    <t>APPLYER</t>
  </si>
  <si>
    <t>신청자</t>
  </si>
  <si>
    <t>예산과목</t>
  </si>
  <si>
    <t>B</t>
  </si>
  <si>
    <t>BUDGET</t>
  </si>
  <si>
    <t>업계</t>
  </si>
  <si>
    <t>BAA</t>
  </si>
  <si>
    <t>BUSINESS AREA</t>
  </si>
  <si>
    <t>불량</t>
  </si>
  <si>
    <t>BAD</t>
  </si>
  <si>
    <t>배정</t>
  </si>
  <si>
    <t>BAE</t>
  </si>
  <si>
    <t>배정누계</t>
  </si>
  <si>
    <t>BAENGE</t>
  </si>
  <si>
    <t>구독</t>
  </si>
  <si>
    <t>BAR</t>
  </si>
  <si>
    <t>BUY AND READ</t>
  </si>
  <si>
    <t>근거</t>
  </si>
  <si>
    <t>BAS</t>
  </si>
  <si>
    <t>basis</t>
  </si>
  <si>
    <t>기본</t>
  </si>
  <si>
    <t>기초</t>
  </si>
  <si>
    <t>영업점장</t>
  </si>
  <si>
    <t>BBB</t>
  </si>
  <si>
    <t>BUSSNESS BRANCH BOSS</t>
  </si>
  <si>
    <t>영업점</t>
  </si>
  <si>
    <t>BBR</t>
  </si>
  <si>
    <t>BUSSNESS BRANCH</t>
  </si>
  <si>
    <t>법인카드</t>
  </si>
  <si>
    <t>BCARD</t>
  </si>
  <si>
    <t>점장</t>
  </si>
  <si>
    <t>BCF</t>
  </si>
  <si>
    <t>BRANCH CHIEF</t>
  </si>
  <si>
    <t>변경전</t>
  </si>
  <si>
    <t>BCH</t>
  </si>
  <si>
    <t>BEFORE CHANGE</t>
  </si>
  <si>
    <t>알선</t>
  </si>
  <si>
    <t>BCK</t>
  </si>
  <si>
    <t>BROKER</t>
  </si>
  <si>
    <t>전직급</t>
  </si>
  <si>
    <t>BCP</t>
  </si>
  <si>
    <t>BEFORE CAREER POSITION</t>
  </si>
  <si>
    <t>기지원자</t>
  </si>
  <si>
    <t>BCR</t>
  </si>
  <si>
    <t>CANDIDATE</t>
  </si>
  <si>
    <t>부실채권</t>
  </si>
  <si>
    <t>BDB</t>
  </si>
  <si>
    <t>BAD BILL</t>
  </si>
  <si>
    <t>전일</t>
  </si>
  <si>
    <t>BDD</t>
  </si>
  <si>
    <t>BEFORE DAY</t>
  </si>
  <si>
    <t>처분전</t>
  </si>
  <si>
    <t>BDP</t>
  </si>
  <si>
    <t>DISPOSAL BEFORE</t>
  </si>
  <si>
    <t>생년월일</t>
  </si>
  <si>
    <t>BDY</t>
  </si>
  <si>
    <t>BIRTHDAY</t>
  </si>
  <si>
    <t>비</t>
  </si>
  <si>
    <t>BEE</t>
  </si>
  <si>
    <t>이전</t>
  </si>
  <si>
    <t>BEF</t>
  </si>
  <si>
    <t>BEFORE</t>
  </si>
  <si>
    <t>전후</t>
  </si>
  <si>
    <t>기초제공품</t>
  </si>
  <si>
    <t>BEG</t>
  </si>
  <si>
    <t>BEGINNING GOODS</t>
  </si>
  <si>
    <t>이전징수</t>
  </si>
  <si>
    <t>BEL</t>
  </si>
  <si>
    <t>BEFORE LEVY</t>
  </si>
  <si>
    <t>당초</t>
  </si>
  <si>
    <t>BEN</t>
  </si>
  <si>
    <t>우수</t>
  </si>
  <si>
    <t>BES</t>
  </si>
  <si>
    <t>BEST</t>
  </si>
  <si>
    <t>전예산과목</t>
  </si>
  <si>
    <t>BF</t>
  </si>
  <si>
    <t>업력</t>
  </si>
  <si>
    <t>BFR</t>
  </si>
  <si>
    <t>BUSINESS FORCE</t>
  </si>
  <si>
    <t>수정전</t>
  </si>
  <si>
    <t>BFU</t>
  </si>
  <si>
    <t>BEFORE UPDATE</t>
  </si>
  <si>
    <t>예산계상</t>
  </si>
  <si>
    <t>BGAE</t>
  </si>
  <si>
    <t>본건설</t>
  </si>
  <si>
    <t>BGC</t>
  </si>
  <si>
    <t>BONGUN CONSTRUCTION</t>
  </si>
  <si>
    <t>시작일</t>
  </si>
  <si>
    <t>BGD</t>
  </si>
  <si>
    <t>BEGIN DATE</t>
  </si>
  <si>
    <t>본건</t>
  </si>
  <si>
    <t>BGN</t>
  </si>
  <si>
    <t>BONGUN</t>
  </si>
  <si>
    <t>대분류</t>
  </si>
  <si>
    <t>BGP</t>
  </si>
  <si>
    <t>BIG GROUPING</t>
  </si>
  <si>
    <t>전득자</t>
  </si>
  <si>
    <t>BGR</t>
  </si>
  <si>
    <t>BEFORE GETTER</t>
  </si>
  <si>
    <t>시작시간</t>
  </si>
  <si>
    <t>BGT</t>
  </si>
  <si>
    <t>BEGIN TIME</t>
  </si>
  <si>
    <t>보호</t>
  </si>
  <si>
    <t>BHO</t>
  </si>
  <si>
    <t>BOHO</t>
  </si>
  <si>
    <t>입찰</t>
  </si>
  <si>
    <t>BID</t>
  </si>
  <si>
    <t>전표</t>
  </si>
  <si>
    <t>BIL</t>
  </si>
  <si>
    <t>BILL</t>
  </si>
  <si>
    <t>영업</t>
  </si>
  <si>
    <t>BIS</t>
  </si>
  <si>
    <t>BUSINESS</t>
  </si>
  <si>
    <t>입찰일</t>
  </si>
  <si>
    <t>BIT</t>
  </si>
  <si>
    <t>BID TIME</t>
  </si>
  <si>
    <t>예산잔액</t>
  </si>
  <si>
    <t>BJAN</t>
  </si>
  <si>
    <t>예산집행</t>
  </si>
  <si>
    <t>BJIB</t>
  </si>
  <si>
    <t>법인주민</t>
  </si>
  <si>
    <t>BJM</t>
  </si>
  <si>
    <t>BPIN/JUMIN</t>
  </si>
  <si>
    <t>책자</t>
  </si>
  <si>
    <t>BKL</t>
  </si>
  <si>
    <t>BOOKLET</t>
  </si>
  <si>
    <t>게시판</t>
  </si>
  <si>
    <t>BLB</t>
  </si>
  <si>
    <t>BULLETIN BOARD,</t>
  </si>
  <si>
    <t>블록</t>
  </si>
  <si>
    <t>BLC</t>
  </si>
  <si>
    <t>BLOCK</t>
  </si>
  <si>
    <t>건물</t>
  </si>
  <si>
    <t>BLD</t>
  </si>
  <si>
    <t>BUILDING</t>
  </si>
  <si>
    <t>출혈</t>
  </si>
  <si>
    <t>BLE</t>
  </si>
  <si>
    <t>BLEEDING</t>
  </si>
  <si>
    <t>공란</t>
  </si>
  <si>
    <t>BLK</t>
  </si>
  <si>
    <t>BLANKS</t>
  </si>
  <si>
    <t>어음</t>
  </si>
  <si>
    <t>BLL</t>
  </si>
  <si>
    <t>건축</t>
  </si>
  <si>
    <t>BLM</t>
  </si>
  <si>
    <t>BUILDING MATRIALS</t>
  </si>
  <si>
    <t>소속</t>
  </si>
  <si>
    <t>BLN</t>
  </si>
  <si>
    <t>BELONGING</t>
  </si>
  <si>
    <t>소속명</t>
  </si>
  <si>
    <t>소속팀</t>
  </si>
  <si>
    <t>BLT</t>
  </si>
  <si>
    <t>BELONGING TEAM</t>
  </si>
  <si>
    <t>사전협의</t>
  </si>
  <si>
    <t>BME</t>
  </si>
  <si>
    <t>BEFORE MEETING</t>
  </si>
  <si>
    <t>예산미계상</t>
  </si>
  <si>
    <t>BMIG</t>
  </si>
  <si>
    <t>전월비</t>
  </si>
  <si>
    <t>BMR</t>
  </si>
  <si>
    <t>BEFORE MONTH RATE</t>
  </si>
  <si>
    <t>은행명</t>
  </si>
  <si>
    <t>BNA</t>
  </si>
  <si>
    <t>BANK NAME</t>
  </si>
  <si>
    <t>편의</t>
  </si>
  <si>
    <t>BNF</t>
  </si>
  <si>
    <t>BENEFIT</t>
  </si>
  <si>
    <t>은행</t>
  </si>
  <si>
    <t>BNK</t>
  </si>
  <si>
    <t>사업번호</t>
  </si>
  <si>
    <t>BNN</t>
  </si>
  <si>
    <t>BUSSINESS NO</t>
  </si>
  <si>
    <t>사례금</t>
  </si>
  <si>
    <t>BNS</t>
  </si>
  <si>
    <t>BONUS</t>
  </si>
  <si>
    <t>도서</t>
  </si>
  <si>
    <t>BOK</t>
  </si>
  <si>
    <t>BOOKS</t>
  </si>
  <si>
    <t>서적</t>
  </si>
  <si>
    <t>본</t>
  </si>
  <si>
    <t>BON</t>
  </si>
  <si>
    <t>부</t>
  </si>
  <si>
    <t>BOO</t>
  </si>
  <si>
    <t>법인</t>
  </si>
  <si>
    <t>BPI</t>
  </si>
  <si>
    <t>법인주민번호</t>
  </si>
  <si>
    <t>BPJ</t>
  </si>
  <si>
    <t>법인번호</t>
  </si>
  <si>
    <t>BPN</t>
  </si>
  <si>
    <t>BUPIN NUMBER</t>
  </si>
  <si>
    <t>해약</t>
  </si>
  <si>
    <t>BPR</t>
  </si>
  <si>
    <t>BREAK PROMISE</t>
  </si>
  <si>
    <t>부담분</t>
  </si>
  <si>
    <t>BRA</t>
  </si>
  <si>
    <t>BURDEN AMOUNT</t>
  </si>
  <si>
    <t>지점장</t>
  </si>
  <si>
    <t>BRC</t>
  </si>
  <si>
    <t>BRNCODE</t>
  </si>
  <si>
    <t>부담</t>
  </si>
  <si>
    <t>BRD</t>
  </si>
  <si>
    <t>BURDEN</t>
  </si>
  <si>
    <t>지점명</t>
  </si>
  <si>
    <t>BRE</t>
  </si>
  <si>
    <t>BRANCH NAME</t>
  </si>
  <si>
    <t>고장</t>
  </si>
  <si>
    <t>BRK</t>
  </si>
  <si>
    <t>BREAKDOWN</t>
  </si>
  <si>
    <t>차입금</t>
  </si>
  <si>
    <t>BRM</t>
  </si>
  <si>
    <t>BORROW MONEY</t>
  </si>
  <si>
    <t>부실</t>
  </si>
  <si>
    <t>BRN</t>
  </si>
  <si>
    <t>BRANCH</t>
  </si>
  <si>
    <t>부실점</t>
  </si>
  <si>
    <t>점명</t>
  </si>
  <si>
    <t>지사</t>
  </si>
  <si>
    <t>지점</t>
  </si>
  <si>
    <t>업권</t>
  </si>
  <si>
    <t>BSA</t>
  </si>
  <si>
    <t>BUSINESS SPACE</t>
  </si>
  <si>
    <t>업태</t>
  </si>
  <si>
    <t>BSC</t>
  </si>
  <si>
    <t>BUSINESS CLASS</t>
  </si>
  <si>
    <t>배서인</t>
  </si>
  <si>
    <t>BSI</t>
  </si>
  <si>
    <t>BAESUIN</t>
  </si>
  <si>
    <t>기준</t>
  </si>
  <si>
    <t>BSL</t>
  </si>
  <si>
    <t>사업</t>
  </si>
  <si>
    <t>BSN</t>
  </si>
  <si>
    <t>BUSSINESS</t>
  </si>
  <si>
    <t>우수성</t>
  </si>
  <si>
    <t>BSP</t>
  </si>
  <si>
    <t>BEST POINT</t>
  </si>
  <si>
    <t>근기</t>
  </si>
  <si>
    <t>BSS</t>
  </si>
  <si>
    <t>BASE SHEET</t>
  </si>
  <si>
    <t>기준표</t>
  </si>
  <si>
    <t>BST</t>
  </si>
  <si>
    <t>BASE TABLE</t>
  </si>
  <si>
    <t>예산통제</t>
  </si>
  <si>
    <t>BTON</t>
  </si>
  <si>
    <t>예산통제자</t>
  </si>
  <si>
    <t>BTONJA</t>
  </si>
  <si>
    <t>전차</t>
  </si>
  <si>
    <t>BTR</t>
  </si>
  <si>
    <t>BEFORE TERM</t>
  </si>
  <si>
    <t>수정전후</t>
  </si>
  <si>
    <t>BUA</t>
  </si>
  <si>
    <t>BEFORE AFTER UPDATE</t>
  </si>
  <si>
    <t>예산</t>
  </si>
  <si>
    <t>BUD</t>
  </si>
  <si>
    <t>매입</t>
  </si>
  <si>
    <t>BUI</t>
  </si>
  <si>
    <t>BUYING</t>
  </si>
  <si>
    <t>불</t>
  </si>
  <si>
    <t>BUL</t>
  </si>
  <si>
    <t>사업명</t>
  </si>
  <si>
    <t>BUN</t>
  </si>
  <si>
    <t>BUSSINESSNAME</t>
  </si>
  <si>
    <t>부섭</t>
  </si>
  <si>
    <t>BUS</t>
  </si>
  <si>
    <t>BUSUB</t>
  </si>
  <si>
    <t>부수</t>
  </si>
  <si>
    <t>출장</t>
  </si>
  <si>
    <t>BUT</t>
  </si>
  <si>
    <t>출장종료</t>
  </si>
  <si>
    <t>BUTEND</t>
  </si>
  <si>
    <t>출장목적</t>
  </si>
  <si>
    <t>BUTFOR</t>
  </si>
  <si>
    <t>출장자</t>
  </si>
  <si>
    <t>BUTJA</t>
  </si>
  <si>
    <t>출장시작</t>
  </si>
  <si>
    <t>BUTSTR</t>
  </si>
  <si>
    <t>사업성</t>
  </si>
  <si>
    <t>BUU</t>
  </si>
  <si>
    <t>BUSSINESSSUNG</t>
  </si>
  <si>
    <t>구입</t>
  </si>
  <si>
    <t>BUY</t>
  </si>
  <si>
    <t>매수</t>
  </si>
  <si>
    <t>경평</t>
  </si>
  <si>
    <t>BVL</t>
  </si>
  <si>
    <t>BUSINESS EVALUATION</t>
  </si>
  <si>
    <t>전근무지</t>
  </si>
  <si>
    <t>BWP</t>
  </si>
  <si>
    <t>BEFORE WORKPLACE</t>
  </si>
  <si>
    <t>분야</t>
  </si>
  <si>
    <t>BYA</t>
  </si>
  <si>
    <t>BUNYA</t>
  </si>
  <si>
    <t>매수자</t>
  </si>
  <si>
    <t>BYR</t>
  </si>
  <si>
    <t>BUYER</t>
  </si>
  <si>
    <t>매매</t>
  </si>
  <si>
    <t>BYS</t>
  </si>
  <si>
    <t>BUYING AND SELLING</t>
  </si>
  <si>
    <t>분양</t>
  </si>
  <si>
    <t>BYU</t>
  </si>
  <si>
    <t>BYUNYANG</t>
  </si>
  <si>
    <t>생년</t>
  </si>
  <si>
    <t>BYY</t>
  </si>
  <si>
    <t>BIRTH YEAR</t>
  </si>
  <si>
    <t>당좌계정</t>
  </si>
  <si>
    <t>CAA</t>
  </si>
  <si>
    <t>CURRENT ACCOUNT ACCOUNT</t>
  </si>
  <si>
    <t>현주소</t>
  </si>
  <si>
    <t>CAD</t>
  </si>
  <si>
    <t>CURRENT ADDRESS</t>
  </si>
  <si>
    <t>위임</t>
  </si>
  <si>
    <t>CAG</t>
  </si>
  <si>
    <t>CHARGE</t>
  </si>
  <si>
    <t>이용료</t>
  </si>
  <si>
    <t>자본</t>
  </si>
  <si>
    <t>CAI</t>
  </si>
  <si>
    <t>차마</t>
  </si>
  <si>
    <t>CAM</t>
  </si>
  <si>
    <t/>
  </si>
  <si>
    <t>출연금</t>
  </si>
  <si>
    <t>사유명</t>
  </si>
  <si>
    <t>CAN</t>
  </si>
  <si>
    <t>CAUSE NAME</t>
  </si>
  <si>
    <t>능력</t>
  </si>
  <si>
    <t>CAP</t>
  </si>
  <si>
    <t>CAPACITY</t>
  </si>
  <si>
    <t>당좌비율</t>
  </si>
  <si>
    <t>CAR</t>
  </si>
  <si>
    <t>CURRENT ACCOUNT RATE</t>
  </si>
  <si>
    <t>카드</t>
  </si>
  <si>
    <t>CARD</t>
  </si>
  <si>
    <t>당좌거래정지자</t>
  </si>
  <si>
    <t>CAS</t>
  </si>
  <si>
    <t>CURRENT ACCOUNT STOP</t>
  </si>
  <si>
    <t>당좌거래</t>
  </si>
  <si>
    <t>CAT</t>
  </si>
  <si>
    <t>CURRENT ACCOUNT TRADE</t>
  </si>
  <si>
    <t>요인</t>
  </si>
  <si>
    <t>CAU</t>
  </si>
  <si>
    <t>CAUSE</t>
  </si>
  <si>
    <t>상대점</t>
  </si>
  <si>
    <t>CBR</t>
  </si>
  <si>
    <t>COUNTER BRNACH</t>
  </si>
  <si>
    <t>조건변경</t>
  </si>
  <si>
    <t>CCD</t>
  </si>
  <si>
    <t>CHANGE CONDITION</t>
  </si>
  <si>
    <t>관심</t>
  </si>
  <si>
    <t>CCE</t>
  </si>
  <si>
    <t>CONCERN</t>
  </si>
  <si>
    <t>센터장</t>
  </si>
  <si>
    <t>CCF</t>
  </si>
  <si>
    <t>CENTER CHIEF</t>
  </si>
  <si>
    <t>협의회</t>
  </si>
  <si>
    <t>CCI</t>
  </si>
  <si>
    <t>COUNCIL</t>
  </si>
  <si>
    <t>계산</t>
  </si>
  <si>
    <t>CCL</t>
  </si>
  <si>
    <t>CALCULATION</t>
  </si>
  <si>
    <t>의뢰처명시</t>
  </si>
  <si>
    <t>CCN</t>
  </si>
  <si>
    <t>CLEAR CLIENT NAME</t>
  </si>
  <si>
    <t>현황</t>
  </si>
  <si>
    <t>CCR</t>
  </si>
  <si>
    <t>CURRENT CIRCUMSTANCES</t>
  </si>
  <si>
    <t>계산서</t>
  </si>
  <si>
    <t>CCS</t>
  </si>
  <si>
    <t>특성</t>
  </si>
  <si>
    <t>CCT</t>
  </si>
  <si>
    <t>CHARACTER</t>
  </si>
  <si>
    <t>코드</t>
  </si>
  <si>
    <t>CD</t>
  </si>
  <si>
    <t>체당금</t>
  </si>
  <si>
    <t>CDA</t>
  </si>
  <si>
    <t>CHEDANG AMOUNT</t>
  </si>
  <si>
    <t>체단비</t>
  </si>
  <si>
    <t>CDB</t>
  </si>
  <si>
    <t>CHEDANBI</t>
  </si>
  <si>
    <t>취소일</t>
  </si>
  <si>
    <t>CDD</t>
  </si>
  <si>
    <t>CANCLE DATE</t>
  </si>
  <si>
    <t>조의금</t>
  </si>
  <si>
    <t>CDE</t>
  </si>
  <si>
    <t>CONDOLENCE</t>
  </si>
  <si>
    <t>신용도</t>
  </si>
  <si>
    <t>CDG</t>
  </si>
  <si>
    <t>CREDIT DEGREE</t>
  </si>
  <si>
    <t>신용도별</t>
  </si>
  <si>
    <t>CDL</t>
  </si>
  <si>
    <t>CREDIT LY</t>
  </si>
  <si>
    <t>콘도명</t>
  </si>
  <si>
    <t>CDN</t>
  </si>
  <si>
    <t>CONDO NAME</t>
  </si>
  <si>
    <t>콘도</t>
  </si>
  <si>
    <t>CDO</t>
  </si>
  <si>
    <t>CONDO</t>
  </si>
  <si>
    <t>경기</t>
  </si>
  <si>
    <t>CDT</t>
  </si>
  <si>
    <t>CONDITION</t>
  </si>
  <si>
    <t>시군구</t>
  </si>
  <si>
    <t>CDW</t>
  </si>
  <si>
    <t>CITY DISTRICT WARD</t>
  </si>
  <si>
    <t>여신</t>
  </si>
  <si>
    <t>CED</t>
  </si>
  <si>
    <t>CREDIT</t>
  </si>
  <si>
    <t>대표자명</t>
  </si>
  <si>
    <t>CEN</t>
  </si>
  <si>
    <t>CHIEF EXECUTIVE OFFICER</t>
  </si>
  <si>
    <t>대표자</t>
  </si>
  <si>
    <t>CEO</t>
  </si>
  <si>
    <t>chief executive officer</t>
  </si>
  <si>
    <t>생성자</t>
  </si>
  <si>
    <t>CER</t>
  </si>
  <si>
    <t>CREATER</t>
  </si>
  <si>
    <t>증서</t>
  </si>
  <si>
    <t>징수자</t>
  </si>
  <si>
    <t>센타</t>
  </si>
  <si>
    <t>CET</t>
  </si>
  <si>
    <t>CENTER</t>
  </si>
  <si>
    <t>센터</t>
  </si>
  <si>
    <t>전송</t>
  </si>
  <si>
    <t>CEY</t>
  </si>
  <si>
    <t>CONVEYANCE</t>
  </si>
  <si>
    <t>신뢰도</t>
  </si>
  <si>
    <t>CFD</t>
  </si>
  <si>
    <t>CONFIDENCE</t>
  </si>
  <si>
    <t>경합</t>
  </si>
  <si>
    <t>CFT</t>
  </si>
  <si>
    <t>CONFLICIT</t>
  </si>
  <si>
    <t>현금소유액</t>
  </si>
  <si>
    <t>CGE</t>
  </si>
  <si>
    <t>CASH GET</t>
  </si>
  <si>
    <t>변경자</t>
  </si>
  <si>
    <t>CGR</t>
  </si>
  <si>
    <t>CHANGER</t>
  </si>
  <si>
    <t>1차</t>
  </si>
  <si>
    <t>CH1</t>
  </si>
  <si>
    <t>1 CHA</t>
  </si>
  <si>
    <t>2차</t>
  </si>
  <si>
    <t>CH2</t>
  </si>
  <si>
    <t>차</t>
  </si>
  <si>
    <t>CHA</t>
  </si>
  <si>
    <t>차변</t>
  </si>
  <si>
    <t>차변누계</t>
  </si>
  <si>
    <t>CHANGE</t>
  </si>
  <si>
    <t>출산</t>
  </si>
  <si>
    <t>CHB</t>
  </si>
  <si>
    <t>CHILDBIRTH</t>
  </si>
  <si>
    <t>변경일</t>
  </si>
  <si>
    <t>CHD</t>
  </si>
  <si>
    <t>CHANGE DATE</t>
  </si>
  <si>
    <t>차대</t>
  </si>
  <si>
    <t>체당</t>
  </si>
  <si>
    <t>CHE</t>
  </si>
  <si>
    <t>CHEDANG</t>
  </si>
  <si>
    <t>서장</t>
  </si>
  <si>
    <t>CHF</t>
  </si>
  <si>
    <t>CHIEF</t>
  </si>
  <si>
    <t>변경</t>
  </si>
  <si>
    <t>CHG</t>
  </si>
  <si>
    <t>변동</t>
  </si>
  <si>
    <t>변화</t>
  </si>
  <si>
    <t>차인</t>
  </si>
  <si>
    <t>CHI</t>
  </si>
  <si>
    <t>CHAIN</t>
  </si>
  <si>
    <t>수표</t>
  </si>
  <si>
    <t>CHK</t>
  </si>
  <si>
    <t>점검</t>
  </si>
  <si>
    <t>차인지급</t>
  </si>
  <si>
    <t>체크</t>
  </si>
  <si>
    <t>확인</t>
  </si>
  <si>
    <t>변경관련</t>
  </si>
  <si>
    <t>CHL</t>
  </si>
  <si>
    <t>CHANGE RELATION</t>
  </si>
  <si>
    <t>이사장</t>
  </si>
  <si>
    <t>CHM</t>
  </si>
  <si>
    <t>CHAIRMAN</t>
  </si>
  <si>
    <t>변경점</t>
  </si>
  <si>
    <t>CHP</t>
  </si>
  <si>
    <t>CHANGE POINT</t>
  </si>
  <si>
    <t>차수</t>
  </si>
  <si>
    <t>CHS</t>
  </si>
  <si>
    <t>CHASU</t>
  </si>
  <si>
    <t>추경</t>
  </si>
  <si>
    <t>CHU</t>
  </si>
  <si>
    <t>기업정보</t>
  </si>
  <si>
    <t>CIF</t>
  </si>
  <si>
    <t>COMPANY INFORMATION</t>
  </si>
  <si>
    <t>금융</t>
  </si>
  <si>
    <t>CIM</t>
  </si>
  <si>
    <t>CIRCULATION OF MONEY</t>
  </si>
  <si>
    <t>경쟁사</t>
  </si>
  <si>
    <t>CIO</t>
  </si>
  <si>
    <t>COMPETITOR</t>
  </si>
  <si>
    <t>신용</t>
  </si>
  <si>
    <t>CIT</t>
  </si>
  <si>
    <t>계속</t>
  </si>
  <si>
    <t>CIU</t>
  </si>
  <si>
    <t>CONTINUE</t>
  </si>
  <si>
    <t>현금조달액</t>
  </si>
  <si>
    <t>CJD</t>
  </si>
  <si>
    <t>CASH JODAL</t>
  </si>
  <si>
    <t>차인지급액</t>
  </si>
  <si>
    <t>CJK</t>
  </si>
  <si>
    <t>CHAINJIKUBAK</t>
  </si>
  <si>
    <t>확인자</t>
  </si>
  <si>
    <t>CKR</t>
  </si>
  <si>
    <t>CHECKER</t>
  </si>
  <si>
    <t>지목</t>
  </si>
  <si>
    <t>CLA</t>
  </si>
  <si>
    <t>CLASSIFICATION OF LAND</t>
  </si>
  <si>
    <t>완료일</t>
  </si>
  <si>
    <t>CLD</t>
  </si>
  <si>
    <t>COMPLETION DATE</t>
  </si>
  <si>
    <t>자녀</t>
  </si>
  <si>
    <t>별</t>
  </si>
  <si>
    <t>CLF</t>
  </si>
  <si>
    <t>CLASSIFY</t>
  </si>
  <si>
    <t>종별</t>
  </si>
  <si>
    <t>의뢰자</t>
  </si>
  <si>
    <t>CLI</t>
  </si>
  <si>
    <t>CLIENT</t>
  </si>
  <si>
    <t>행원</t>
  </si>
  <si>
    <t>CLK</t>
  </si>
  <si>
    <t>CLERK</t>
  </si>
  <si>
    <t>의뢰처명</t>
  </si>
  <si>
    <t>CLN</t>
  </si>
  <si>
    <t>CLIENT NAME</t>
  </si>
  <si>
    <t>폐지</t>
  </si>
  <si>
    <t>CLO</t>
  </si>
  <si>
    <t>CLOSS</t>
  </si>
  <si>
    <t>타당성</t>
  </si>
  <si>
    <t>CLR</t>
  </si>
  <si>
    <t>CLEAR</t>
  </si>
  <si>
    <t>폐쇄</t>
  </si>
  <si>
    <t>CLS</t>
  </si>
  <si>
    <t>CLOSURE</t>
  </si>
  <si>
    <t>완료</t>
  </si>
  <si>
    <t>CLT</t>
  </si>
  <si>
    <t>COMPLETION</t>
  </si>
  <si>
    <t>배상금</t>
  </si>
  <si>
    <t>CMA</t>
  </si>
  <si>
    <t>COMPENSATION AMOUNT</t>
  </si>
  <si>
    <t>명령</t>
  </si>
  <si>
    <t>CMD</t>
  </si>
  <si>
    <t>명시</t>
  </si>
  <si>
    <t>금융비용</t>
  </si>
  <si>
    <t>CME</t>
  </si>
  <si>
    <t>CIRCULATION OF MONEY EXPENSES</t>
  </si>
  <si>
    <t>수수료</t>
  </si>
  <si>
    <t>CMF</t>
  </si>
  <si>
    <t>COMMISSION FEE</t>
  </si>
  <si>
    <t>완성도</t>
  </si>
  <si>
    <t>CMG</t>
  </si>
  <si>
    <t>COMPLETE DEGREE</t>
  </si>
  <si>
    <t>수수</t>
  </si>
  <si>
    <t>CMI</t>
  </si>
  <si>
    <t>COMMISION</t>
  </si>
  <si>
    <t>당월</t>
  </si>
  <si>
    <t>CMM</t>
  </si>
  <si>
    <t>CURRENT MONTH</t>
  </si>
  <si>
    <t>기업명</t>
  </si>
  <si>
    <t>CMN</t>
  </si>
  <si>
    <t>COMPANY NAME</t>
  </si>
  <si>
    <t>금융기관</t>
  </si>
  <si>
    <t>CMO</t>
  </si>
  <si>
    <t>기업</t>
  </si>
  <si>
    <t>CMP</t>
  </si>
  <si>
    <t>COMPANY</t>
  </si>
  <si>
    <t>기업체</t>
  </si>
  <si>
    <t>업체</t>
  </si>
  <si>
    <t>회사</t>
  </si>
  <si>
    <t>고유번호</t>
  </si>
  <si>
    <t>CMPID</t>
  </si>
  <si>
    <t>COMPANY IDENTIFICATION</t>
  </si>
  <si>
    <t>기업체명</t>
  </si>
  <si>
    <t>CMPNAM</t>
  </si>
  <si>
    <t>회사채</t>
  </si>
  <si>
    <t>CMS</t>
  </si>
  <si>
    <t>COMPANY STOCK</t>
  </si>
  <si>
    <t>자본재</t>
  </si>
  <si>
    <t>CMT</t>
  </si>
  <si>
    <t>CAPITAL MATERIAL</t>
  </si>
  <si>
    <t>통근</t>
  </si>
  <si>
    <t>CMU</t>
  </si>
  <si>
    <t>COMMUTE</t>
  </si>
  <si>
    <t>통신</t>
  </si>
  <si>
    <t>취소</t>
  </si>
  <si>
    <t>CNC</t>
  </si>
  <si>
    <t>CANCEL</t>
  </si>
  <si>
    <t>조건</t>
  </si>
  <si>
    <t>CND</t>
  </si>
  <si>
    <t>저촉</t>
  </si>
  <si>
    <t>CNF</t>
  </si>
  <si>
    <t>CONFLICT</t>
  </si>
  <si>
    <t>취소시</t>
  </si>
  <si>
    <t>CNL</t>
  </si>
  <si>
    <t>CANCEL TIME</t>
  </si>
  <si>
    <t>현원</t>
  </si>
  <si>
    <t>CNN</t>
  </si>
  <si>
    <t>CURRENT</t>
  </si>
  <si>
    <t>취소자</t>
  </si>
  <si>
    <t>CNR</t>
  </si>
  <si>
    <t>CANCLER</t>
  </si>
  <si>
    <t>건수</t>
  </si>
  <si>
    <t>CNT</t>
  </si>
  <si>
    <t>계수</t>
  </si>
  <si>
    <t>적수</t>
  </si>
  <si>
    <t>회차</t>
  </si>
  <si>
    <t>횟수</t>
  </si>
  <si>
    <t>환산</t>
  </si>
  <si>
    <t>CNV</t>
  </si>
  <si>
    <t>CONVERSION</t>
  </si>
  <si>
    <t>횟수년</t>
  </si>
  <si>
    <t>CNY</t>
  </si>
  <si>
    <t>COUNT YEAR</t>
  </si>
  <si>
    <t>총도급업체</t>
  </si>
  <si>
    <t>COC</t>
  </si>
  <si>
    <t>CONTRACT OF COMPANY</t>
  </si>
  <si>
    <t>대응</t>
  </si>
  <si>
    <t>COE</t>
  </si>
  <si>
    <t>CORRESPONDENCE</t>
  </si>
  <si>
    <t>공통</t>
  </si>
  <si>
    <t>COM</t>
  </si>
  <si>
    <t>COMMON</t>
  </si>
  <si>
    <t>차주명</t>
  </si>
  <si>
    <t>CON</t>
  </si>
  <si>
    <t>CAR OWNER NAME</t>
  </si>
  <si>
    <t>공동</t>
  </si>
  <si>
    <t>COO</t>
  </si>
  <si>
    <t>COOPERATION</t>
  </si>
  <si>
    <t>구성</t>
  </si>
  <si>
    <t>COP</t>
  </si>
  <si>
    <t>COMPOSITION</t>
  </si>
  <si>
    <t>색깔</t>
  </si>
  <si>
    <t>COR</t>
  </si>
  <si>
    <t>COLOR</t>
  </si>
  <si>
    <t>핵심</t>
  </si>
  <si>
    <t>대조</t>
  </si>
  <si>
    <t>COT</t>
  </si>
  <si>
    <t>CONTRAST</t>
  </si>
  <si>
    <t>차주</t>
  </si>
  <si>
    <t>COW</t>
  </si>
  <si>
    <t>CAR OWNER</t>
  </si>
  <si>
    <t>산정</t>
  </si>
  <si>
    <t>CPA</t>
  </si>
  <si>
    <t>COMPUTATION</t>
  </si>
  <si>
    <t>복사일자</t>
  </si>
  <si>
    <t>CPD</t>
  </si>
  <si>
    <t>COPY DATE</t>
  </si>
  <si>
    <t>맞벌이</t>
  </si>
  <si>
    <t>CPE</t>
  </si>
  <si>
    <t xml:space="preserve">COUPLE EARNING </t>
  </si>
  <si>
    <t>배우자</t>
  </si>
  <si>
    <t>이월이익잉여금</t>
  </si>
  <si>
    <t>CPF</t>
  </si>
  <si>
    <t>CARRIED PROFIT</t>
  </si>
  <si>
    <t>분규</t>
  </si>
  <si>
    <t>CPI</t>
  </si>
  <si>
    <t>COMPLICATION</t>
  </si>
  <si>
    <t>완성</t>
  </si>
  <si>
    <t>CPL</t>
  </si>
  <si>
    <t>COMPLETE</t>
  </si>
  <si>
    <t>업체명</t>
  </si>
  <si>
    <t>CPN</t>
  </si>
  <si>
    <t>업체수</t>
  </si>
  <si>
    <t>사본</t>
  </si>
  <si>
    <t>CPO</t>
  </si>
  <si>
    <t>COPY OBJECT</t>
  </si>
  <si>
    <t>복사자</t>
  </si>
  <si>
    <t>CPR</t>
  </si>
  <si>
    <t>COPYER</t>
  </si>
  <si>
    <t>법인세</t>
  </si>
  <si>
    <t>CPT</t>
  </si>
  <si>
    <t>CORPORATION TAX</t>
  </si>
  <si>
    <t>전산</t>
  </si>
  <si>
    <t>CPU</t>
  </si>
  <si>
    <t>COMPUTER</t>
  </si>
  <si>
    <t>복사</t>
  </si>
  <si>
    <t>CPY</t>
  </si>
  <si>
    <t>COPYING</t>
  </si>
  <si>
    <t>COPY</t>
  </si>
  <si>
    <t>당좌</t>
  </si>
  <si>
    <t>CRA</t>
  </si>
  <si>
    <t>성격</t>
  </si>
  <si>
    <t>CRC</t>
  </si>
  <si>
    <t>생성일</t>
  </si>
  <si>
    <t>CRD</t>
  </si>
  <si>
    <t>CREATE DATE</t>
  </si>
  <si>
    <t>현재</t>
  </si>
  <si>
    <t>CRE</t>
  </si>
  <si>
    <t>통화</t>
  </si>
  <si>
    <t>CRN</t>
  </si>
  <si>
    <t>CURRENCY</t>
  </si>
  <si>
    <t>경력</t>
  </si>
  <si>
    <t>CRR</t>
  </si>
  <si>
    <t>CAREER</t>
  </si>
  <si>
    <t>생성</t>
  </si>
  <si>
    <t>CRT</t>
  </si>
  <si>
    <t>CREATE</t>
  </si>
  <si>
    <t>공사액</t>
  </si>
  <si>
    <t>CSA</t>
  </si>
  <si>
    <t>CONSTRUCTION AMOUNT</t>
  </si>
  <si>
    <t>원인</t>
  </si>
  <si>
    <t>CSE</t>
  </si>
  <si>
    <t>원인행위</t>
  </si>
  <si>
    <t>인허가</t>
  </si>
  <si>
    <t>원인행위자</t>
  </si>
  <si>
    <t>CSEJA</t>
  </si>
  <si>
    <t>지급현금</t>
  </si>
  <si>
    <t>CSH</t>
  </si>
  <si>
    <t>PAY CASH</t>
  </si>
  <si>
    <t>현금</t>
  </si>
  <si>
    <t>건설업</t>
  </si>
  <si>
    <t>CSI</t>
  </si>
  <si>
    <t>CONSTRUCTION</t>
  </si>
  <si>
    <t>공사명</t>
  </si>
  <si>
    <t>CSN</t>
  </si>
  <si>
    <t>CONSTRUCTION NAME</t>
  </si>
  <si>
    <t>준공</t>
  </si>
  <si>
    <t>보관</t>
  </si>
  <si>
    <t>CSO</t>
  </si>
  <si>
    <t>CUSTODY</t>
  </si>
  <si>
    <t>건설</t>
  </si>
  <si>
    <t>CSR</t>
  </si>
  <si>
    <t>공사</t>
  </si>
  <si>
    <t>분류</t>
  </si>
  <si>
    <t>CSS</t>
  </si>
  <si>
    <t>CLASS</t>
  </si>
  <si>
    <t>고객</t>
  </si>
  <si>
    <t>CST</t>
  </si>
  <si>
    <t>비용</t>
  </si>
  <si>
    <t>기부</t>
  </si>
  <si>
    <t>CTB</t>
  </si>
  <si>
    <t>기부금</t>
  </si>
  <si>
    <t>CONTRIBUTION</t>
  </si>
  <si>
    <t>자문처</t>
  </si>
  <si>
    <t>CTC</t>
  </si>
  <si>
    <t>CONSULTATION CENTER</t>
  </si>
  <si>
    <t>계약일</t>
  </si>
  <si>
    <t>CTD</t>
  </si>
  <si>
    <t>CONTRACT DATE</t>
  </si>
  <si>
    <t>인증</t>
  </si>
  <si>
    <t>CTF</t>
  </si>
  <si>
    <t>CERTIFICATION</t>
  </si>
  <si>
    <t>기여도</t>
  </si>
  <si>
    <t>CTG</t>
  </si>
  <si>
    <t>CONTRIBUTION DEGREE</t>
  </si>
  <si>
    <t>관할</t>
  </si>
  <si>
    <t>CTL</t>
  </si>
  <si>
    <t>CONTROL</t>
  </si>
  <si>
    <t>통제</t>
  </si>
  <si>
    <t>통할</t>
  </si>
  <si>
    <t>계약직</t>
  </si>
  <si>
    <t>CTP</t>
  </si>
  <si>
    <t>CONTRACT POSITION</t>
  </si>
  <si>
    <t>계약자</t>
  </si>
  <si>
    <t>CTR</t>
  </si>
  <si>
    <t>CONTRACTOR</t>
  </si>
  <si>
    <t>협약</t>
  </si>
  <si>
    <t>계약</t>
  </si>
  <si>
    <t>CTT</t>
  </si>
  <si>
    <t>contract</t>
  </si>
  <si>
    <t>국내</t>
  </si>
  <si>
    <t>CTY</t>
  </si>
  <si>
    <t>COUNTRY</t>
  </si>
  <si>
    <t>당일</t>
  </si>
  <si>
    <t>CUD</t>
  </si>
  <si>
    <t>CURRENT DAY</t>
  </si>
  <si>
    <t>학과</t>
  </si>
  <si>
    <t>CUR</t>
  </si>
  <si>
    <t>CURRICULUM</t>
  </si>
  <si>
    <t>법원</t>
  </si>
  <si>
    <t>CUT</t>
  </si>
  <si>
    <t>A COURT</t>
  </si>
  <si>
    <t>환산액</t>
  </si>
  <si>
    <t>CVA</t>
  </si>
  <si>
    <t>CONVERSION AMOUNT</t>
  </si>
  <si>
    <t>양도일</t>
  </si>
  <si>
    <t>CVD</t>
  </si>
  <si>
    <t>CONVEY DATE</t>
  </si>
  <si>
    <t>전환건</t>
  </si>
  <si>
    <t>CVL</t>
  </si>
  <si>
    <t>CONVERT LY</t>
  </si>
  <si>
    <t>전입</t>
  </si>
  <si>
    <t>CVT</t>
  </si>
  <si>
    <t>전환</t>
  </si>
  <si>
    <t>양도</t>
  </si>
  <si>
    <t>CVY</t>
  </si>
  <si>
    <t>CONVEY</t>
  </si>
  <si>
    <t>합작</t>
  </si>
  <si>
    <t>CWK</t>
  </si>
  <si>
    <t>CO WORK</t>
  </si>
  <si>
    <t>이월예산</t>
  </si>
  <si>
    <t>CYB</t>
  </si>
  <si>
    <t>회전</t>
  </si>
  <si>
    <t>CYC</t>
  </si>
  <si>
    <t>CYCLE</t>
  </si>
  <si>
    <t>이월</t>
  </si>
  <si>
    <t>CYF</t>
  </si>
  <si>
    <t>금융여부</t>
  </si>
  <si>
    <t>CYN</t>
  </si>
  <si>
    <t>CIRCULATION WHETHER</t>
  </si>
  <si>
    <t>회전율</t>
  </si>
  <si>
    <t>CYR</t>
  </si>
  <si>
    <t>CYCLE RATE</t>
  </si>
  <si>
    <t>당해</t>
  </si>
  <si>
    <t>CYY</t>
  </si>
  <si>
    <t>CURRENT YEAR</t>
  </si>
  <si>
    <t>일간</t>
  </si>
  <si>
    <t>DAD</t>
  </si>
  <si>
    <t>대</t>
  </si>
  <si>
    <t>DAE</t>
  </si>
  <si>
    <t>대변</t>
  </si>
  <si>
    <t>대변누계</t>
  </si>
  <si>
    <t>DAENGE</t>
  </si>
  <si>
    <t>일별</t>
  </si>
  <si>
    <t>DAL</t>
  </si>
  <si>
    <t>DAILY</t>
  </si>
  <si>
    <t>가배당</t>
  </si>
  <si>
    <t>DAP</t>
  </si>
  <si>
    <t>DUMMY APPORTIONMENT</t>
  </si>
  <si>
    <t>수급</t>
  </si>
  <si>
    <t>DAS</t>
  </si>
  <si>
    <t>DEMAND AND SUPPLY</t>
  </si>
  <si>
    <t>날자</t>
  </si>
  <si>
    <t>DAT</t>
  </si>
  <si>
    <t>날짜</t>
  </si>
  <si>
    <t>일자</t>
  </si>
  <si>
    <t>일</t>
  </si>
  <si>
    <t>DAY</t>
  </si>
  <si>
    <t>채무명의</t>
  </si>
  <si>
    <t>DBF</t>
  </si>
  <si>
    <t>DEBT FORCEMENT</t>
  </si>
  <si>
    <t>채무관계자</t>
  </si>
  <si>
    <t>DBL</t>
  </si>
  <si>
    <t>DEBTOR RELATE</t>
  </si>
  <si>
    <t>채무자명</t>
  </si>
  <si>
    <t>DBN</t>
  </si>
  <si>
    <t>DEBTOR NAME</t>
  </si>
  <si>
    <t>채무자</t>
  </si>
  <si>
    <t>DBR</t>
  </si>
  <si>
    <t>DEBTOR</t>
  </si>
  <si>
    <t>부채</t>
  </si>
  <si>
    <t>DBT</t>
  </si>
  <si>
    <t>DEBT</t>
  </si>
  <si>
    <t>채무</t>
  </si>
  <si>
    <t>결정</t>
  </si>
  <si>
    <t>DCD</t>
  </si>
  <si>
    <t>DECIDE</t>
  </si>
  <si>
    <t>결정일</t>
  </si>
  <si>
    <t>군필</t>
  </si>
  <si>
    <t>DCG</t>
  </si>
  <si>
    <t>DISCHARGE OF AMRY</t>
  </si>
  <si>
    <t>대체</t>
  </si>
  <si>
    <t>DCH</t>
  </si>
  <si>
    <t>처분</t>
  </si>
  <si>
    <t>DCI</t>
  </si>
  <si>
    <t>세분류</t>
  </si>
  <si>
    <t>DCL</t>
  </si>
  <si>
    <t>DETAIL PART</t>
  </si>
  <si>
    <t>휴폐업</t>
  </si>
  <si>
    <t>DCN</t>
  </si>
  <si>
    <t>DISCONTINUE</t>
  </si>
  <si>
    <t>복본</t>
  </si>
  <si>
    <t>DCP</t>
  </si>
  <si>
    <t>DOUBLE COPY</t>
  </si>
  <si>
    <t>결의</t>
  </si>
  <si>
    <t>DCS</t>
  </si>
  <si>
    <t>decision</t>
  </si>
  <si>
    <t>결의서</t>
  </si>
  <si>
    <t>담당</t>
  </si>
  <si>
    <t>DD</t>
  </si>
  <si>
    <t>담당자</t>
  </si>
  <si>
    <t>DDJ</t>
  </si>
  <si>
    <t>담당자명</t>
  </si>
  <si>
    <t>감소액</t>
  </si>
  <si>
    <t>DEA</t>
  </si>
  <si>
    <t>감</t>
  </si>
  <si>
    <t>DEC</t>
  </si>
  <si>
    <t>decrease</t>
  </si>
  <si>
    <t>감소</t>
  </si>
  <si>
    <t>DECREMENT</t>
  </si>
  <si>
    <t>삭제일</t>
  </si>
  <si>
    <t>DED</t>
  </si>
  <si>
    <t>DELETE DATE</t>
  </si>
  <si>
    <t>대졸</t>
  </si>
  <si>
    <t>DEJ</t>
  </si>
  <si>
    <t>DAEJOL</t>
  </si>
  <si>
    <t>삭제</t>
  </si>
  <si>
    <t>DEL</t>
  </si>
  <si>
    <t>부점</t>
  </si>
  <si>
    <t>DEP</t>
  </si>
  <si>
    <t>DEPART</t>
  </si>
  <si>
    <t>발의부서</t>
  </si>
  <si>
    <t>DEPT</t>
  </si>
  <si>
    <t>삭제자</t>
  </si>
  <si>
    <t>DER</t>
  </si>
  <si>
    <t>DELETER</t>
  </si>
  <si>
    <t>가마감</t>
  </si>
  <si>
    <t>DEW</t>
  </si>
  <si>
    <t>DUMMY END WORK</t>
  </si>
  <si>
    <t>고충</t>
  </si>
  <si>
    <t>DFC</t>
  </si>
  <si>
    <t>DIFFICULTY</t>
  </si>
  <si>
    <t>난이도</t>
  </si>
  <si>
    <t>DFD</t>
  </si>
  <si>
    <t>DIFFICULT DEGREE</t>
  </si>
  <si>
    <t>일비</t>
  </si>
  <si>
    <t>DFE</t>
  </si>
  <si>
    <t>차액</t>
  </si>
  <si>
    <t>DFF</t>
  </si>
  <si>
    <t>DIFFERENCE</t>
  </si>
  <si>
    <t>적자</t>
  </si>
  <si>
    <t>DFI</t>
  </si>
  <si>
    <t>DEFICIT</t>
  </si>
  <si>
    <t>당발</t>
  </si>
  <si>
    <t>DGB</t>
  </si>
  <si>
    <t>DANGBAL</t>
  </si>
  <si>
    <t>사해</t>
  </si>
  <si>
    <t>DGE</t>
  </si>
  <si>
    <t>일계</t>
  </si>
  <si>
    <t>당기금</t>
  </si>
  <si>
    <t>DGG</t>
  </si>
  <si>
    <t>DANGIGUM</t>
  </si>
  <si>
    <t>의무분류</t>
  </si>
  <si>
    <t>DGR</t>
  </si>
  <si>
    <t>DUTY GROUPING</t>
  </si>
  <si>
    <t>학위</t>
  </si>
  <si>
    <t>요약</t>
  </si>
  <si>
    <t>DGS</t>
  </si>
  <si>
    <t>DIGEST</t>
  </si>
  <si>
    <t>부장</t>
  </si>
  <si>
    <t>DHF</t>
  </si>
  <si>
    <t>DEPART CHIEF</t>
  </si>
  <si>
    <t>다항</t>
  </si>
  <si>
    <t>DHG</t>
  </si>
  <si>
    <t>DAHWANG</t>
  </si>
  <si>
    <t>할인</t>
  </si>
  <si>
    <t>DIC</t>
  </si>
  <si>
    <t>DISCOUNT</t>
  </si>
  <si>
    <t>소멸</t>
  </si>
  <si>
    <t>DIE</t>
  </si>
  <si>
    <t>일보</t>
  </si>
  <si>
    <t>DIP</t>
  </si>
  <si>
    <t>DAILY REPORT</t>
  </si>
  <si>
    <t>직접</t>
  </si>
  <si>
    <t>DIR</t>
  </si>
  <si>
    <t>DIRECT</t>
  </si>
  <si>
    <t>전시</t>
  </si>
  <si>
    <t>DIS</t>
  </si>
  <si>
    <t>DISPLAY</t>
  </si>
  <si>
    <t>분할</t>
  </si>
  <si>
    <t>DIV</t>
  </si>
  <si>
    <t>DIVIDE</t>
  </si>
  <si>
    <t>일좌</t>
  </si>
  <si>
    <t>DJA</t>
  </si>
  <si>
    <t>DAILY JOA</t>
  </si>
  <si>
    <t>연체보증료</t>
  </si>
  <si>
    <t>DLA</t>
  </si>
  <si>
    <t>DELAY AMOUNT</t>
  </si>
  <si>
    <t>납입지체</t>
  </si>
  <si>
    <t>DLD</t>
  </si>
  <si>
    <t>DELIVERY DELAY</t>
  </si>
  <si>
    <t>DLF</t>
  </si>
  <si>
    <t>납입</t>
  </si>
  <si>
    <t>DLI</t>
  </si>
  <si>
    <t>DELIVERY</t>
  </si>
  <si>
    <t>지연요율</t>
  </si>
  <si>
    <t>DLR</t>
  </si>
  <si>
    <t>DELAY RATE</t>
  </si>
  <si>
    <t>납품</t>
  </si>
  <si>
    <t>DLV</t>
  </si>
  <si>
    <t>delivery</t>
  </si>
  <si>
    <t>송달</t>
  </si>
  <si>
    <t>인도</t>
  </si>
  <si>
    <t>연체</t>
  </si>
  <si>
    <t>DLY</t>
  </si>
  <si>
    <t>DELAY</t>
  </si>
  <si>
    <t>지연</t>
  </si>
  <si>
    <t>지체</t>
  </si>
  <si>
    <t>체불</t>
  </si>
  <si>
    <t>담보</t>
  </si>
  <si>
    <t>DMB</t>
  </si>
  <si>
    <t>DAMBO</t>
  </si>
  <si>
    <t>담보권</t>
  </si>
  <si>
    <t>DMG</t>
  </si>
  <si>
    <t>DAMBOGUN</t>
  </si>
  <si>
    <t>담보물</t>
  </si>
  <si>
    <t>DMM</t>
  </si>
  <si>
    <t>DAMBOMUL</t>
  </si>
  <si>
    <t>차장</t>
  </si>
  <si>
    <t>DMR</t>
  </si>
  <si>
    <t>DEPART MANAGER</t>
  </si>
  <si>
    <t>주관식</t>
  </si>
  <si>
    <t>DMT</t>
  </si>
  <si>
    <t>DESCRIPTION METHOD</t>
  </si>
  <si>
    <t>당</t>
  </si>
  <si>
    <t>DNG</t>
  </si>
  <si>
    <t>DANG</t>
  </si>
  <si>
    <t>등</t>
  </si>
  <si>
    <t>출연</t>
  </si>
  <si>
    <t>DNT</t>
  </si>
  <si>
    <t>DONATION</t>
  </si>
  <si>
    <t>박사</t>
  </si>
  <si>
    <t>DOC</t>
  </si>
  <si>
    <t>DOCTOR</t>
  </si>
  <si>
    <t>근태</t>
  </si>
  <si>
    <t>DOF</t>
  </si>
  <si>
    <t>DUTY ON/OFF</t>
  </si>
  <si>
    <t>동가</t>
  </si>
  <si>
    <t>DOG</t>
  </si>
  <si>
    <t>DONGGA</t>
  </si>
  <si>
    <t>달러</t>
  </si>
  <si>
    <t>DOL</t>
  </si>
  <si>
    <t>DOLLAR</t>
  </si>
  <si>
    <t>동</t>
  </si>
  <si>
    <t>DON</t>
  </si>
  <si>
    <t>DONG</t>
  </si>
  <si>
    <t>동이하</t>
  </si>
  <si>
    <t>기숙사</t>
  </si>
  <si>
    <t>DOR</t>
  </si>
  <si>
    <t>DORMITORY</t>
  </si>
  <si>
    <t>이하</t>
  </si>
  <si>
    <t>DOW</t>
  </si>
  <si>
    <t>DOWNWARD</t>
  </si>
  <si>
    <t>감가상각비</t>
  </si>
  <si>
    <t>DPA</t>
  </si>
  <si>
    <t>체납</t>
  </si>
  <si>
    <t>DEPRECIATION AMOUNT</t>
  </si>
  <si>
    <t>종속</t>
  </si>
  <si>
    <t>DPC</t>
  </si>
  <si>
    <t>DEPENDENCY</t>
  </si>
  <si>
    <t>처분일</t>
  </si>
  <si>
    <t>DPD</t>
  </si>
  <si>
    <t>DISPOSAL PRICE DATE</t>
  </si>
  <si>
    <t>DPDA</t>
  </si>
  <si>
    <t>대표권</t>
  </si>
  <si>
    <t>DPG</t>
  </si>
  <si>
    <t>DEPYOGUN</t>
  </si>
  <si>
    <t>부서장</t>
  </si>
  <si>
    <t>DPH</t>
  </si>
  <si>
    <t>DEPARTMENT HEAD</t>
  </si>
  <si>
    <t>예금</t>
  </si>
  <si>
    <t>DPI</t>
  </si>
  <si>
    <t>예금주</t>
  </si>
  <si>
    <t>DPIJU</t>
  </si>
  <si>
    <t>대표업종</t>
  </si>
  <si>
    <t>DPJ</t>
  </si>
  <si>
    <t>DEPYOUPJONG</t>
  </si>
  <si>
    <t>처분액</t>
  </si>
  <si>
    <t>DPP</t>
  </si>
  <si>
    <t>DISPOSAL PRICE</t>
  </si>
  <si>
    <t>감가상각</t>
  </si>
  <si>
    <t>DPR</t>
  </si>
  <si>
    <t>공탁</t>
  </si>
  <si>
    <t>DPS</t>
  </si>
  <si>
    <t>deposit</t>
  </si>
  <si>
    <t>예치</t>
  </si>
  <si>
    <t>부서</t>
  </si>
  <si>
    <t>DPT</t>
  </si>
  <si>
    <t>소속부서</t>
  </si>
  <si>
    <t>징계</t>
  </si>
  <si>
    <t>DPU</t>
  </si>
  <si>
    <t>DISCIPLINARY PUNISHMENT</t>
  </si>
  <si>
    <t>부인</t>
  </si>
  <si>
    <t>DPV</t>
  </si>
  <si>
    <t>DISAPPRROVAL</t>
  </si>
  <si>
    <t>대표</t>
  </si>
  <si>
    <t>DPY</t>
  </si>
  <si>
    <t>DEPYO</t>
  </si>
  <si>
    <t>추진</t>
  </si>
  <si>
    <t>DRI</t>
  </si>
  <si>
    <t>DRIVE</t>
  </si>
  <si>
    <t>희망</t>
  </si>
  <si>
    <t>DRM</t>
  </si>
  <si>
    <t>DREAM</t>
  </si>
  <si>
    <t>가수</t>
  </si>
  <si>
    <t>DRP</t>
  </si>
  <si>
    <t>DUMMY RECEIPT</t>
  </si>
  <si>
    <t>가수금</t>
  </si>
  <si>
    <t>운임</t>
  </si>
  <si>
    <t>DRV</t>
  </si>
  <si>
    <t>도면</t>
  </si>
  <si>
    <t>DRW</t>
  </si>
  <si>
    <t>DRAWING</t>
  </si>
  <si>
    <t>조치</t>
  </si>
  <si>
    <t>DSA</t>
  </si>
  <si>
    <t>DISPOSAL</t>
  </si>
  <si>
    <t>규격</t>
  </si>
  <si>
    <t>DSC</t>
  </si>
  <si>
    <t>Distinguished Service Cross</t>
  </si>
  <si>
    <t>검토서</t>
  </si>
  <si>
    <t>DSD</t>
  </si>
  <si>
    <t>DISSCUSS DOCUMENT</t>
  </si>
  <si>
    <t>발송일</t>
  </si>
  <si>
    <t>가처분</t>
  </si>
  <si>
    <t>DSE</t>
  </si>
  <si>
    <t>DUMMY SENTENCE</t>
  </si>
  <si>
    <t>의장권</t>
  </si>
  <si>
    <t>DSG</t>
  </si>
  <si>
    <t>DESIGN RIGHT</t>
  </si>
  <si>
    <t>판별</t>
  </si>
  <si>
    <t>DSH</t>
  </si>
  <si>
    <t>DISTINGUISH</t>
  </si>
  <si>
    <t>파면</t>
  </si>
  <si>
    <t>DSM</t>
  </si>
  <si>
    <t>DISMISSAL</t>
  </si>
  <si>
    <t>감가</t>
  </si>
  <si>
    <t>DSO</t>
  </si>
  <si>
    <t>발송</t>
  </si>
  <si>
    <t>DSP</t>
  </si>
  <si>
    <t>DESPATCH</t>
  </si>
  <si>
    <t>파견</t>
  </si>
  <si>
    <t>발송자</t>
  </si>
  <si>
    <t>DSR</t>
  </si>
  <si>
    <t>DESPATCHER</t>
  </si>
  <si>
    <t>검토</t>
  </si>
  <si>
    <t>DSS</t>
  </si>
  <si>
    <t>DISSCUSS</t>
  </si>
  <si>
    <t>거리</t>
  </si>
  <si>
    <t>DST</t>
  </si>
  <si>
    <t>distance</t>
  </si>
  <si>
    <t>폐기</t>
  </si>
  <si>
    <t>DSU</t>
  </si>
  <si>
    <t>가지급금</t>
  </si>
  <si>
    <t>DSY</t>
  </si>
  <si>
    <t>DUMMY SUPPLY</t>
  </si>
  <si>
    <t>데이터</t>
  </si>
  <si>
    <t>DTA</t>
  </si>
  <si>
    <t>DATA</t>
  </si>
  <si>
    <t>자료</t>
  </si>
  <si>
    <t>세부코드</t>
  </si>
  <si>
    <t>DTC</t>
  </si>
  <si>
    <t>DETAIL</t>
  </si>
  <si>
    <t>세분야</t>
  </si>
  <si>
    <t>DTP</t>
  </si>
  <si>
    <t>이사</t>
  </si>
  <si>
    <t>DTR</t>
  </si>
  <si>
    <t>DIRECTOR</t>
  </si>
  <si>
    <t>의무</t>
  </si>
  <si>
    <t>DTY</t>
  </si>
  <si>
    <t>DUTY</t>
  </si>
  <si>
    <t>폐기일</t>
  </si>
  <si>
    <t>DUD</t>
  </si>
  <si>
    <t>DISUSE DATE</t>
  </si>
  <si>
    <t>책임자</t>
  </si>
  <si>
    <t>DUR</t>
  </si>
  <si>
    <t>DUTIER</t>
  </si>
  <si>
    <t>직책</t>
  </si>
  <si>
    <t>DUT</t>
  </si>
  <si>
    <t>DUTIES</t>
  </si>
  <si>
    <t>책임</t>
  </si>
  <si>
    <t>배당금</t>
  </si>
  <si>
    <t>DVA</t>
  </si>
  <si>
    <t>DIVIDEND AMOUNT</t>
  </si>
  <si>
    <t>개발비</t>
  </si>
  <si>
    <t>DVC</t>
  </si>
  <si>
    <t>DEVELOPMENT COST</t>
  </si>
  <si>
    <t>배당</t>
  </si>
  <si>
    <t>DVD</t>
  </si>
  <si>
    <t>DIVIDEND</t>
  </si>
  <si>
    <t>기기</t>
  </si>
  <si>
    <t>DVI</t>
  </si>
  <si>
    <t>DEVICE</t>
  </si>
  <si>
    <t>개발</t>
  </si>
  <si>
    <t>DVL</t>
  </si>
  <si>
    <t>DEVELOPMENT</t>
  </si>
  <si>
    <t>분할상환</t>
  </si>
  <si>
    <t>DVR</t>
  </si>
  <si>
    <t>DIVIDE REPAYMENT</t>
  </si>
  <si>
    <t>일수F</t>
  </si>
  <si>
    <t>DYF</t>
  </si>
  <si>
    <t>DAYS FROM</t>
  </si>
  <si>
    <t>일간지</t>
  </si>
  <si>
    <t>dyp</t>
  </si>
  <si>
    <t>DAILY PUBLICATION</t>
  </si>
  <si>
    <t>일수T</t>
  </si>
  <si>
    <t>DYT</t>
  </si>
  <si>
    <t>DAYS TO</t>
  </si>
  <si>
    <t>유무</t>
  </si>
  <si>
    <t>EAN</t>
  </si>
  <si>
    <t>EXIST AND NOEXIT</t>
  </si>
  <si>
    <t>전기</t>
  </si>
  <si>
    <t>EAR</t>
  </si>
  <si>
    <t>THE EARLIER TERM</t>
  </si>
  <si>
    <t>초기</t>
  </si>
  <si>
    <t>계정별</t>
  </si>
  <si>
    <t>EAT</t>
  </si>
  <si>
    <t>EACH ACCOUNT</t>
  </si>
  <si>
    <t>사업별</t>
  </si>
  <si>
    <t>EBN</t>
  </si>
  <si>
    <t>EACH BUSSINESS</t>
  </si>
  <si>
    <t>영업외</t>
  </si>
  <si>
    <t>EBS</t>
  </si>
  <si>
    <t>EX BUSSNESS</t>
  </si>
  <si>
    <t>잠식</t>
  </si>
  <si>
    <t>ECA</t>
  </si>
  <si>
    <t>ENCROACH</t>
  </si>
  <si>
    <t>초과</t>
  </si>
  <si>
    <t>ECE</t>
  </si>
  <si>
    <t>EXCEED</t>
  </si>
  <si>
    <t>장려</t>
  </si>
  <si>
    <t>ECG</t>
  </si>
  <si>
    <t>ENCOURAGEMENT</t>
  </si>
  <si>
    <t>제외</t>
  </si>
  <si>
    <t>ECL</t>
  </si>
  <si>
    <t>EXCULD</t>
  </si>
  <si>
    <t>경제</t>
  </si>
  <si>
    <t>ECN</t>
  </si>
  <si>
    <t>ECONOMIC</t>
  </si>
  <si>
    <t>과잉</t>
  </si>
  <si>
    <t>ECS</t>
  </si>
  <si>
    <t>EXCESS</t>
  </si>
  <si>
    <t>교육</t>
  </si>
  <si>
    <t>EDC</t>
  </si>
  <si>
    <t>EDUCATION</t>
  </si>
  <si>
    <t>말일</t>
  </si>
  <si>
    <t>EDD</t>
  </si>
  <si>
    <t>ENDDING DAY</t>
  </si>
  <si>
    <t>첨단</t>
  </si>
  <si>
    <t>EDG</t>
  </si>
  <si>
    <t>EDGE</t>
  </si>
  <si>
    <t>종료시간</t>
  </si>
  <si>
    <t>EDT</t>
  </si>
  <si>
    <t>END TIME</t>
  </si>
  <si>
    <t>일일</t>
  </si>
  <si>
    <t>EDY</t>
  </si>
  <si>
    <t>EACH DAY</t>
  </si>
  <si>
    <t>실행액</t>
  </si>
  <si>
    <t>EEA</t>
  </si>
  <si>
    <t>EXECUTION AMOUNT</t>
  </si>
  <si>
    <t>집행문</t>
  </si>
  <si>
    <t>EFD</t>
  </si>
  <si>
    <t>ENFORCEMENT DOCUMENT</t>
  </si>
  <si>
    <t>실효</t>
  </si>
  <si>
    <t>EFF</t>
  </si>
  <si>
    <t>EFFECTIVENESS</t>
  </si>
  <si>
    <t>효력</t>
  </si>
  <si>
    <t>집행</t>
  </si>
  <si>
    <t>EFR</t>
  </si>
  <si>
    <t>보증별</t>
  </si>
  <si>
    <t>EGR</t>
  </si>
  <si>
    <t>EACH GRRANTEE</t>
  </si>
  <si>
    <t>단련</t>
  </si>
  <si>
    <t>EGZ</t>
  </si>
  <si>
    <t>ENERGIZE</t>
  </si>
  <si>
    <t>잉여</t>
  </si>
  <si>
    <t>EIP</t>
  </si>
  <si>
    <t>ENTRY INTO PORT</t>
  </si>
  <si>
    <t>각종</t>
  </si>
  <si>
    <t>EKN</t>
  </si>
  <si>
    <t>EACH KIND</t>
  </si>
  <si>
    <t>합격</t>
  </si>
  <si>
    <t>ELG</t>
  </si>
  <si>
    <t>ELIGIBILITY</t>
  </si>
  <si>
    <t>장남</t>
  </si>
  <si>
    <t>ELS</t>
  </si>
  <si>
    <t>ELDER SON</t>
  </si>
  <si>
    <t>종업원</t>
  </si>
  <si>
    <t>ELY</t>
  </si>
  <si>
    <t>EMPLOYEE</t>
  </si>
  <si>
    <t>종업원수</t>
  </si>
  <si>
    <t>E-MAIL</t>
  </si>
  <si>
    <t>EMA</t>
  </si>
  <si>
    <t>매월</t>
  </si>
  <si>
    <t>EMM</t>
  </si>
  <si>
    <t>EACH MONTH</t>
  </si>
  <si>
    <t>임직원</t>
  </si>
  <si>
    <t>EMP</t>
  </si>
  <si>
    <t>직원</t>
  </si>
  <si>
    <t>고용</t>
  </si>
  <si>
    <t>EMY</t>
  </si>
  <si>
    <t>EMPLOYEMENT</t>
  </si>
  <si>
    <t>소득액</t>
  </si>
  <si>
    <t>ENA</t>
  </si>
  <si>
    <t>EARNINGS AMOUNT</t>
  </si>
  <si>
    <t>입행</t>
  </si>
  <si>
    <t>ENB</t>
  </si>
  <si>
    <t>ENTER BANK</t>
  </si>
  <si>
    <t>입사</t>
  </si>
  <si>
    <t>ENC</t>
  </si>
  <si>
    <t>ENTER COMPANY</t>
  </si>
  <si>
    <t>끝</t>
  </si>
  <si>
    <t>END</t>
  </si>
  <si>
    <t>끝전</t>
  </si>
  <si>
    <t>종료</t>
  </si>
  <si>
    <t>해소</t>
  </si>
  <si>
    <t>기사</t>
  </si>
  <si>
    <t>ENE</t>
  </si>
  <si>
    <t>ENGINEER</t>
  </si>
  <si>
    <t>보강성</t>
  </si>
  <si>
    <t>ENF</t>
  </si>
  <si>
    <t>ENFORCE</t>
  </si>
  <si>
    <t>영문</t>
  </si>
  <si>
    <t>ENG</t>
  </si>
  <si>
    <t>ENGLISH</t>
  </si>
  <si>
    <t>종료일</t>
  </si>
  <si>
    <t>ENM</t>
  </si>
  <si>
    <t>END DATE</t>
  </si>
  <si>
    <t>환경</t>
  </si>
  <si>
    <t>ENO</t>
  </si>
  <si>
    <t>ENVIRONMENT</t>
  </si>
  <si>
    <t>수익성</t>
  </si>
  <si>
    <t>ENP</t>
  </si>
  <si>
    <t>EARNINGS PROPERTY</t>
  </si>
  <si>
    <t>수익자</t>
  </si>
  <si>
    <t>ENR</t>
  </si>
  <si>
    <t>EARNNER</t>
  </si>
  <si>
    <t>수익</t>
  </si>
  <si>
    <t>ENS</t>
  </si>
  <si>
    <t>EARNINGS</t>
  </si>
  <si>
    <t>가입</t>
  </si>
  <si>
    <t>ENT</t>
  </si>
  <si>
    <t>ENTRANCE</t>
  </si>
  <si>
    <t>가입일</t>
  </si>
  <si>
    <t>입소</t>
  </si>
  <si>
    <t>대수값</t>
  </si>
  <si>
    <t>ENV</t>
  </si>
  <si>
    <t>EARCH NUMBER VALUE</t>
  </si>
  <si>
    <t>소득세</t>
  </si>
  <si>
    <t>ENX</t>
  </si>
  <si>
    <t>EARNINGS TAX</t>
  </si>
  <si>
    <t>채권자별</t>
  </si>
  <si>
    <t>EOB</t>
  </si>
  <si>
    <t>EATH OBLIGATOR</t>
  </si>
  <si>
    <t>기말</t>
  </si>
  <si>
    <t>EOT</t>
  </si>
  <si>
    <t>예상</t>
  </si>
  <si>
    <t>EPC</t>
  </si>
  <si>
    <t>EXPACT</t>
  </si>
  <si>
    <t>기한</t>
  </si>
  <si>
    <t>EPD</t>
  </si>
  <si>
    <t>END PERIOD</t>
  </si>
  <si>
    <t>기한도</t>
  </si>
  <si>
    <t>기한자</t>
  </si>
  <si>
    <t>EPF</t>
  </si>
  <si>
    <t>END PERIOD FROM</t>
  </si>
  <si>
    <t>진술</t>
  </si>
  <si>
    <t>EPL</t>
  </si>
  <si>
    <t>EXPLAIN</t>
  </si>
  <si>
    <t>동력</t>
  </si>
  <si>
    <t>EPO</t>
  </si>
  <si>
    <t>ELECTIC POWER</t>
  </si>
  <si>
    <t>진술자</t>
  </si>
  <si>
    <t>EPR</t>
  </si>
  <si>
    <t>EXPLAINER</t>
  </si>
  <si>
    <t>기한지</t>
  </si>
  <si>
    <t>EPT</t>
  </si>
  <si>
    <t>END PERIOD TO</t>
  </si>
  <si>
    <t>기말제공품</t>
  </si>
  <si>
    <t>EPV</t>
  </si>
  <si>
    <t>END PROVIDE</t>
  </si>
  <si>
    <t>설비</t>
  </si>
  <si>
    <t>EQU</t>
  </si>
  <si>
    <t>EQUIPMENT</t>
  </si>
  <si>
    <t>장비</t>
  </si>
  <si>
    <t>초입금</t>
  </si>
  <si>
    <t>ERA</t>
  </si>
  <si>
    <t>ENTRY AMOUNT</t>
  </si>
  <si>
    <t>진입로</t>
  </si>
  <si>
    <t>ERD</t>
  </si>
  <si>
    <t>ENTRANCE ROAD</t>
  </si>
  <si>
    <t>소득</t>
  </si>
  <si>
    <t>ERN</t>
  </si>
  <si>
    <t>EARN</t>
  </si>
  <si>
    <t>소득자</t>
  </si>
  <si>
    <t>ERP</t>
  </si>
  <si>
    <t>EARNINGS PEOPLE</t>
  </si>
  <si>
    <t>에러</t>
  </si>
  <si>
    <t>ERR</t>
  </si>
  <si>
    <t>ERROR</t>
  </si>
  <si>
    <t>오류</t>
  </si>
  <si>
    <t>자원별</t>
  </si>
  <si>
    <t>ERS</t>
  </si>
  <si>
    <t>EACH RESOURCE</t>
  </si>
  <si>
    <t>훈련비</t>
  </si>
  <si>
    <t>ESA</t>
  </si>
  <si>
    <t>EXERCISE AMOUNT</t>
  </si>
  <si>
    <t>도피</t>
  </si>
  <si>
    <t>ESC</t>
  </si>
  <si>
    <t>ESCAPE</t>
  </si>
  <si>
    <t>설립일</t>
  </si>
  <si>
    <t>ESD</t>
  </si>
  <si>
    <t>ESTABLISHMENT DATE</t>
  </si>
  <si>
    <t>견적</t>
  </si>
  <si>
    <t>ESE</t>
  </si>
  <si>
    <t>ESTIMATE</t>
  </si>
  <si>
    <t>지출현금</t>
  </si>
  <si>
    <t>ESH</t>
  </si>
  <si>
    <t>EXPENSE CASH</t>
  </si>
  <si>
    <t>설립</t>
  </si>
  <si>
    <t>ESI</t>
  </si>
  <si>
    <t>ESTABLISHMENT</t>
  </si>
  <si>
    <t>직원수</t>
  </si>
  <si>
    <t>ESK</t>
  </si>
  <si>
    <t>EMPLOYEE STOCK</t>
  </si>
  <si>
    <t>숙박</t>
  </si>
  <si>
    <t>ESL</t>
  </si>
  <si>
    <t>수립</t>
  </si>
  <si>
    <t>ESM</t>
  </si>
  <si>
    <t>창업</t>
  </si>
  <si>
    <t>ESN</t>
  </si>
  <si>
    <t>설정권자</t>
  </si>
  <si>
    <t>ESP</t>
  </si>
  <si>
    <t>ESTABLISHMENT RIGHT PERSON</t>
  </si>
  <si>
    <t>설정</t>
  </si>
  <si>
    <t>ESR</t>
  </si>
  <si>
    <t>설정권</t>
  </si>
  <si>
    <t>논문</t>
  </si>
  <si>
    <t>ESS</t>
  </si>
  <si>
    <t>ESSAY</t>
  </si>
  <si>
    <t>부동산</t>
  </si>
  <si>
    <t>EST</t>
  </si>
  <si>
    <t>ESSET</t>
  </si>
  <si>
    <t>간이</t>
  </si>
  <si>
    <t>ESY</t>
  </si>
  <si>
    <t>EASY</t>
  </si>
  <si>
    <t>타계정</t>
  </si>
  <si>
    <t>ETA</t>
  </si>
  <si>
    <t>ETC ACCOUNT</t>
  </si>
  <si>
    <t>기타</t>
  </si>
  <si>
    <t>ETC</t>
  </si>
  <si>
    <t>시간외</t>
  </si>
  <si>
    <t>ETI</t>
  </si>
  <si>
    <t>EXTRA-TIME</t>
  </si>
  <si>
    <t>만기</t>
  </si>
  <si>
    <t>ETM</t>
  </si>
  <si>
    <t>기타매출</t>
  </si>
  <si>
    <t>ETS</t>
  </si>
  <si>
    <t>ETC SELLING</t>
  </si>
  <si>
    <t>신탁</t>
  </si>
  <si>
    <t>ETT</t>
  </si>
  <si>
    <t>ENTRUST</t>
  </si>
  <si>
    <t>평가서</t>
  </si>
  <si>
    <t>EVD</t>
  </si>
  <si>
    <t>EVALUATION DOCUMENT</t>
  </si>
  <si>
    <t>증빙</t>
  </si>
  <si>
    <t>EVI</t>
  </si>
  <si>
    <t>평가</t>
  </si>
  <si>
    <t>EVL</t>
  </si>
  <si>
    <t>발굴기관</t>
  </si>
  <si>
    <t>EVO</t>
  </si>
  <si>
    <t>EXCAVATION ORGANIZE</t>
  </si>
  <si>
    <t>평가자</t>
  </si>
  <si>
    <t>EVR</t>
  </si>
  <si>
    <t>EVALUATIONER</t>
  </si>
  <si>
    <t>평가센터</t>
  </si>
  <si>
    <t>EVT</t>
  </si>
  <si>
    <t>EVALUATION CENTER</t>
  </si>
  <si>
    <t>마감</t>
  </si>
  <si>
    <t>EWK</t>
  </si>
  <si>
    <t>마감자</t>
  </si>
  <si>
    <t>EWR</t>
  </si>
  <si>
    <t>END WORKER</t>
  </si>
  <si>
    <t>보기</t>
  </si>
  <si>
    <t>EXA</t>
  </si>
  <si>
    <t>EXAMPLE</t>
  </si>
  <si>
    <t>수행</t>
  </si>
  <si>
    <t>EXC</t>
  </si>
  <si>
    <t>EXECUTE</t>
  </si>
  <si>
    <t>실행일</t>
  </si>
  <si>
    <t>EXD</t>
  </si>
  <si>
    <t>EXECUTION DATE</t>
  </si>
  <si>
    <t>실행</t>
  </si>
  <si>
    <t>EXE</t>
  </si>
  <si>
    <t>EXECUTION</t>
  </si>
  <si>
    <t>박람회</t>
  </si>
  <si>
    <t>EXH</t>
  </si>
  <si>
    <t>EXHIBITION</t>
  </si>
  <si>
    <t>실시</t>
  </si>
  <si>
    <t>EXI</t>
  </si>
  <si>
    <t>설명</t>
  </si>
  <si>
    <t>EXL</t>
  </si>
  <si>
    <t>EXPLANATION</t>
  </si>
  <si>
    <t>고시</t>
  </si>
  <si>
    <t>EXM</t>
  </si>
  <si>
    <t>EXAMINATION</t>
  </si>
  <si>
    <t>대표자수</t>
  </si>
  <si>
    <t>EXN</t>
  </si>
  <si>
    <t>EXECUTIVE NUMBER</t>
  </si>
  <si>
    <t>면제</t>
  </si>
  <si>
    <t>EXO</t>
  </si>
  <si>
    <t>EXEMPTION</t>
  </si>
  <si>
    <t>수출</t>
  </si>
  <si>
    <t>EXP</t>
  </si>
  <si>
    <t>EXPORT</t>
  </si>
  <si>
    <t>여분</t>
  </si>
  <si>
    <t>EXR</t>
  </si>
  <si>
    <t>훈련</t>
  </si>
  <si>
    <t>기존</t>
  </si>
  <si>
    <t>EXS</t>
  </si>
  <si>
    <t>EXISTENCE</t>
  </si>
  <si>
    <t>만료</t>
  </si>
  <si>
    <t>EXT</t>
  </si>
  <si>
    <t>EXPIRATION</t>
  </si>
  <si>
    <t>전용</t>
  </si>
  <si>
    <t>EXU</t>
  </si>
  <si>
    <t>발굴</t>
  </si>
  <si>
    <t>EXV</t>
  </si>
  <si>
    <t>EXCAVATION</t>
  </si>
  <si>
    <t>별정직</t>
  </si>
  <si>
    <t>EXY</t>
  </si>
  <si>
    <t>EXTRAORDINARY POSITION</t>
  </si>
  <si>
    <t>매년</t>
  </si>
  <si>
    <t>EYY</t>
  </si>
  <si>
    <t>EACH YEAR</t>
  </si>
  <si>
    <t>양태</t>
  </si>
  <si>
    <t>FAE</t>
  </si>
  <si>
    <t>FACE</t>
  </si>
  <si>
    <t>유찰</t>
  </si>
  <si>
    <t>FAL</t>
  </si>
  <si>
    <t>FAIL</t>
  </si>
  <si>
    <t>공단</t>
  </si>
  <si>
    <t>FAR</t>
  </si>
  <si>
    <t>FACTIURING AREA</t>
  </si>
  <si>
    <t>재무제표</t>
  </si>
  <si>
    <t>FAS</t>
  </si>
  <si>
    <t>FINANCIAL AFFAIRS SHEET</t>
  </si>
  <si>
    <t>팩토링</t>
  </si>
  <si>
    <t>FAT</t>
  </si>
  <si>
    <t>FACTORING</t>
  </si>
  <si>
    <t>팩스</t>
  </si>
  <si>
    <t>FAX</t>
  </si>
  <si>
    <t>FACSIMILE</t>
  </si>
  <si>
    <t>전담점</t>
  </si>
  <si>
    <t>FCB</t>
  </si>
  <si>
    <t>FULL CHARGE BRANCH</t>
  </si>
  <si>
    <t>전담자</t>
  </si>
  <si>
    <t>FCG</t>
  </si>
  <si>
    <t>FULL CHARGE</t>
  </si>
  <si>
    <t>일류화</t>
  </si>
  <si>
    <t>FCL</t>
  </si>
  <si>
    <t>FIRST CLASS</t>
  </si>
  <si>
    <t>식비</t>
  </si>
  <si>
    <t>FCO</t>
  </si>
  <si>
    <t>기안</t>
  </si>
  <si>
    <t>FCP</t>
  </si>
  <si>
    <t>FIRST COPY</t>
  </si>
  <si>
    <t>사실</t>
  </si>
  <si>
    <t>FCT</t>
  </si>
  <si>
    <t>FACT</t>
  </si>
  <si>
    <t>공장</t>
  </si>
  <si>
    <t>FCY</t>
  </si>
  <si>
    <t>FACTORY</t>
  </si>
  <si>
    <t>경비</t>
  </si>
  <si>
    <t>FEE</t>
  </si>
  <si>
    <t>료</t>
  </si>
  <si>
    <t>보증료</t>
  </si>
  <si>
    <t>펙스</t>
  </si>
  <si>
    <t>FEN</t>
  </si>
  <si>
    <t>FENCE</t>
  </si>
  <si>
    <t>냉난방</t>
  </si>
  <si>
    <t>FET</t>
  </si>
  <si>
    <t>HEATING</t>
  </si>
  <si>
    <t>외국인</t>
  </si>
  <si>
    <t>FGN</t>
  </si>
  <si>
    <t>FOREIGNER</t>
  </si>
  <si>
    <t>재무활동</t>
  </si>
  <si>
    <t>FIA</t>
  </si>
  <si>
    <t>FINANCIAL AFFAIRS</t>
  </si>
  <si>
    <t>파일</t>
  </si>
  <si>
    <t>FIL</t>
  </si>
  <si>
    <t>FILE</t>
  </si>
  <si>
    <t>정착지</t>
  </si>
  <si>
    <t>FIP</t>
  </si>
  <si>
    <t>FIXING</t>
  </si>
  <si>
    <t>적합율</t>
  </si>
  <si>
    <t>FIR</t>
  </si>
  <si>
    <t>FITNESS RATE</t>
  </si>
  <si>
    <t>고정</t>
  </si>
  <si>
    <t>FIX</t>
  </si>
  <si>
    <t>필드</t>
  </si>
  <si>
    <t>FLD</t>
  </si>
  <si>
    <t>FIELD</t>
  </si>
  <si>
    <t>화일</t>
  </si>
  <si>
    <t>FLE</t>
  </si>
  <si>
    <t>FLAG</t>
  </si>
  <si>
    <t>FLG</t>
  </si>
  <si>
    <t>충당</t>
  </si>
  <si>
    <t>FLL</t>
  </si>
  <si>
    <t>FILLER</t>
  </si>
  <si>
    <t>부보</t>
  </si>
  <si>
    <t>FLP</t>
  </si>
  <si>
    <t>FILL UP</t>
  </si>
  <si>
    <t>수행자</t>
  </si>
  <si>
    <t>FLR</t>
  </si>
  <si>
    <t>FALLOWER</t>
  </si>
  <si>
    <t>흐름</t>
  </si>
  <si>
    <t>FLW</t>
  </si>
  <si>
    <t>FLOW</t>
  </si>
  <si>
    <t>만점</t>
  </si>
  <si>
    <t>FMK</t>
  </si>
  <si>
    <t>FULL MARK</t>
  </si>
  <si>
    <t>가족</t>
  </si>
  <si>
    <t>FML</t>
  </si>
  <si>
    <t>FAMILY</t>
  </si>
  <si>
    <t>정식</t>
  </si>
  <si>
    <t>FMR</t>
  </si>
  <si>
    <t>FORMAL</t>
  </si>
  <si>
    <t>무형</t>
  </si>
  <si>
    <t>FMS</t>
  </si>
  <si>
    <t>FORMLESS</t>
  </si>
  <si>
    <t>계열</t>
  </si>
  <si>
    <t>FMY</t>
  </si>
  <si>
    <t>계열화</t>
  </si>
  <si>
    <t>FMZ</t>
  </si>
  <si>
    <t>FAMILIZE</t>
  </si>
  <si>
    <t>자본금</t>
  </si>
  <si>
    <t>FNA</t>
  </si>
  <si>
    <t>FOUNDATION</t>
  </si>
  <si>
    <t>재무</t>
  </si>
  <si>
    <t>기금</t>
  </si>
  <si>
    <t>FND</t>
  </si>
  <si>
    <t>자금</t>
  </si>
  <si>
    <t>상호</t>
  </si>
  <si>
    <t>FNE</t>
  </si>
  <si>
    <t>FIRM NAME</t>
  </si>
  <si>
    <t>상호업체명</t>
  </si>
  <si>
    <t>자금대여</t>
  </si>
  <si>
    <t>FNL</t>
  </si>
  <si>
    <t>FUNDS LOAN</t>
  </si>
  <si>
    <t>창업조성</t>
  </si>
  <si>
    <t>FNM</t>
  </si>
  <si>
    <t>FOUNDER MAKE</t>
  </si>
  <si>
    <t>창업자</t>
  </si>
  <si>
    <t>FNR</t>
  </si>
  <si>
    <t>FOUNDER</t>
  </si>
  <si>
    <t>우선</t>
  </si>
  <si>
    <t>FOA</t>
  </si>
  <si>
    <t>외국</t>
  </si>
  <si>
    <t>FOC</t>
  </si>
  <si>
    <t>FOREIGN COUNTRY</t>
  </si>
  <si>
    <t>양식</t>
  </si>
  <si>
    <t>FOM</t>
  </si>
  <si>
    <t>FORM</t>
  </si>
  <si>
    <t>외국어</t>
  </si>
  <si>
    <t>FON</t>
  </si>
  <si>
    <t>FOREIGN LANGUAGE</t>
  </si>
  <si>
    <t>층</t>
  </si>
  <si>
    <t>FOO</t>
  </si>
  <si>
    <t>FLOOR</t>
  </si>
  <si>
    <t>종사</t>
  </si>
  <si>
    <t>FOW</t>
  </si>
  <si>
    <t>FOLLOW</t>
  </si>
  <si>
    <t>사사분기</t>
  </si>
  <si>
    <t>FQT</t>
  </si>
  <si>
    <t>FROM</t>
  </si>
  <si>
    <t>FR</t>
  </si>
  <si>
    <t>외화금</t>
  </si>
  <si>
    <t>FRA</t>
  </si>
  <si>
    <t>FROEIGN AMOUNT</t>
  </si>
  <si>
    <t>해지액</t>
  </si>
  <si>
    <t>해지전</t>
  </si>
  <si>
    <t>FRB</t>
  </si>
  <si>
    <t>FREE BEFORE</t>
  </si>
  <si>
    <t>강제</t>
  </si>
  <si>
    <t>FRC</t>
  </si>
  <si>
    <t>FORCE</t>
  </si>
  <si>
    <t>해지일</t>
  </si>
  <si>
    <t>FRD</t>
  </si>
  <si>
    <t>FREE DATE</t>
  </si>
  <si>
    <t>해지</t>
  </si>
  <si>
    <t>FRE</t>
  </si>
  <si>
    <t>외화</t>
  </si>
  <si>
    <t>FRG</t>
  </si>
  <si>
    <t>FOREIGN</t>
  </si>
  <si>
    <t>가구</t>
  </si>
  <si>
    <t>FRI</t>
  </si>
  <si>
    <t>FURNITURE</t>
  </si>
  <si>
    <t>외화잔액</t>
  </si>
  <si>
    <t>외화종류</t>
  </si>
  <si>
    <t>FRK</t>
  </si>
  <si>
    <t>FOREIGN KIND</t>
  </si>
  <si>
    <t>방식</t>
  </si>
  <si>
    <t>FRL</t>
  </si>
  <si>
    <t>FORMULA</t>
  </si>
  <si>
    <t>서식</t>
  </si>
  <si>
    <t>FRM</t>
  </si>
  <si>
    <t>형상</t>
  </si>
  <si>
    <t>형태명</t>
  </si>
  <si>
    <t>FRN</t>
  </si>
  <si>
    <t>FORM NAME</t>
  </si>
  <si>
    <t>부터</t>
  </si>
  <si>
    <t>FRO</t>
  </si>
  <si>
    <t>해지점</t>
  </si>
  <si>
    <t>FRP</t>
  </si>
  <si>
    <t>FREE POINT</t>
  </si>
  <si>
    <t>외화환율</t>
  </si>
  <si>
    <t>FRR</t>
  </si>
  <si>
    <t>FOREIGN RATE</t>
  </si>
  <si>
    <t>해지연번</t>
  </si>
  <si>
    <t>FRS</t>
  </si>
  <si>
    <t>FREE SEQUENCE</t>
  </si>
  <si>
    <t>해지후</t>
  </si>
  <si>
    <t>FRT</t>
  </si>
  <si>
    <t>FREE AFTER</t>
  </si>
  <si>
    <t>외화환산</t>
  </si>
  <si>
    <t>FRX</t>
  </si>
  <si>
    <t>FOREIGN EXCHANGE</t>
  </si>
  <si>
    <t>선급금</t>
  </si>
  <si>
    <t>FRY</t>
  </si>
  <si>
    <t>FIRST MONEY</t>
  </si>
  <si>
    <t>이수</t>
  </si>
  <si>
    <t>FSH</t>
  </si>
  <si>
    <t>자금조달</t>
  </si>
  <si>
    <t>FSP</t>
  </si>
  <si>
    <t>FUND SUPPLY</t>
  </si>
  <si>
    <t>일차</t>
  </si>
  <si>
    <t>FST</t>
  </si>
  <si>
    <t>FIRST</t>
  </si>
  <si>
    <t>최초</t>
  </si>
  <si>
    <t>전문</t>
  </si>
  <si>
    <t>FTX</t>
  </si>
  <si>
    <t>FULL TEXT</t>
  </si>
  <si>
    <t>FULL</t>
  </si>
  <si>
    <t>FUL</t>
  </si>
  <si>
    <t>장래</t>
  </si>
  <si>
    <t>FUT</t>
  </si>
  <si>
    <t>FUTURE</t>
  </si>
  <si>
    <t>경쟁력</t>
  </si>
  <si>
    <t>FWR</t>
  </si>
  <si>
    <t>COMPETE POWER</t>
  </si>
  <si>
    <t>유가</t>
  </si>
  <si>
    <t>FXP</t>
  </si>
  <si>
    <t>FIXED PRICE</t>
  </si>
  <si>
    <t>유가증권</t>
  </si>
  <si>
    <t>FXS</t>
  </si>
  <si>
    <t>FIXED PRICE SECURITY</t>
  </si>
  <si>
    <t>가</t>
  </si>
  <si>
    <t>GAA</t>
  </si>
  <si>
    <t>갑</t>
  </si>
  <si>
    <t>GAB</t>
  </si>
  <si>
    <t>계상</t>
  </si>
  <si>
    <t>GAE</t>
  </si>
  <si>
    <t>서무</t>
  </si>
  <si>
    <t>GAF</t>
  </si>
  <si>
    <t>GENERAL AFFAIR</t>
  </si>
  <si>
    <t>이익</t>
  </si>
  <si>
    <t>GAN</t>
  </si>
  <si>
    <t>GAINS</t>
  </si>
  <si>
    <t>갈음</t>
  </si>
  <si>
    <t>GAU</t>
  </si>
  <si>
    <t>GALEUM</t>
  </si>
  <si>
    <t>GB</t>
  </si>
  <si>
    <t>완제</t>
  </si>
  <si>
    <t>GBK</t>
  </si>
  <si>
    <t>GETBACK</t>
  </si>
  <si>
    <t>거치</t>
  </si>
  <si>
    <t>GCH</t>
  </si>
  <si>
    <t>품명</t>
  </si>
  <si>
    <t>GDN</t>
  </si>
  <si>
    <t>GOODS NAME</t>
  </si>
  <si>
    <t>건전성</t>
  </si>
  <si>
    <t>GDP</t>
  </si>
  <si>
    <t>GOOD PROPERTY</t>
  </si>
  <si>
    <t>건전도</t>
  </si>
  <si>
    <t>GDR</t>
  </si>
  <si>
    <t>GOOD DEGREE</t>
  </si>
  <si>
    <t>일반보증</t>
  </si>
  <si>
    <t>GEG</t>
  </si>
  <si>
    <t>GENERAL GUARR</t>
  </si>
  <si>
    <t>계좌</t>
  </si>
  <si>
    <t>GEJ</t>
  </si>
  <si>
    <t>구좌</t>
  </si>
  <si>
    <t>과목</t>
  </si>
  <si>
    <t>GEN</t>
  </si>
  <si>
    <t>일반</t>
  </si>
  <si>
    <t>수신</t>
  </si>
  <si>
    <t>GET</t>
  </si>
  <si>
    <t>지리</t>
  </si>
  <si>
    <t>GFE</t>
  </si>
  <si>
    <t>GEOGRAPHICAL FEATURES</t>
  </si>
  <si>
    <t>서무원</t>
  </si>
  <si>
    <t>GFR</t>
  </si>
  <si>
    <t>GENERAL AFFAIRS</t>
  </si>
  <si>
    <t>기증</t>
  </si>
  <si>
    <t>GFT</t>
  </si>
  <si>
    <t>GIFTS</t>
  </si>
  <si>
    <t>가항</t>
  </si>
  <si>
    <t>GHG</t>
  </si>
  <si>
    <t>GAHWANG</t>
  </si>
  <si>
    <t>기</t>
  </si>
  <si>
    <t>GIE</t>
  </si>
  <si>
    <t>개시일</t>
  </si>
  <si>
    <t>GIL</t>
  </si>
  <si>
    <t>GAESIIL</t>
  </si>
  <si>
    <t>지로</t>
  </si>
  <si>
    <t>GIR</t>
  </si>
  <si>
    <t>GIRO</t>
  </si>
  <si>
    <t>골프</t>
  </si>
  <si>
    <t>GLF</t>
  </si>
  <si>
    <t>GOLF</t>
  </si>
  <si>
    <t>골프장</t>
  </si>
  <si>
    <t>GLR</t>
  </si>
  <si>
    <t>GOLF RESORT</t>
  </si>
  <si>
    <t>일반관리비</t>
  </si>
  <si>
    <t>GMN</t>
  </si>
  <si>
    <t>GENERAL MANAGEMENT COST</t>
  </si>
  <si>
    <t>과목코드</t>
  </si>
  <si>
    <t>GNC</t>
  </si>
  <si>
    <t>GENUS CODE</t>
  </si>
  <si>
    <t>과목명</t>
  </si>
  <si>
    <t>GNN</t>
  </si>
  <si>
    <t>물건</t>
  </si>
  <si>
    <t>GOD</t>
  </si>
  <si>
    <t>품</t>
  </si>
  <si>
    <t>목표</t>
  </si>
  <si>
    <t>GOL</t>
  </si>
  <si>
    <t>GOAL</t>
  </si>
  <si>
    <t>우량</t>
  </si>
  <si>
    <t>GOO</t>
  </si>
  <si>
    <t>GOOD</t>
  </si>
  <si>
    <t>곱</t>
  </si>
  <si>
    <t>GOP</t>
  </si>
  <si>
    <t>우량기술</t>
  </si>
  <si>
    <t>GOT</t>
  </si>
  <si>
    <t>GOOD TECH</t>
  </si>
  <si>
    <t>정부</t>
  </si>
  <si>
    <t>GOV</t>
  </si>
  <si>
    <t>GOVERNMENT</t>
  </si>
  <si>
    <t>가압류</t>
  </si>
  <si>
    <t>GPR</t>
  </si>
  <si>
    <t>GAAPRU</t>
  </si>
  <si>
    <t>보증금</t>
  </si>
  <si>
    <t>GRA</t>
  </si>
  <si>
    <t>보증금액</t>
  </si>
  <si>
    <t>GURRANTEE AMOUNT</t>
  </si>
  <si>
    <t>보증조건</t>
  </si>
  <si>
    <t>GRC</t>
  </si>
  <si>
    <t>GURRANTEE CONDITION</t>
  </si>
  <si>
    <t>지로코드</t>
  </si>
  <si>
    <t>보증일</t>
  </si>
  <si>
    <t>GRD</t>
  </si>
  <si>
    <t>보증일자</t>
  </si>
  <si>
    <t>심급</t>
  </si>
  <si>
    <t>GRADE</t>
  </si>
  <si>
    <t>직급</t>
  </si>
  <si>
    <t>학점</t>
  </si>
  <si>
    <t>급</t>
  </si>
  <si>
    <t>GRE</t>
  </si>
  <si>
    <t>접면</t>
  </si>
  <si>
    <t>GRF</t>
  </si>
  <si>
    <t>GRAFTING FACE</t>
  </si>
  <si>
    <t>보증종류</t>
  </si>
  <si>
    <t>GRK</t>
  </si>
  <si>
    <t>GURRANTEE KIND</t>
  </si>
  <si>
    <t>보증</t>
  </si>
  <si>
    <t>GRN</t>
  </si>
  <si>
    <t>GURRANTEE</t>
  </si>
  <si>
    <t>보증기금</t>
  </si>
  <si>
    <t>GRNFND</t>
  </si>
  <si>
    <t>GURRANTEE FUND</t>
  </si>
  <si>
    <t>보증번호</t>
  </si>
  <si>
    <t>GRNNUM</t>
  </si>
  <si>
    <t>GURRANTEE NUMBER</t>
  </si>
  <si>
    <t>대지</t>
  </si>
  <si>
    <t>GRO</t>
  </si>
  <si>
    <t>GROUND</t>
  </si>
  <si>
    <t>군별</t>
  </si>
  <si>
    <t>GRP</t>
  </si>
  <si>
    <t>GROUP</t>
  </si>
  <si>
    <t>그룹</t>
  </si>
  <si>
    <t>파악</t>
  </si>
  <si>
    <t>GRS</t>
  </si>
  <si>
    <t>GRASP</t>
  </si>
  <si>
    <t>졸업</t>
  </si>
  <si>
    <t>GRT</t>
  </si>
  <si>
    <t>GRADUATION</t>
  </si>
  <si>
    <t>졸업일</t>
  </si>
  <si>
    <t>보증건</t>
  </si>
  <si>
    <t>GRY</t>
  </si>
  <si>
    <t>GURRANTEELY</t>
  </si>
  <si>
    <t>구상금</t>
  </si>
  <si>
    <t>GSG</t>
  </si>
  <si>
    <t>GUSANG GUM</t>
  </si>
  <si>
    <t>구상권</t>
  </si>
  <si>
    <t>GSK</t>
  </si>
  <si>
    <t>GUSANG KUN</t>
  </si>
  <si>
    <t>구상</t>
  </si>
  <si>
    <t>GSN</t>
  </si>
  <si>
    <t>GUSANG</t>
  </si>
  <si>
    <t>교부</t>
  </si>
  <si>
    <t>GTD</t>
  </si>
  <si>
    <t>수집원</t>
  </si>
  <si>
    <t>GTS</t>
  </si>
  <si>
    <t>GETHER SOURCE</t>
  </si>
  <si>
    <t>건</t>
  </si>
  <si>
    <t>GUN</t>
  </si>
  <si>
    <t>건명</t>
  </si>
  <si>
    <t>건별</t>
  </si>
  <si>
    <t>군</t>
  </si>
  <si>
    <t>관납</t>
  </si>
  <si>
    <t>GVD</t>
  </si>
  <si>
    <t>GOVERNMENT DELIVERY</t>
  </si>
  <si>
    <t>관</t>
  </si>
  <si>
    <t>GWN</t>
  </si>
  <si>
    <t>하</t>
  </si>
  <si>
    <t>HAA</t>
  </si>
  <si>
    <t>HA</t>
  </si>
  <si>
    <t>합</t>
  </si>
  <si>
    <t>HAB</t>
  </si>
  <si>
    <t>인적</t>
  </si>
  <si>
    <t>HAC</t>
  </si>
  <si>
    <t>HUMANIC</t>
  </si>
  <si>
    <t>향후</t>
  </si>
  <si>
    <t>HAE</t>
  </si>
  <si>
    <t>인사</t>
  </si>
  <si>
    <t>HAF</t>
  </si>
  <si>
    <t>HUMAN AFFAIR</t>
  </si>
  <si>
    <t>항</t>
  </si>
  <si>
    <t>HAG</t>
  </si>
  <si>
    <t>한자</t>
  </si>
  <si>
    <t>HAJ</t>
  </si>
  <si>
    <t>HANJA</t>
  </si>
  <si>
    <t>할증</t>
  </si>
  <si>
    <t>HAL</t>
  </si>
  <si>
    <t>HALJUNG</t>
  </si>
  <si>
    <t>한전</t>
  </si>
  <si>
    <t>HAN</t>
  </si>
  <si>
    <t>HANJEON</t>
  </si>
  <si>
    <t>경조</t>
  </si>
  <si>
    <t>HAS</t>
  </si>
  <si>
    <t>HAPPY AND SAD</t>
  </si>
  <si>
    <t>한은</t>
  </si>
  <si>
    <t>HBK</t>
  </si>
  <si>
    <t>HANKUK BANK</t>
  </si>
  <si>
    <t>회보</t>
  </si>
  <si>
    <t>HBO</t>
  </si>
  <si>
    <t>HYEBO</t>
  </si>
  <si>
    <t>후취</t>
  </si>
  <si>
    <t>HCH</t>
  </si>
  <si>
    <t>HOOCHI</t>
  </si>
  <si>
    <t>휴일</t>
  </si>
  <si>
    <t>HDI</t>
  </si>
  <si>
    <t>HOLIDAY</t>
  </si>
  <si>
    <t>본사</t>
  </si>
  <si>
    <t>HDO</t>
  </si>
  <si>
    <t>HEAD OFFICE</t>
  </si>
  <si>
    <t>본부</t>
  </si>
  <si>
    <t>HDQ</t>
  </si>
  <si>
    <t>HEADQUARTER</t>
  </si>
  <si>
    <t>단지</t>
  </si>
  <si>
    <t>HDV</t>
  </si>
  <si>
    <t>HOUSING DEVELOPMENT</t>
  </si>
  <si>
    <t>유예일</t>
  </si>
  <si>
    <t>HED</t>
  </si>
  <si>
    <t>HESITATION DATE</t>
  </si>
  <si>
    <t>지역본부</t>
  </si>
  <si>
    <t>HEG</t>
  </si>
  <si>
    <t>HEAD QUARTER OF REGION</t>
  </si>
  <si>
    <t>현</t>
  </si>
  <si>
    <t>HEN</t>
  </si>
  <si>
    <t>HYEN</t>
  </si>
  <si>
    <t>유예</t>
  </si>
  <si>
    <t>HES</t>
  </si>
  <si>
    <t>HESITATION</t>
  </si>
  <si>
    <t>반기</t>
  </si>
  <si>
    <t>HFT</t>
  </si>
  <si>
    <t>HALF TERM</t>
  </si>
  <si>
    <t>항번</t>
  </si>
  <si>
    <t>HGN</t>
  </si>
  <si>
    <t>HANG NO</t>
  </si>
  <si>
    <t>고액</t>
  </si>
  <si>
    <t>HHA</t>
  </si>
  <si>
    <t>HIGH AMOUNT</t>
  </si>
  <si>
    <t>세대주</t>
  </si>
  <si>
    <t>HHD</t>
  </si>
  <si>
    <t>HOUSEHOLDER</t>
  </si>
  <si>
    <t>임차료</t>
  </si>
  <si>
    <t>HIA</t>
  </si>
  <si>
    <t>HIRE AMOUT</t>
  </si>
  <si>
    <t>고저</t>
  </si>
  <si>
    <t>HIG</t>
  </si>
  <si>
    <t>HIGHT</t>
  </si>
  <si>
    <t>고교</t>
  </si>
  <si>
    <t>HIH</t>
  </si>
  <si>
    <t>HIGH SCHOOL</t>
  </si>
  <si>
    <t>고등학교</t>
  </si>
  <si>
    <t>화일자</t>
  </si>
  <si>
    <t>HIJ</t>
  </si>
  <si>
    <t>HWAILJA</t>
  </si>
  <si>
    <t>임차</t>
  </si>
  <si>
    <t>HIR</t>
  </si>
  <si>
    <t>HIRE</t>
  </si>
  <si>
    <t>연혁</t>
  </si>
  <si>
    <t>HIS</t>
  </si>
  <si>
    <t>HISTORY</t>
  </si>
  <si>
    <t>하자</t>
  </si>
  <si>
    <t>HJA</t>
  </si>
  <si>
    <t>HAJA</t>
  </si>
  <si>
    <t>할부</t>
  </si>
  <si>
    <t>HLB</t>
  </si>
  <si>
    <t>HALBU</t>
  </si>
  <si>
    <t>보류</t>
  </si>
  <si>
    <t>HLD</t>
  </si>
  <si>
    <t>HOLD</t>
  </si>
  <si>
    <t>공휴</t>
  </si>
  <si>
    <t>HLI</t>
  </si>
  <si>
    <t>공휴일</t>
  </si>
  <si>
    <t>건강</t>
  </si>
  <si>
    <t>HLT</t>
  </si>
  <si>
    <t>HEALTH</t>
  </si>
  <si>
    <t>홈페이지</t>
  </si>
  <si>
    <t>HMP</t>
  </si>
  <si>
    <t>HOME PAGE</t>
  </si>
  <si>
    <t>휴대폰</t>
  </si>
  <si>
    <t>HNP</t>
  </si>
  <si>
    <t>HANDPHONE</t>
  </si>
  <si>
    <t>명예</t>
  </si>
  <si>
    <t>HNR</t>
  </si>
  <si>
    <t>HONOR</t>
  </si>
  <si>
    <t>호봉</t>
  </si>
  <si>
    <t>HOB</t>
  </si>
  <si>
    <t>HOBONG</t>
  </si>
  <si>
    <t>전직</t>
  </si>
  <si>
    <t>HOD</t>
  </si>
  <si>
    <t>HONEST DISPOSITION</t>
  </si>
  <si>
    <t>자택</t>
  </si>
  <si>
    <t>HOM</t>
  </si>
  <si>
    <t>HOME</t>
  </si>
  <si>
    <t>정직</t>
  </si>
  <si>
    <t>HON</t>
  </si>
  <si>
    <t>HONESTY</t>
  </si>
  <si>
    <t>후</t>
  </si>
  <si>
    <t>HOO</t>
  </si>
  <si>
    <t>HOT</t>
  </si>
  <si>
    <t>합병</t>
  </si>
  <si>
    <t>HPG</t>
  </si>
  <si>
    <t>HAPBYENG</t>
  </si>
  <si>
    <t>지역특화</t>
  </si>
  <si>
    <t>HQS</t>
  </si>
  <si>
    <t>HEAD QUARTER SPECIAL</t>
  </si>
  <si>
    <t>현잔</t>
  </si>
  <si>
    <t>HRM</t>
  </si>
  <si>
    <t>HYENJAN</t>
  </si>
  <si>
    <t>이력</t>
  </si>
  <si>
    <t>HST</t>
  </si>
  <si>
    <t>주택</t>
  </si>
  <si>
    <t>HUS</t>
  </si>
  <si>
    <t>HOUSE</t>
  </si>
  <si>
    <t>환급액</t>
  </si>
  <si>
    <t>HWA</t>
  </si>
  <si>
    <t>HWANKUB AMOUNT</t>
  </si>
  <si>
    <t>환급취소</t>
  </si>
  <si>
    <t>HWC</t>
  </si>
  <si>
    <t>HWANKUB CANCEL</t>
  </si>
  <si>
    <t>화의</t>
  </si>
  <si>
    <t>HWE</t>
  </si>
  <si>
    <t>HWAYEI</t>
  </si>
  <si>
    <t>환급수입</t>
  </si>
  <si>
    <t>HWI</t>
  </si>
  <si>
    <t>HWANKUB INCOME</t>
  </si>
  <si>
    <t>환입</t>
  </si>
  <si>
    <t>학자</t>
  </si>
  <si>
    <t>HWJ</t>
  </si>
  <si>
    <t>HWAKJA</t>
  </si>
  <si>
    <t>환급</t>
  </si>
  <si>
    <t>HWK</t>
  </si>
  <si>
    <t>HWANKUB</t>
  </si>
  <si>
    <t>환</t>
  </si>
  <si>
    <t>HWN</t>
  </si>
  <si>
    <t>HWAN</t>
  </si>
  <si>
    <t>회</t>
  </si>
  <si>
    <t>HYE</t>
  </si>
  <si>
    <t>HYEI</t>
  </si>
  <si>
    <t>현송</t>
  </si>
  <si>
    <t>HYS</t>
  </si>
  <si>
    <t>HYENSONG</t>
  </si>
  <si>
    <t>5년이내</t>
  </si>
  <si>
    <t>I5Y</t>
  </si>
  <si>
    <t>IN 5 YEAR</t>
  </si>
  <si>
    <t>증감</t>
  </si>
  <si>
    <t>IAD</t>
  </si>
  <si>
    <t>INCREASE AND DECREASE</t>
  </si>
  <si>
    <t>입보</t>
  </si>
  <si>
    <t>IBB</t>
  </si>
  <si>
    <t>IBBO</t>
  </si>
  <si>
    <t>ISBN</t>
  </si>
  <si>
    <t>IBN</t>
  </si>
  <si>
    <t>인상후</t>
  </si>
  <si>
    <t>ICA</t>
  </si>
  <si>
    <t>INCREASE AFTER</t>
  </si>
  <si>
    <t>증액</t>
  </si>
  <si>
    <t>인상전</t>
  </si>
  <si>
    <t>ICB</t>
  </si>
  <si>
    <t>INCREASE BEFORE</t>
  </si>
  <si>
    <t>유입현금</t>
  </si>
  <si>
    <t>ICC</t>
  </si>
  <si>
    <t>INCOME CASH</t>
  </si>
  <si>
    <t>업종명</t>
  </si>
  <si>
    <t>ICF</t>
  </si>
  <si>
    <t>INDUSTRIAL CLASSIFICATION</t>
  </si>
  <si>
    <t>제수입</t>
  </si>
  <si>
    <t>ICM</t>
  </si>
  <si>
    <t>INCOM</t>
  </si>
  <si>
    <t>제수입금</t>
  </si>
  <si>
    <t>ICO</t>
  </si>
  <si>
    <t>INCOME AMOUNT</t>
  </si>
  <si>
    <t>증가율</t>
  </si>
  <si>
    <t>ICR</t>
  </si>
  <si>
    <t>INCREASE RATE</t>
  </si>
  <si>
    <t>인상</t>
  </si>
  <si>
    <t>ICS</t>
  </si>
  <si>
    <t>산입</t>
  </si>
  <si>
    <t>ICT</t>
  </si>
  <si>
    <t>IN COUNT</t>
  </si>
  <si>
    <t>증감액</t>
  </si>
  <si>
    <t>IDA</t>
  </si>
  <si>
    <t>INCREASE/DECREASE AMOUNT</t>
  </si>
  <si>
    <t>취지</t>
  </si>
  <si>
    <t>정보DB</t>
  </si>
  <si>
    <t>IDB</t>
  </si>
  <si>
    <t>INFORMATION DB</t>
  </si>
  <si>
    <t>징후</t>
  </si>
  <si>
    <t>IDC</t>
  </si>
  <si>
    <t>INDICATION</t>
  </si>
  <si>
    <t>ID</t>
  </si>
  <si>
    <t>IDE</t>
  </si>
  <si>
    <t>IDENTIFICATION</t>
  </si>
  <si>
    <t>식별</t>
  </si>
  <si>
    <t>IDF</t>
  </si>
  <si>
    <t>산업</t>
  </si>
  <si>
    <t>IDS</t>
  </si>
  <si>
    <t>INDUSTRY</t>
  </si>
  <si>
    <t>개별</t>
  </si>
  <si>
    <t>IDV</t>
  </si>
  <si>
    <t>INDIVIDUAL</t>
  </si>
  <si>
    <t>색인어</t>
  </si>
  <si>
    <t>IDX</t>
  </si>
  <si>
    <t>INDEX</t>
  </si>
  <si>
    <t>통지일</t>
  </si>
  <si>
    <t>IFD</t>
  </si>
  <si>
    <t>INFORM DATE</t>
  </si>
  <si>
    <t>약식</t>
  </si>
  <si>
    <t>IFM</t>
  </si>
  <si>
    <t xml:space="preserve">INFORMAL </t>
  </si>
  <si>
    <t>조사목적</t>
  </si>
  <si>
    <t>IGL</t>
  </si>
  <si>
    <t>INSPECTION GOAL</t>
  </si>
  <si>
    <t>업종군</t>
  </si>
  <si>
    <t>IGP</t>
  </si>
  <si>
    <t>INDUSTRIAL GROUP</t>
  </si>
  <si>
    <t>이행</t>
  </si>
  <si>
    <t>IHG</t>
  </si>
  <si>
    <t>IHANG</t>
  </si>
  <si>
    <t>인</t>
  </si>
  <si>
    <t>IIN</t>
  </si>
  <si>
    <t>IN</t>
  </si>
  <si>
    <t>이관점</t>
  </si>
  <si>
    <t>IKB</t>
  </si>
  <si>
    <t>IKAN BRANCH</t>
  </si>
  <si>
    <t>이관일</t>
  </si>
  <si>
    <t>IKD</t>
  </si>
  <si>
    <t>IKAN DATE</t>
  </si>
  <si>
    <t>이관</t>
  </si>
  <si>
    <t>IKN</t>
  </si>
  <si>
    <t>IKAN</t>
  </si>
  <si>
    <t>포함금</t>
  </si>
  <si>
    <t>ILA</t>
  </si>
  <si>
    <t>INCLUDE AMOUNT</t>
  </si>
  <si>
    <t>포함액</t>
  </si>
  <si>
    <t>설치일</t>
  </si>
  <si>
    <t>ILD</t>
  </si>
  <si>
    <t>INSTALL DATE</t>
  </si>
  <si>
    <t>포함</t>
  </si>
  <si>
    <t>도시</t>
  </si>
  <si>
    <t>ILS</t>
  </si>
  <si>
    <t>ILLUSTRATION</t>
  </si>
  <si>
    <t>이입액</t>
  </si>
  <si>
    <t>IMA</t>
  </si>
  <si>
    <t>IMPORT AMOUNT</t>
  </si>
  <si>
    <t>중간</t>
  </si>
  <si>
    <t>IME</t>
  </si>
  <si>
    <t>INTERMEDIATE</t>
  </si>
  <si>
    <t>시행</t>
  </si>
  <si>
    <t>IMP</t>
  </si>
  <si>
    <t>IMPLEMENTATION</t>
  </si>
  <si>
    <t>시현</t>
  </si>
  <si>
    <t>IMT</t>
  </si>
  <si>
    <t>증가액</t>
  </si>
  <si>
    <t>INA</t>
  </si>
  <si>
    <t>INCREASE AMOUNT</t>
  </si>
  <si>
    <t>산업별</t>
  </si>
  <si>
    <t>INB</t>
  </si>
  <si>
    <t>INDUSTRYBUL</t>
  </si>
  <si>
    <t>이자계산</t>
  </si>
  <si>
    <t>INC</t>
  </si>
  <si>
    <t>인출</t>
  </si>
  <si>
    <t>입력일</t>
  </si>
  <si>
    <t>IND</t>
  </si>
  <si>
    <t>INPUT DATE</t>
  </si>
  <si>
    <t>증가</t>
  </si>
  <si>
    <t>INE</t>
  </si>
  <si>
    <t>정보</t>
  </si>
  <si>
    <t>INF</t>
  </si>
  <si>
    <t>INFORMATION</t>
  </si>
  <si>
    <t>통보</t>
  </si>
  <si>
    <t>정보이용</t>
  </si>
  <si>
    <t>ING</t>
  </si>
  <si>
    <t>INFORMATION USAGE</t>
  </si>
  <si>
    <t>설치</t>
  </si>
  <si>
    <t>INL</t>
  </si>
  <si>
    <t>ISNTALL</t>
  </si>
  <si>
    <t>경상수지</t>
  </si>
  <si>
    <t>INM</t>
  </si>
  <si>
    <t>INCOME</t>
  </si>
  <si>
    <t>약칭</t>
  </si>
  <si>
    <t>INN</t>
  </si>
  <si>
    <t>INFORMAL NAME</t>
  </si>
  <si>
    <t>조사번호</t>
  </si>
  <si>
    <t>INO</t>
  </si>
  <si>
    <t>INSPECTION NO</t>
  </si>
  <si>
    <t>입력</t>
  </si>
  <si>
    <t>INP</t>
  </si>
  <si>
    <t>입력점</t>
  </si>
  <si>
    <t>심사자</t>
  </si>
  <si>
    <t>INR</t>
  </si>
  <si>
    <t>INSPECTOR</t>
  </si>
  <si>
    <t>이자율</t>
  </si>
  <si>
    <t>심사</t>
  </si>
  <si>
    <t>INS</t>
  </si>
  <si>
    <t>이자</t>
  </si>
  <si>
    <t>INT</t>
  </si>
  <si>
    <t>공업</t>
  </si>
  <si>
    <t>INU</t>
  </si>
  <si>
    <t>통보문</t>
  </si>
  <si>
    <t>침해</t>
  </si>
  <si>
    <t>INV</t>
  </si>
  <si>
    <t>INVADE</t>
  </si>
  <si>
    <t>인덱스</t>
  </si>
  <si>
    <t>INX</t>
  </si>
  <si>
    <t>지수</t>
  </si>
  <si>
    <t>비목</t>
  </si>
  <si>
    <t>IOE</t>
  </si>
  <si>
    <t>ITEM OF EXPENDITURE</t>
  </si>
  <si>
    <t>입력시</t>
  </si>
  <si>
    <t>IPE</t>
  </si>
  <si>
    <t>INPUT TIME</t>
  </si>
  <si>
    <t>입력번호</t>
  </si>
  <si>
    <t>IPN</t>
  </si>
  <si>
    <t>INPUT NUMBER</t>
  </si>
  <si>
    <t>조사서번호</t>
  </si>
  <si>
    <t>무형자산</t>
  </si>
  <si>
    <t>IPO</t>
  </si>
  <si>
    <t>INTANGIBLE PROPERTY</t>
  </si>
  <si>
    <t>입력자</t>
  </si>
  <si>
    <t>IPR</t>
  </si>
  <si>
    <t>INPUT PERSON</t>
  </si>
  <si>
    <t>수입</t>
  </si>
  <si>
    <t>IPT</t>
  </si>
  <si>
    <t>수입분</t>
  </si>
  <si>
    <t>IPY</t>
  </si>
  <si>
    <t>IMPORT LY</t>
  </si>
  <si>
    <t>이수관액</t>
  </si>
  <si>
    <t>ISA</t>
  </si>
  <si>
    <t>ISUKAN AMOUNT</t>
  </si>
  <si>
    <t>사무소</t>
  </si>
  <si>
    <t>ISC</t>
  </si>
  <si>
    <t>OFFICE</t>
  </si>
  <si>
    <t>발행일</t>
  </si>
  <si>
    <t>ISD</t>
  </si>
  <si>
    <t>ISSUE DATE</t>
  </si>
  <si>
    <t>감사</t>
  </si>
  <si>
    <t>ISE</t>
  </si>
  <si>
    <t>미만</t>
  </si>
  <si>
    <t>ISF</t>
  </si>
  <si>
    <t>INSUFFICIENCY</t>
  </si>
  <si>
    <t>보험료</t>
  </si>
  <si>
    <t>이수관</t>
  </si>
  <si>
    <t>ISK</t>
  </si>
  <si>
    <t>ISUKAN</t>
  </si>
  <si>
    <t>장치</t>
  </si>
  <si>
    <t>ISL</t>
  </si>
  <si>
    <t>INSTALLATION</t>
  </si>
  <si>
    <t>ISSN</t>
  </si>
  <si>
    <t>ISN</t>
  </si>
  <si>
    <t>ISO</t>
  </si>
  <si>
    <t>심의</t>
  </si>
  <si>
    <t>ISP</t>
  </si>
  <si>
    <t>감사자</t>
  </si>
  <si>
    <t>ISR</t>
  </si>
  <si>
    <t>발행인</t>
  </si>
  <si>
    <t>발행</t>
  </si>
  <si>
    <t>ISS</t>
  </si>
  <si>
    <t>시설</t>
  </si>
  <si>
    <t>IST</t>
  </si>
  <si>
    <t>INSTITUTION</t>
  </si>
  <si>
    <t>보험</t>
  </si>
  <si>
    <t>ISU</t>
  </si>
  <si>
    <t>도입</t>
  </si>
  <si>
    <t>ITD</t>
  </si>
  <si>
    <t>INTRODUCTION</t>
  </si>
  <si>
    <t>국제</t>
  </si>
  <si>
    <t>ITL</t>
  </si>
  <si>
    <t>INTERNATIONAL</t>
  </si>
  <si>
    <t>종목</t>
  </si>
  <si>
    <t>ITM</t>
  </si>
  <si>
    <t>품목</t>
  </si>
  <si>
    <t>ITEMS</t>
  </si>
  <si>
    <t>항목</t>
  </si>
  <si>
    <t>항목별</t>
  </si>
  <si>
    <t>항목수</t>
  </si>
  <si>
    <t>ITEM</t>
  </si>
  <si>
    <t>인터넷</t>
  </si>
  <si>
    <t>ITN</t>
  </si>
  <si>
    <t>INTERNET</t>
  </si>
  <si>
    <t>중단</t>
  </si>
  <si>
    <t>ITP</t>
  </si>
  <si>
    <t>INTERRUPTION</t>
  </si>
  <si>
    <t>상담인</t>
  </si>
  <si>
    <t>ITR</t>
  </si>
  <si>
    <t>INTERVIEWER</t>
  </si>
  <si>
    <t>상담자</t>
  </si>
  <si>
    <t>기계</t>
  </si>
  <si>
    <t>ITT</t>
  </si>
  <si>
    <t>INSTRUMENT</t>
  </si>
  <si>
    <t>상담</t>
  </si>
  <si>
    <t>ITV</t>
  </si>
  <si>
    <t>INTERVIEW</t>
  </si>
  <si>
    <t>투자</t>
  </si>
  <si>
    <t>IVE</t>
  </si>
  <si>
    <t>INVESTMENT</t>
  </si>
  <si>
    <t>조사자</t>
  </si>
  <si>
    <t>IVG</t>
  </si>
  <si>
    <t>INVESTIGATER</t>
  </si>
  <si>
    <t>조사월</t>
  </si>
  <si>
    <t>IVM</t>
  </si>
  <si>
    <t>INVESTIGATION MONTH</t>
  </si>
  <si>
    <t>발명</t>
  </si>
  <si>
    <t>IVN</t>
  </si>
  <si>
    <t>INVENTION</t>
  </si>
  <si>
    <t>발명자</t>
  </si>
  <si>
    <t>IVR</t>
  </si>
  <si>
    <t>INVENTOR</t>
  </si>
  <si>
    <t>조사서</t>
  </si>
  <si>
    <t>IVS</t>
  </si>
  <si>
    <t>INVESTIGATION SHEET</t>
  </si>
  <si>
    <t>조사구분</t>
  </si>
  <si>
    <t>IYN</t>
  </si>
  <si>
    <t>INSPECTION YN</t>
  </si>
  <si>
    <t>분개</t>
  </si>
  <si>
    <t>J</t>
  </si>
  <si>
    <t>5점</t>
  </si>
  <si>
    <t>J5</t>
  </si>
  <si>
    <t>8점</t>
  </si>
  <si>
    <t>J8</t>
  </si>
  <si>
    <t>8 JUM</t>
  </si>
  <si>
    <t>9점</t>
  </si>
  <si>
    <t>J9</t>
  </si>
  <si>
    <t>9 JUM</t>
  </si>
  <si>
    <t>자</t>
  </si>
  <si>
    <t>JAA</t>
  </si>
  <si>
    <t>잡</t>
  </si>
  <si>
    <t>JAB</t>
  </si>
  <si>
    <t>제코드</t>
  </si>
  <si>
    <t>JAE</t>
  </si>
  <si>
    <t>잔액</t>
  </si>
  <si>
    <t>JAN</t>
  </si>
  <si>
    <t>장</t>
  </si>
  <si>
    <t>JANG</t>
  </si>
  <si>
    <t>좌수</t>
  </si>
  <si>
    <t>JAS</t>
  </si>
  <si>
    <t>JOASU</t>
  </si>
  <si>
    <t>잡급</t>
  </si>
  <si>
    <t>JBK</t>
  </si>
  <si>
    <t>JABKUB</t>
  </si>
  <si>
    <t>재판</t>
  </si>
  <si>
    <t>JDM</t>
  </si>
  <si>
    <t>JUDGMENT</t>
  </si>
  <si>
    <t>판정</t>
  </si>
  <si>
    <t>JDN</t>
  </si>
  <si>
    <t>판결</t>
  </si>
  <si>
    <t>JDT</t>
  </si>
  <si>
    <t>재고</t>
  </si>
  <si>
    <t>JEK</t>
  </si>
  <si>
    <t>절</t>
  </si>
  <si>
    <t>JEL</t>
  </si>
  <si>
    <t>JEOL</t>
  </si>
  <si>
    <t>전</t>
  </si>
  <si>
    <t>JEN</t>
  </si>
  <si>
    <t>JEON</t>
  </si>
  <si>
    <t>장애자</t>
  </si>
  <si>
    <t>JGJ</t>
  </si>
  <si>
    <t>지번</t>
  </si>
  <si>
    <t>JIB</t>
  </si>
  <si>
    <t>JIBUN</t>
  </si>
  <si>
    <t>전잔</t>
  </si>
  <si>
    <t>JJA</t>
  </si>
  <si>
    <t>JUNJAN</t>
  </si>
  <si>
    <t>전결구분</t>
  </si>
  <si>
    <t>JKG</t>
  </si>
  <si>
    <t>JEONKYEL GUBUN</t>
  </si>
  <si>
    <t>주관</t>
  </si>
  <si>
    <t>JKK</t>
  </si>
  <si>
    <t>JUKKAN</t>
  </si>
  <si>
    <t>전결</t>
  </si>
  <si>
    <t>JKL</t>
  </si>
  <si>
    <t>JEONKYEL</t>
  </si>
  <si>
    <t>직번</t>
  </si>
  <si>
    <t>JKN</t>
  </si>
  <si>
    <t>JIKNO</t>
  </si>
  <si>
    <t>재공품</t>
  </si>
  <si>
    <t>JKP</t>
  </si>
  <si>
    <t>JAEKONGPOOM</t>
  </si>
  <si>
    <t>직위</t>
  </si>
  <si>
    <t>JKW</t>
  </si>
  <si>
    <t>주민사업자</t>
  </si>
  <si>
    <t>JMJ</t>
  </si>
  <si>
    <t>JUMINSAUPJA</t>
  </si>
  <si>
    <t>주민</t>
  </si>
  <si>
    <t>JMN</t>
  </si>
  <si>
    <t>JUMIN</t>
  </si>
  <si>
    <t>주민등록</t>
  </si>
  <si>
    <t>JMR</t>
  </si>
  <si>
    <t>JUMIN REGISTRATION</t>
  </si>
  <si>
    <t>주민사업</t>
  </si>
  <si>
    <t>JMS</t>
  </si>
  <si>
    <t>전무이사</t>
  </si>
  <si>
    <t>JMU</t>
  </si>
  <si>
    <t>JUNMU</t>
  </si>
  <si>
    <t>직장명</t>
  </si>
  <si>
    <t>JNN</t>
  </si>
  <si>
    <t>JOB NAME</t>
  </si>
  <si>
    <t>주민번호</t>
  </si>
  <si>
    <t>JNO</t>
  </si>
  <si>
    <t>JUMIN NO</t>
  </si>
  <si>
    <t>연대보증인</t>
  </si>
  <si>
    <t>JNR</t>
  </si>
  <si>
    <t>JOINTER</t>
  </si>
  <si>
    <t>연대</t>
  </si>
  <si>
    <t>JNT</t>
  </si>
  <si>
    <t>JOINT</t>
  </si>
  <si>
    <t>제휴</t>
  </si>
  <si>
    <t>좌</t>
  </si>
  <si>
    <t>JOA</t>
  </si>
  <si>
    <t>작업</t>
  </si>
  <si>
    <t>JOB</t>
  </si>
  <si>
    <t>종</t>
  </si>
  <si>
    <t>JOG</t>
  </si>
  <si>
    <t>JONG</t>
  </si>
  <si>
    <t>참가</t>
  </si>
  <si>
    <t>JOI</t>
  </si>
  <si>
    <t>JOINING</t>
  </si>
  <si>
    <t>투입</t>
  </si>
  <si>
    <t>JON</t>
  </si>
  <si>
    <t>JOIN</t>
  </si>
  <si>
    <t>주</t>
  </si>
  <si>
    <t>JOO</t>
  </si>
  <si>
    <t>점포코드</t>
  </si>
  <si>
    <t>JPC</t>
  </si>
  <si>
    <t>JUMPO CODE</t>
  </si>
  <si>
    <t>점포</t>
  </si>
  <si>
    <t>JPO</t>
  </si>
  <si>
    <t>JUMPO</t>
  </si>
  <si>
    <t>2자리</t>
  </si>
  <si>
    <t>JR2</t>
  </si>
  <si>
    <t>2 JARI</t>
  </si>
  <si>
    <t>연보인</t>
  </si>
  <si>
    <t>JSC</t>
  </si>
  <si>
    <t>JOINT SURETY</t>
  </si>
  <si>
    <t>정당</t>
  </si>
  <si>
    <t>JST</t>
  </si>
  <si>
    <t>JUSTNESS</t>
  </si>
  <si>
    <t>감정</t>
  </si>
  <si>
    <t>JUD</t>
  </si>
  <si>
    <t>감정료</t>
  </si>
  <si>
    <t>JUF</t>
  </si>
  <si>
    <t>JUDGMENT FEE</t>
  </si>
  <si>
    <t>증</t>
  </si>
  <si>
    <t>JUG</t>
  </si>
  <si>
    <t>JUNG</t>
  </si>
  <si>
    <t>적</t>
  </si>
  <si>
    <t>JUK</t>
  </si>
  <si>
    <t>점</t>
  </si>
  <si>
    <t>JUM</t>
  </si>
  <si>
    <t>중</t>
  </si>
  <si>
    <t>JUN</t>
  </si>
  <si>
    <t>JOUNG</t>
  </si>
  <si>
    <t>좌번</t>
  </si>
  <si>
    <t>JWA</t>
  </si>
  <si>
    <t>2급</t>
  </si>
  <si>
    <t>KB2</t>
  </si>
  <si>
    <t>2 KUB</t>
  </si>
  <si>
    <t>키워드</t>
  </si>
  <si>
    <t>KEY</t>
  </si>
  <si>
    <t>KEYWORD</t>
  </si>
  <si>
    <t>기보</t>
  </si>
  <si>
    <t>KIB</t>
  </si>
  <si>
    <t>KIBO</t>
  </si>
  <si>
    <t>주방</t>
  </si>
  <si>
    <t>KIC</t>
  </si>
  <si>
    <t>KITCHEN</t>
  </si>
  <si>
    <t>기수</t>
  </si>
  <si>
    <t>KIS</t>
  </si>
  <si>
    <t>KISU</t>
  </si>
  <si>
    <t>관재일</t>
  </si>
  <si>
    <t>KJD</t>
  </si>
  <si>
    <t>KANJE DATE</t>
  </si>
  <si>
    <t>구조</t>
  </si>
  <si>
    <t>KJO</t>
  </si>
  <si>
    <t>KOOJO</t>
  </si>
  <si>
    <t>규정손해</t>
  </si>
  <si>
    <t>KJS</t>
  </si>
  <si>
    <t>KYUJUNGSONHAE</t>
  </si>
  <si>
    <t>종류</t>
  </si>
  <si>
    <t>KND</t>
  </si>
  <si>
    <t>권호</t>
  </si>
  <si>
    <t>KNH</t>
  </si>
  <si>
    <t>KUNHO</t>
  </si>
  <si>
    <t>권종</t>
  </si>
  <si>
    <t>KNJ</t>
  </si>
  <si>
    <t>KUNJONG</t>
  </si>
  <si>
    <t>종류명</t>
  </si>
  <si>
    <t>KNN</t>
  </si>
  <si>
    <t>KIND NAME</t>
  </si>
  <si>
    <t>권수</t>
  </si>
  <si>
    <t>KNS</t>
  </si>
  <si>
    <t>KUNSU</t>
  </si>
  <si>
    <t>구성비</t>
  </si>
  <si>
    <t>KOI</t>
  </si>
  <si>
    <t>KOOSUNGBI</t>
  </si>
  <si>
    <t>한글</t>
  </si>
  <si>
    <t>KOR</t>
  </si>
  <si>
    <t>기보신보</t>
  </si>
  <si>
    <t>KSB</t>
  </si>
  <si>
    <t>KIBO SINBO</t>
  </si>
  <si>
    <t>KS</t>
  </si>
  <si>
    <t>KSS</t>
  </si>
  <si>
    <t>KOREAN STANDARDS</t>
  </si>
  <si>
    <t>KT</t>
  </si>
  <si>
    <t>KTT</t>
  </si>
  <si>
    <t>국</t>
  </si>
  <si>
    <t>KUK</t>
  </si>
  <si>
    <t>권</t>
  </si>
  <si>
    <t>KUN</t>
  </si>
  <si>
    <t>경험</t>
  </si>
  <si>
    <t>KUU</t>
  </si>
  <si>
    <t>KYUNGUM</t>
  </si>
  <si>
    <t>kw</t>
  </si>
  <si>
    <t>KW</t>
  </si>
  <si>
    <t>KILOWATT</t>
  </si>
  <si>
    <t>경상</t>
  </si>
  <si>
    <t>KYS</t>
  </si>
  <si>
    <t>KYUNGSANG</t>
  </si>
  <si>
    <t>노무비</t>
  </si>
  <si>
    <t>LAA</t>
  </si>
  <si>
    <t>LABOR AMOUNT</t>
  </si>
  <si>
    <t>노무</t>
  </si>
  <si>
    <t>LAB</t>
  </si>
  <si>
    <t>노사분규</t>
  </si>
  <si>
    <t>LAD</t>
  </si>
  <si>
    <t>LABOR DISPUTE</t>
  </si>
  <si>
    <t>최근월</t>
  </si>
  <si>
    <t>LAM</t>
  </si>
  <si>
    <t>LATEST MONTH</t>
  </si>
  <si>
    <t>차입</t>
  </si>
  <si>
    <t>LAN</t>
  </si>
  <si>
    <t>LOAN</t>
  </si>
  <si>
    <t>노동</t>
  </si>
  <si>
    <t>LAO</t>
  </si>
  <si>
    <t>LABOR</t>
  </si>
  <si>
    <t>노동쟁의</t>
  </si>
  <si>
    <t>LAP</t>
  </si>
  <si>
    <t>LABOR PROBLEM</t>
  </si>
  <si>
    <t>연구소</t>
  </si>
  <si>
    <t>LAR</t>
  </si>
  <si>
    <t>LABORATORY</t>
  </si>
  <si>
    <t>레이저</t>
  </si>
  <si>
    <t>LAS</t>
  </si>
  <si>
    <t>LASER</t>
  </si>
  <si>
    <t>당기말</t>
  </si>
  <si>
    <t>LAT</t>
  </si>
  <si>
    <t>LAST TERM</t>
  </si>
  <si>
    <t>법률</t>
  </si>
  <si>
    <t>LAW</t>
  </si>
  <si>
    <t>법사가</t>
  </si>
  <si>
    <t>LAY</t>
  </si>
  <si>
    <t>LAWYER</t>
  </si>
  <si>
    <t>근로자</t>
  </si>
  <si>
    <t>LBE</t>
  </si>
  <si>
    <t>LABORER</t>
  </si>
  <si>
    <t>근로</t>
  </si>
  <si>
    <t>LBR</t>
  </si>
  <si>
    <t>지방법원</t>
  </si>
  <si>
    <t>LCC</t>
  </si>
  <si>
    <t>LOCAL COURT</t>
  </si>
  <si>
    <t>면허</t>
  </si>
  <si>
    <t>LCN</t>
  </si>
  <si>
    <t>LICENSE</t>
  </si>
  <si>
    <t>LC</t>
  </si>
  <si>
    <t>LCR</t>
  </si>
  <si>
    <t>LICENSE OF CERTIFICATION</t>
  </si>
  <si>
    <t>신용장</t>
  </si>
  <si>
    <t>LCT</t>
  </si>
  <si>
    <t>LETTER OF CREDIT</t>
  </si>
  <si>
    <t>최종일</t>
  </si>
  <si>
    <t>LDT</t>
  </si>
  <si>
    <t>LAST DATE</t>
  </si>
  <si>
    <t>최종일자</t>
  </si>
  <si>
    <t>임대</t>
  </si>
  <si>
    <t>LEA</t>
  </si>
  <si>
    <t>선도</t>
  </si>
  <si>
    <t>LED</t>
  </si>
  <si>
    <t>LEADER</t>
  </si>
  <si>
    <t>이연</t>
  </si>
  <si>
    <t>LEE</t>
  </si>
  <si>
    <t>LEEYEUN</t>
  </si>
  <si>
    <t>문자</t>
  </si>
  <si>
    <t>LET</t>
  </si>
  <si>
    <t>LETTER</t>
  </si>
  <si>
    <t>법적</t>
  </si>
  <si>
    <t>LGL</t>
  </si>
  <si>
    <t>LEGAL</t>
  </si>
  <si>
    <t>장기</t>
  </si>
  <si>
    <t>LGT</t>
  </si>
  <si>
    <t>LONG TERM</t>
  </si>
  <si>
    <t>대여금</t>
  </si>
  <si>
    <t>LIA</t>
  </si>
  <si>
    <t>LEASE AMOUNT</t>
  </si>
  <si>
    <t>사서</t>
  </si>
  <si>
    <t>LIB</t>
  </si>
  <si>
    <t>LIBRARIAN</t>
  </si>
  <si>
    <t>자격증</t>
  </si>
  <si>
    <t>LIC</t>
  </si>
  <si>
    <t>LICENSE CERTIFICATE</t>
  </si>
  <si>
    <t>라이프</t>
  </si>
  <si>
    <t>LIF</t>
  </si>
  <si>
    <t>LIFE</t>
  </si>
  <si>
    <t>라인</t>
  </si>
  <si>
    <t>LIN</t>
  </si>
  <si>
    <t>LINE</t>
  </si>
  <si>
    <t>유동성</t>
  </si>
  <si>
    <t>LIQ</t>
  </si>
  <si>
    <t>LIQUIDITY</t>
  </si>
  <si>
    <t>대여</t>
  </si>
  <si>
    <t>LIS</t>
  </si>
  <si>
    <t>LEASE</t>
  </si>
  <si>
    <t>리스트</t>
  </si>
  <si>
    <t>LIT</t>
  </si>
  <si>
    <t>LIST</t>
  </si>
  <si>
    <t>큰폭</t>
  </si>
  <si>
    <t>LIZ</t>
  </si>
  <si>
    <t>LARGE SIZE</t>
  </si>
  <si>
    <t>한도액</t>
  </si>
  <si>
    <t>LMA</t>
  </si>
  <si>
    <t>LIMIT AMOUNT( OF MONEY)</t>
  </si>
  <si>
    <t>전월말</t>
  </si>
  <si>
    <t>LME</t>
  </si>
  <si>
    <t>LAST MONTH END</t>
  </si>
  <si>
    <t>전월</t>
  </si>
  <si>
    <t>LMM</t>
  </si>
  <si>
    <t>LAST MONTH</t>
  </si>
  <si>
    <t>제한</t>
  </si>
  <si>
    <t>LMT</t>
  </si>
  <si>
    <t>한도</t>
  </si>
  <si>
    <t>지적</t>
  </si>
  <si>
    <t>LND</t>
  </si>
  <si>
    <t>LAND</t>
  </si>
  <si>
    <t>토지</t>
  </si>
  <si>
    <t>언어</t>
  </si>
  <si>
    <t>LNG</t>
  </si>
  <si>
    <t>LANGUAGE</t>
  </si>
  <si>
    <t>정렬</t>
  </si>
  <si>
    <t>LNU</t>
  </si>
  <si>
    <t>LINEUP</t>
  </si>
  <si>
    <t>도로</t>
  </si>
  <si>
    <t>LOA</t>
  </si>
  <si>
    <t>LOAD</t>
  </si>
  <si>
    <t>위치</t>
  </si>
  <si>
    <t>LOC</t>
  </si>
  <si>
    <t>LOCATION</t>
  </si>
  <si>
    <t>입지</t>
  </si>
  <si>
    <t>대출일</t>
  </si>
  <si>
    <t>LOD</t>
  </si>
  <si>
    <t>LOAN DATE</t>
  </si>
  <si>
    <t>LOG</t>
  </si>
  <si>
    <t>금융차입</t>
  </si>
  <si>
    <t>LON</t>
  </si>
  <si>
    <t>대부</t>
  </si>
  <si>
    <t>대출</t>
  </si>
  <si>
    <t>손해</t>
  </si>
  <si>
    <t>LOS</t>
  </si>
  <si>
    <t>LOSS</t>
  </si>
  <si>
    <t>로열티</t>
  </si>
  <si>
    <t>LOY</t>
  </si>
  <si>
    <t>LOYALTY</t>
  </si>
  <si>
    <t>손해금</t>
  </si>
  <si>
    <t>LSA</t>
  </si>
  <si>
    <t>LOSS AMOUNT</t>
  </si>
  <si>
    <t>상장사</t>
  </si>
  <si>
    <t>LSC</t>
  </si>
  <si>
    <t>LIST STOCK COMPANY</t>
  </si>
  <si>
    <t>상장</t>
  </si>
  <si>
    <t>LSK</t>
  </si>
  <si>
    <t>LIST STOCK</t>
  </si>
  <si>
    <t>최종</t>
  </si>
  <si>
    <t>LST</t>
  </si>
  <si>
    <t>LAST</t>
  </si>
  <si>
    <t>동거</t>
  </si>
  <si>
    <t>LTG</t>
  </si>
  <si>
    <t>LIVE TOGETHER</t>
  </si>
  <si>
    <t>레벨</t>
  </si>
  <si>
    <t>LVL</t>
  </si>
  <si>
    <t>LEVEL</t>
  </si>
  <si>
    <t>수준</t>
  </si>
  <si>
    <t>징수</t>
  </si>
  <si>
    <t>LVY</t>
  </si>
  <si>
    <t>LEVY</t>
  </si>
  <si>
    <t>법정</t>
  </si>
  <si>
    <t>LWC</t>
  </si>
  <si>
    <t>소송</t>
  </si>
  <si>
    <t>LAWCOURT</t>
  </si>
  <si>
    <t>징수금</t>
  </si>
  <si>
    <t>LYA</t>
  </si>
  <si>
    <t>LEVY AMOUNT</t>
  </si>
  <si>
    <t>징수일</t>
  </si>
  <si>
    <t>LYD</t>
  </si>
  <si>
    <t>LEVY DATE</t>
  </si>
  <si>
    <t>전년재고</t>
  </si>
  <si>
    <t>LYJ</t>
  </si>
  <si>
    <t>징수점</t>
  </si>
  <si>
    <t>LYP</t>
  </si>
  <si>
    <t>LEVY POINT</t>
  </si>
  <si>
    <t>변호사</t>
  </si>
  <si>
    <t>LYR</t>
  </si>
  <si>
    <t>징수연번</t>
  </si>
  <si>
    <t>LYS</t>
  </si>
  <si>
    <t>LEVY SEQUENCE</t>
  </si>
  <si>
    <t>징수시</t>
  </si>
  <si>
    <t>LYT</t>
  </si>
  <si>
    <t>LEVY TIME</t>
  </si>
  <si>
    <t>전년</t>
  </si>
  <si>
    <t>LYY</t>
  </si>
  <si>
    <t>재료비</t>
  </si>
  <si>
    <t>MAA</t>
  </si>
  <si>
    <t>MATERIAL AMOUNT</t>
  </si>
  <si>
    <t>주요</t>
  </si>
  <si>
    <t>MAI</t>
  </si>
  <si>
    <t>MAIN</t>
  </si>
  <si>
    <t>전공</t>
  </si>
  <si>
    <t>MAJ</t>
  </si>
  <si>
    <t>MAJOR</t>
  </si>
  <si>
    <t>조성</t>
  </si>
  <si>
    <t>MAK</t>
  </si>
  <si>
    <t>MAKE</t>
  </si>
  <si>
    <t>말</t>
  </si>
  <si>
    <t>MAL</t>
  </si>
  <si>
    <t>기혼</t>
  </si>
  <si>
    <t>MAR</t>
  </si>
  <si>
    <t>MARRIED</t>
  </si>
  <si>
    <t>사항</t>
  </si>
  <si>
    <t>중소</t>
  </si>
  <si>
    <t>MAS</t>
  </si>
  <si>
    <t>MEDDLE AND SMALL</t>
  </si>
  <si>
    <t>주거래</t>
  </si>
  <si>
    <t>MAT</t>
  </si>
  <si>
    <t>MAJOR TRADE</t>
  </si>
  <si>
    <t>최대</t>
  </si>
  <si>
    <t>MAX</t>
  </si>
  <si>
    <t>회비</t>
  </si>
  <si>
    <t>MBF</t>
  </si>
  <si>
    <t xml:space="preserve">MEMBERSHIP FEE </t>
  </si>
  <si>
    <t>계원</t>
  </si>
  <si>
    <t>MBR</t>
  </si>
  <si>
    <t>MEMBER</t>
  </si>
  <si>
    <t>멤버</t>
  </si>
  <si>
    <t>요원</t>
  </si>
  <si>
    <t>팀원</t>
  </si>
  <si>
    <t>회원</t>
  </si>
  <si>
    <t>주류</t>
  </si>
  <si>
    <t>MCR</t>
  </si>
  <si>
    <t>MAIN CURRENT</t>
  </si>
  <si>
    <t>월정액</t>
  </si>
  <si>
    <t>MDA</t>
  </si>
  <si>
    <t>MONTHLY DEFINE AMOUNT</t>
  </si>
  <si>
    <t>주채무</t>
  </si>
  <si>
    <t>MDB</t>
  </si>
  <si>
    <t>MAIN DEBT</t>
  </si>
  <si>
    <t>의료</t>
  </si>
  <si>
    <t>MDC</t>
  </si>
  <si>
    <t>MEDICAL CARE</t>
  </si>
  <si>
    <t>월일</t>
  </si>
  <si>
    <t>MDD</t>
  </si>
  <si>
    <t>MONTH/DAY</t>
  </si>
  <si>
    <t>모델</t>
  </si>
  <si>
    <t>MDE</t>
  </si>
  <si>
    <t>MODEL</t>
  </si>
  <si>
    <t>정정</t>
  </si>
  <si>
    <t>MDF</t>
  </si>
  <si>
    <t>MODIFY</t>
  </si>
  <si>
    <t>월차</t>
  </si>
  <si>
    <t>MDH</t>
  </si>
  <si>
    <t>MONTH DIFFER</t>
  </si>
  <si>
    <t>월정</t>
  </si>
  <si>
    <t>MDI</t>
  </si>
  <si>
    <t>중견</t>
  </si>
  <si>
    <t>MDL</t>
  </si>
  <si>
    <t>MIDDLE</t>
  </si>
  <si>
    <t>본번</t>
  </si>
  <si>
    <t>MDN</t>
  </si>
  <si>
    <t>MODEL NUMBER</t>
  </si>
  <si>
    <t>정정전</t>
  </si>
  <si>
    <t>MDO</t>
  </si>
  <si>
    <t>MODIFY FROM</t>
  </si>
  <si>
    <t>위변조자</t>
  </si>
  <si>
    <t>MDR</t>
  </si>
  <si>
    <t>MODIFIER</t>
  </si>
  <si>
    <t>정정자</t>
  </si>
  <si>
    <t>정정후</t>
  </si>
  <si>
    <t>MDT</t>
  </si>
  <si>
    <t>MODIFY TO</t>
  </si>
  <si>
    <t>미</t>
  </si>
  <si>
    <t>MEE</t>
  </si>
  <si>
    <t>집회</t>
  </si>
  <si>
    <t>MET</t>
  </si>
  <si>
    <t>MEETING</t>
  </si>
  <si>
    <t>회의</t>
  </si>
  <si>
    <t>정정일</t>
  </si>
  <si>
    <t>MFD</t>
  </si>
  <si>
    <t>MODIFY DATE</t>
  </si>
  <si>
    <t>주력</t>
  </si>
  <si>
    <t>MFE</t>
  </si>
  <si>
    <t>MAIN FORCE</t>
  </si>
  <si>
    <t>주력주민</t>
  </si>
  <si>
    <t>MFR</t>
  </si>
  <si>
    <t>MAIN FORCE RESIDENT</t>
  </si>
  <si>
    <t>관리점</t>
  </si>
  <si>
    <t>MGB</t>
  </si>
  <si>
    <t>MANAGEMENT BRANCH</t>
  </si>
  <si>
    <t>관할점</t>
  </si>
  <si>
    <t>관리비</t>
  </si>
  <si>
    <t>MGC</t>
  </si>
  <si>
    <t>MANAGEMENT COST</t>
  </si>
  <si>
    <t>관리일</t>
  </si>
  <si>
    <t>MGD</t>
  </si>
  <si>
    <t>MANAGEMENT DATE</t>
  </si>
  <si>
    <t>중분류</t>
  </si>
  <si>
    <t>MGI</t>
  </si>
  <si>
    <t>MID GROUPING</t>
  </si>
  <si>
    <t>모기업번호</t>
  </si>
  <si>
    <t>MGN</t>
  </si>
  <si>
    <t>MOGIUP NO</t>
  </si>
  <si>
    <t>주제품</t>
  </si>
  <si>
    <t>MGO</t>
  </si>
  <si>
    <t>MAIN GOODS</t>
  </si>
  <si>
    <t>모기업</t>
  </si>
  <si>
    <t>MGP</t>
  </si>
  <si>
    <t>MOGIUP</t>
  </si>
  <si>
    <t>관리자</t>
  </si>
  <si>
    <t>MGR</t>
  </si>
  <si>
    <t>MANAGER</t>
  </si>
  <si>
    <t>주생산품</t>
  </si>
  <si>
    <t>MGS</t>
  </si>
  <si>
    <t>관재</t>
  </si>
  <si>
    <t>MGT</t>
  </si>
  <si>
    <t>MANAGE PROPERTY</t>
  </si>
  <si>
    <t>마항</t>
  </si>
  <si>
    <t>MHG</t>
  </si>
  <si>
    <t>MAHWANG</t>
  </si>
  <si>
    <t>기중</t>
  </si>
  <si>
    <t>MID</t>
  </si>
  <si>
    <t>최소</t>
  </si>
  <si>
    <t>MIN</t>
  </si>
  <si>
    <t>작업지점</t>
  </si>
  <si>
    <t>MKB</t>
  </si>
  <si>
    <t>MADE BRANCH</t>
  </si>
  <si>
    <t>제조비</t>
  </si>
  <si>
    <t>MKC</t>
  </si>
  <si>
    <t>MAKE COST</t>
  </si>
  <si>
    <t>기표일</t>
  </si>
  <si>
    <t>MKD</t>
  </si>
  <si>
    <t>MARKING DATE</t>
  </si>
  <si>
    <t>제작</t>
  </si>
  <si>
    <t>MKE</t>
  </si>
  <si>
    <t>제품화</t>
  </si>
  <si>
    <t>MKG</t>
  </si>
  <si>
    <t>MAKE GOODS</t>
  </si>
  <si>
    <t>작성점</t>
  </si>
  <si>
    <t>MKP</t>
  </si>
  <si>
    <t>MAKE POINT</t>
  </si>
  <si>
    <t>시장</t>
  </si>
  <si>
    <t>MKT</t>
  </si>
  <si>
    <t>MARKET</t>
  </si>
  <si>
    <t>작성여부</t>
  </si>
  <si>
    <t>MKY</t>
  </si>
  <si>
    <t>MAKE YN</t>
  </si>
  <si>
    <t>백만</t>
  </si>
  <si>
    <t>MLN</t>
  </si>
  <si>
    <t>MILLION</t>
  </si>
  <si>
    <t>군대</t>
  </si>
  <si>
    <t>MLT</t>
  </si>
  <si>
    <t>MILITARY</t>
  </si>
  <si>
    <t>1개월</t>
  </si>
  <si>
    <t>MM1</t>
  </si>
  <si>
    <t>1 MONTH</t>
  </si>
  <si>
    <t>2개월</t>
  </si>
  <si>
    <t>MM2</t>
  </si>
  <si>
    <t>2 MONTH</t>
  </si>
  <si>
    <t>3개월</t>
  </si>
  <si>
    <t>MM3</t>
  </si>
  <si>
    <t>3 MONTH</t>
  </si>
  <si>
    <t>MMDA</t>
  </si>
  <si>
    <t>MMD</t>
  </si>
  <si>
    <t>월보</t>
  </si>
  <si>
    <t>MMP</t>
  </si>
  <si>
    <t>MONTHLY REPORT</t>
  </si>
  <si>
    <t>년초</t>
  </si>
  <si>
    <t>MMS</t>
  </si>
  <si>
    <t>MONTH START</t>
  </si>
  <si>
    <t>월별</t>
  </si>
  <si>
    <t>MMY</t>
  </si>
  <si>
    <t>MONTHLY</t>
  </si>
  <si>
    <t>월수</t>
  </si>
  <si>
    <t>MNA</t>
  </si>
  <si>
    <t>MONTHLY ACCOUNT</t>
  </si>
  <si>
    <t>관리전환</t>
  </si>
  <si>
    <t>MNC</t>
  </si>
  <si>
    <t>제조원가</t>
  </si>
  <si>
    <t>월말</t>
  </si>
  <si>
    <t>MND</t>
  </si>
  <si>
    <t>MONTHLY END</t>
  </si>
  <si>
    <t>조제</t>
  </si>
  <si>
    <t>MNF</t>
  </si>
  <si>
    <t>MANUFACTURE</t>
  </si>
  <si>
    <t>관리</t>
  </si>
  <si>
    <t>MNG</t>
  </si>
  <si>
    <t>관리번호</t>
  </si>
  <si>
    <t>MNM</t>
  </si>
  <si>
    <t>MANAGEMENT NUMBER</t>
  </si>
  <si>
    <t>인력</t>
  </si>
  <si>
    <t>MNP</t>
  </si>
  <si>
    <t>MAN POWER</t>
  </si>
  <si>
    <t>경영인</t>
  </si>
  <si>
    <t>MNR</t>
  </si>
  <si>
    <t>MANAER</t>
  </si>
  <si>
    <t>경영</t>
  </si>
  <si>
    <t>MNT</t>
  </si>
  <si>
    <t>MANAGEMENT</t>
  </si>
  <si>
    <t>제조</t>
  </si>
  <si>
    <t>MNU</t>
  </si>
  <si>
    <t>만원</t>
  </si>
  <si>
    <t>MNW</t>
  </si>
  <si>
    <t>MANWON</t>
  </si>
  <si>
    <t>금</t>
  </si>
  <si>
    <t>MNY</t>
  </si>
  <si>
    <t>MONEY</t>
  </si>
  <si>
    <t>금전</t>
  </si>
  <si>
    <t>담보부</t>
  </si>
  <si>
    <t>MOC</t>
  </si>
  <si>
    <t>MORTGAGE CONDITION</t>
  </si>
  <si>
    <t>모형</t>
  </si>
  <si>
    <t>MOD</t>
  </si>
  <si>
    <t>목</t>
  </si>
  <si>
    <t>MOK</t>
  </si>
  <si>
    <t>금형</t>
  </si>
  <si>
    <t>MOL</t>
  </si>
  <si>
    <t>MOLD</t>
  </si>
  <si>
    <t>월</t>
  </si>
  <si>
    <t>MON</t>
  </si>
  <si>
    <t>월간</t>
  </si>
  <si>
    <t>무</t>
  </si>
  <si>
    <t>MOO</t>
  </si>
  <si>
    <t>담보력</t>
  </si>
  <si>
    <t>MOP</t>
  </si>
  <si>
    <t>MORTGAGE POWER</t>
  </si>
  <si>
    <t>월세</t>
  </si>
  <si>
    <t>MOR</t>
  </si>
  <si>
    <t>MONTHLY RENT</t>
  </si>
  <si>
    <t>금계</t>
  </si>
  <si>
    <t>MOT</t>
  </si>
  <si>
    <t>MONEY TOTAL</t>
  </si>
  <si>
    <t>이동</t>
  </si>
  <si>
    <t>MOV</t>
  </si>
  <si>
    <t>MOVING</t>
  </si>
  <si>
    <t>상품</t>
  </si>
  <si>
    <t>MRC</t>
  </si>
  <si>
    <t>MERCHANDISE</t>
  </si>
  <si>
    <t>결혼</t>
  </si>
  <si>
    <t>MRG</t>
  </si>
  <si>
    <t>MARRIAGE</t>
  </si>
  <si>
    <t>기표</t>
  </si>
  <si>
    <t>MRK</t>
  </si>
  <si>
    <t>MARKING</t>
  </si>
  <si>
    <t>마크</t>
  </si>
  <si>
    <t>평점</t>
  </si>
  <si>
    <t>표시</t>
  </si>
  <si>
    <t>중소기업</t>
  </si>
  <si>
    <t>MSC</t>
  </si>
  <si>
    <t>MEDIUM SMALL COMPANY</t>
  </si>
  <si>
    <t>주제</t>
  </si>
  <si>
    <t>MSJ</t>
  </si>
  <si>
    <t>MAIN SUBJECT</t>
  </si>
  <si>
    <t>정정연번</t>
  </si>
  <si>
    <t>MSQ</t>
  </si>
  <si>
    <t>MODIFY SEQUENCE</t>
  </si>
  <si>
    <t>식당</t>
  </si>
  <si>
    <t>MSR</t>
  </si>
  <si>
    <t>MESSROOM</t>
  </si>
  <si>
    <t>석사</t>
  </si>
  <si>
    <t>MST</t>
  </si>
  <si>
    <t>MASTER</t>
  </si>
  <si>
    <t>모점</t>
  </si>
  <si>
    <t>MTB</t>
  </si>
  <si>
    <t>MOTHER BARNCH</t>
  </si>
  <si>
    <t>저당</t>
  </si>
  <si>
    <t>MTG</t>
  </si>
  <si>
    <t>MORTGAGE</t>
  </si>
  <si>
    <t>방법</t>
  </si>
  <si>
    <t>MTH</t>
  </si>
  <si>
    <t>식권</t>
  </si>
  <si>
    <t>MTK</t>
  </si>
  <si>
    <t>MEAL TICKET</t>
  </si>
  <si>
    <t>금전신탁</t>
  </si>
  <si>
    <t>MTS</t>
  </si>
  <si>
    <t>MONEY ENTRUSTING</t>
  </si>
  <si>
    <t>물</t>
  </si>
  <si>
    <t>MUL</t>
  </si>
  <si>
    <t>월평균</t>
  </si>
  <si>
    <t>MVG</t>
  </si>
  <si>
    <t>입주</t>
  </si>
  <si>
    <t>MVI</t>
  </si>
  <si>
    <t>유동비율</t>
  </si>
  <si>
    <t>MVR</t>
  </si>
  <si>
    <t>MOVE RATE</t>
  </si>
  <si>
    <t>동산</t>
  </si>
  <si>
    <t>MVS</t>
  </si>
  <si>
    <t>MOVABLES</t>
  </si>
  <si>
    <t>주근무지</t>
  </si>
  <si>
    <t>MWK</t>
  </si>
  <si>
    <t>MAIN WORK PLACE</t>
  </si>
  <si>
    <t>우리사주</t>
  </si>
  <si>
    <t>MYS</t>
  </si>
  <si>
    <t>MY STOCK</t>
  </si>
  <si>
    <t>불인정</t>
  </si>
  <si>
    <t>NAC</t>
  </si>
  <si>
    <t>NO ACCEPTANCE</t>
  </si>
  <si>
    <t>내</t>
  </si>
  <si>
    <t>NAE</t>
  </si>
  <si>
    <t>야당</t>
  </si>
  <si>
    <t>NAL</t>
  </si>
  <si>
    <t>명칭</t>
  </si>
  <si>
    <t>NAM</t>
  </si>
  <si>
    <t>성명</t>
  </si>
  <si>
    <t>이름</t>
  </si>
  <si>
    <t>불승인</t>
  </si>
  <si>
    <t>NAP</t>
  </si>
  <si>
    <t>NO APPROVAL</t>
  </si>
  <si>
    <t>국적</t>
  </si>
  <si>
    <t>NAT</t>
  </si>
  <si>
    <t>NATIONALITY</t>
  </si>
  <si>
    <t>비은행</t>
  </si>
  <si>
    <t>NBK</t>
  </si>
  <si>
    <t>NONBANK</t>
  </si>
  <si>
    <t>차기이월</t>
  </si>
  <si>
    <t>NCF</t>
  </si>
  <si>
    <t>NEXT CARRYING FORWARD</t>
  </si>
  <si>
    <t>신규업체</t>
  </si>
  <si>
    <t>NCP</t>
  </si>
  <si>
    <t>NEW COMPANY</t>
  </si>
  <si>
    <t>국채</t>
  </si>
  <si>
    <t>NDB</t>
  </si>
  <si>
    <t>NATIONAL DEBET</t>
  </si>
  <si>
    <t>신경제</t>
  </si>
  <si>
    <t>NEC</t>
  </si>
  <si>
    <t>NEW ECONOMIC</t>
  </si>
  <si>
    <t>소요</t>
  </si>
  <si>
    <t>NED</t>
  </si>
  <si>
    <t>원금</t>
  </si>
  <si>
    <t>NET</t>
  </si>
  <si>
    <t>NET PRICE</t>
  </si>
  <si>
    <t>신규</t>
  </si>
  <si>
    <t>NEW</t>
  </si>
  <si>
    <t>미실행</t>
  </si>
  <si>
    <t>NEX</t>
  </si>
  <si>
    <t>NO EXEXCUTION</t>
  </si>
  <si>
    <t>년간거래액</t>
  </si>
  <si>
    <t>NGA</t>
  </si>
  <si>
    <t>NYUNGAN GURAE</t>
  </si>
  <si>
    <t>누계</t>
  </si>
  <si>
    <t>NGE</t>
  </si>
  <si>
    <t>나항</t>
  </si>
  <si>
    <t>NHG</t>
  </si>
  <si>
    <t>NAHWANG</t>
  </si>
  <si>
    <t>무주택</t>
  </si>
  <si>
    <t>NHS</t>
  </si>
  <si>
    <t>NO HOUSE</t>
  </si>
  <si>
    <t>필요</t>
  </si>
  <si>
    <t>NID</t>
  </si>
  <si>
    <t>NEED</t>
  </si>
  <si>
    <t>야근</t>
  </si>
  <si>
    <t>NIG</t>
  </si>
  <si>
    <t>신안권</t>
  </si>
  <si>
    <t>NIR</t>
  </si>
  <si>
    <t>NEW IDEA RIGHT</t>
  </si>
  <si>
    <t>명</t>
  </si>
  <si>
    <t>NM</t>
  </si>
  <si>
    <t>제품제조원가</t>
  </si>
  <si>
    <t>NMC</t>
  </si>
  <si>
    <t>NET MAKE COST</t>
  </si>
  <si>
    <t>익월자금</t>
  </si>
  <si>
    <t>NMF</t>
  </si>
  <si>
    <t>점수</t>
  </si>
  <si>
    <t>NMK</t>
  </si>
  <si>
    <t>NUMBER OF MARKS</t>
  </si>
  <si>
    <t>내달</t>
  </si>
  <si>
    <t>NMM</t>
  </si>
  <si>
    <t>NEXT MONTH</t>
  </si>
  <si>
    <t>익월</t>
  </si>
  <si>
    <t>NMN</t>
  </si>
  <si>
    <t>인원</t>
  </si>
  <si>
    <t>NMP</t>
  </si>
  <si>
    <t>수험번호</t>
  </si>
  <si>
    <t>NMX</t>
  </si>
  <si>
    <t>NUMBER OF EXAM</t>
  </si>
  <si>
    <t>번호</t>
  </si>
  <si>
    <t>NO</t>
  </si>
  <si>
    <t>노조비</t>
  </si>
  <si>
    <t>NOB</t>
  </si>
  <si>
    <t>NOJOBI</t>
  </si>
  <si>
    <t>부도일자</t>
  </si>
  <si>
    <t>NOD</t>
  </si>
  <si>
    <t>NONPAYMENT DATE</t>
  </si>
  <si>
    <t>미갱신</t>
  </si>
  <si>
    <t>NOE</t>
  </si>
  <si>
    <t>NONRENEW</t>
  </si>
  <si>
    <t>노조</t>
  </si>
  <si>
    <t>NOJ</t>
  </si>
  <si>
    <t>NOJO</t>
  </si>
  <si>
    <t>정상</t>
  </si>
  <si>
    <t>NOL</t>
  </si>
  <si>
    <t>NORMALITY</t>
  </si>
  <si>
    <t>정상화</t>
  </si>
  <si>
    <t>NOM</t>
  </si>
  <si>
    <t>NORMALIZATION</t>
  </si>
  <si>
    <t>일수</t>
  </si>
  <si>
    <t>NON</t>
  </si>
  <si>
    <t>NUMBER OF DAYS COUNT</t>
  </si>
  <si>
    <t>부도자</t>
  </si>
  <si>
    <t>NOP</t>
  </si>
  <si>
    <t>NONPAYMENT PEOPLE</t>
  </si>
  <si>
    <t>부도율</t>
  </si>
  <si>
    <t>NOR</t>
  </si>
  <si>
    <t>NONPAYMENT RATE</t>
  </si>
  <si>
    <t>노사</t>
  </si>
  <si>
    <t>NOS</t>
  </si>
  <si>
    <t>NOSA</t>
  </si>
  <si>
    <t>게시</t>
  </si>
  <si>
    <t>NOT</t>
  </si>
  <si>
    <t>A NOTICE</t>
  </si>
  <si>
    <t>당시</t>
  </si>
  <si>
    <t>NOW</t>
  </si>
  <si>
    <t>지금</t>
  </si>
  <si>
    <t>부도</t>
  </si>
  <si>
    <t>NOY</t>
  </si>
  <si>
    <t>NONPAYMENT</t>
  </si>
  <si>
    <t>순이익율</t>
  </si>
  <si>
    <t>NPR</t>
  </si>
  <si>
    <t>NET PROFIT RATE</t>
  </si>
  <si>
    <t>미경과</t>
  </si>
  <si>
    <t>NPS</t>
  </si>
  <si>
    <t>NOT PASS</t>
  </si>
  <si>
    <t>당기순이익</t>
  </si>
  <si>
    <t>NPT</t>
  </si>
  <si>
    <t>THE NET PROFIT OF THIS TERM</t>
  </si>
  <si>
    <t>미상환</t>
  </si>
  <si>
    <t>NRP</t>
  </si>
  <si>
    <t>NO REPAYMENT</t>
  </si>
  <si>
    <t>순매출액</t>
  </si>
  <si>
    <t>NSA</t>
  </si>
  <si>
    <t>NET SALE AMOUNT</t>
  </si>
  <si>
    <t>내상훈</t>
  </si>
  <si>
    <t>NSN</t>
  </si>
  <si>
    <t>NESANGHUN</t>
  </si>
  <si>
    <t>피보증인</t>
  </si>
  <si>
    <t>NSR</t>
  </si>
  <si>
    <t>SURETY</t>
  </si>
  <si>
    <t>최고일자</t>
  </si>
  <si>
    <t>NTD</t>
  </si>
  <si>
    <t>NOTIFY DATE</t>
  </si>
  <si>
    <t>순증</t>
  </si>
  <si>
    <t>NTE</t>
  </si>
  <si>
    <t>NET EXECUTE</t>
  </si>
  <si>
    <t>고지</t>
  </si>
  <si>
    <t>NTF</t>
  </si>
  <si>
    <t>NOTIFY</t>
  </si>
  <si>
    <t>통지</t>
  </si>
  <si>
    <t>신기술</t>
  </si>
  <si>
    <t>NTH</t>
  </si>
  <si>
    <t>NEW TECHOLOGY</t>
  </si>
  <si>
    <t>국민</t>
  </si>
  <si>
    <t>NTN</t>
  </si>
  <si>
    <t>순이익</t>
  </si>
  <si>
    <t>NTP</t>
  </si>
  <si>
    <t>NET PROFIT</t>
  </si>
  <si>
    <t>통지자</t>
  </si>
  <si>
    <t>NTR</t>
  </si>
  <si>
    <t>NOTIFIER</t>
  </si>
  <si>
    <t>신설</t>
  </si>
  <si>
    <t>NTS</t>
  </si>
  <si>
    <t>ESTABLISH</t>
  </si>
  <si>
    <t>NT</t>
  </si>
  <si>
    <t>NTT</t>
  </si>
  <si>
    <t>국세</t>
  </si>
  <si>
    <t>NTX</t>
  </si>
  <si>
    <t>NATIONAL TAX</t>
  </si>
  <si>
    <t>개수</t>
  </si>
  <si>
    <t>NUM</t>
  </si>
  <si>
    <t>NUMBER</t>
  </si>
  <si>
    <t>갯수</t>
  </si>
  <si>
    <t>대수</t>
  </si>
  <si>
    <t>수</t>
  </si>
  <si>
    <t>신규수주</t>
  </si>
  <si>
    <t>NWR</t>
  </si>
  <si>
    <t>NEW ORDER</t>
  </si>
  <si>
    <t>차월</t>
  </si>
  <si>
    <t>NXM</t>
  </si>
  <si>
    <t>차기</t>
  </si>
  <si>
    <t>NXT</t>
  </si>
  <si>
    <t>NEXT TERM</t>
  </si>
  <si>
    <t>번호구분</t>
  </si>
  <si>
    <t>NYN</t>
  </si>
  <si>
    <t>NUMBER YN</t>
  </si>
  <si>
    <t>년수</t>
  </si>
  <si>
    <t>NYS</t>
  </si>
  <si>
    <t>THE NUMBER OF YEARS</t>
  </si>
  <si>
    <t>내년</t>
  </si>
  <si>
    <t>NYY</t>
  </si>
  <si>
    <t>NEXT YEAR</t>
  </si>
  <si>
    <t>대상금액</t>
  </si>
  <si>
    <t>OBA</t>
  </si>
  <si>
    <t>OBJECT AMOUNT</t>
  </si>
  <si>
    <t>객관식</t>
  </si>
  <si>
    <t>OBC</t>
  </si>
  <si>
    <t>채권단</t>
  </si>
  <si>
    <t>OBG</t>
  </si>
  <si>
    <t>OBLIGATORY RIGHT GROUP</t>
  </si>
  <si>
    <t>목적</t>
  </si>
  <si>
    <t>OBJ</t>
  </si>
  <si>
    <t>채권</t>
  </si>
  <si>
    <t>OBL</t>
  </si>
  <si>
    <t>채권보전조치</t>
  </si>
  <si>
    <t>OBP</t>
  </si>
  <si>
    <t>OBLIGATORY RIGHT PROCEDURE</t>
  </si>
  <si>
    <t>채권자</t>
  </si>
  <si>
    <t>OBR</t>
  </si>
  <si>
    <t>OBLIGATOR</t>
  </si>
  <si>
    <t>발생</t>
  </si>
  <si>
    <t>OCC</t>
  </si>
  <si>
    <t>발생일</t>
  </si>
  <si>
    <t>OCD</t>
  </si>
  <si>
    <t>OCCUR DATE</t>
  </si>
  <si>
    <t>발생일자</t>
  </si>
  <si>
    <t>점유</t>
  </si>
  <si>
    <t>OCP</t>
  </si>
  <si>
    <t>OCCUPATION</t>
  </si>
  <si>
    <t>점유자</t>
  </si>
  <si>
    <t>OCR</t>
  </si>
  <si>
    <t>OCCUPATANT</t>
  </si>
  <si>
    <t>연체발생</t>
  </si>
  <si>
    <t>ODL</t>
  </si>
  <si>
    <t>OCCUR DELAY</t>
  </si>
  <si>
    <t>과예금</t>
  </si>
  <si>
    <t>ODP</t>
  </si>
  <si>
    <t>OVER DEPOSIT</t>
  </si>
  <si>
    <t>매출처</t>
  </si>
  <si>
    <t>OFE</t>
  </si>
  <si>
    <t>OFFER</t>
  </si>
  <si>
    <t>공인</t>
  </si>
  <si>
    <t>OFG</t>
  </si>
  <si>
    <t>OFFICIAL RECOGNITION</t>
  </si>
  <si>
    <t>발령</t>
  </si>
  <si>
    <t>OFO</t>
  </si>
  <si>
    <t>관보</t>
  </si>
  <si>
    <t>OGA</t>
  </si>
  <si>
    <t>OFFICIAL GAZETTE</t>
  </si>
  <si>
    <t>본적</t>
  </si>
  <si>
    <t>OGD</t>
  </si>
  <si>
    <t>원장</t>
  </si>
  <si>
    <t>OGL</t>
  </si>
  <si>
    <t>원보증</t>
  </si>
  <si>
    <t>OGR</t>
  </si>
  <si>
    <t>ORIGINAL GURRANTEE</t>
  </si>
  <si>
    <t>원리</t>
  </si>
  <si>
    <t>OIN</t>
  </si>
  <si>
    <t>ORIGINAL INTEREST</t>
  </si>
  <si>
    <t>경상이익율</t>
  </si>
  <si>
    <t>OIR</t>
  </si>
  <si>
    <t>ORDINARY INCOME RATE</t>
  </si>
  <si>
    <t>주민등록상</t>
  </si>
  <si>
    <t>OJR</t>
  </si>
  <si>
    <t>ON JUMIN REG</t>
  </si>
  <si>
    <t>이의</t>
  </si>
  <si>
    <t>OJT</t>
  </si>
  <si>
    <t>OBJECTION</t>
  </si>
  <si>
    <t>중복</t>
  </si>
  <si>
    <t>OLB</t>
  </si>
  <si>
    <t>OVERLAB</t>
  </si>
  <si>
    <t>구</t>
  </si>
  <si>
    <t>OLD</t>
  </si>
  <si>
    <t>전망</t>
  </si>
  <si>
    <t>OLK</t>
  </si>
  <si>
    <t>OUTLOOK</t>
  </si>
  <si>
    <t>원재료비</t>
  </si>
  <si>
    <t>OMC</t>
  </si>
  <si>
    <t>ORIGINAL MATERIAL COST</t>
  </si>
  <si>
    <t>단체</t>
  </si>
  <si>
    <t>ONC</t>
  </si>
  <si>
    <t>어음보증중</t>
  </si>
  <si>
    <t>ONF</t>
  </si>
  <si>
    <t>ON NOTE FOR MONEY</t>
  </si>
  <si>
    <t>진행중</t>
  </si>
  <si>
    <t>ONG</t>
  </si>
  <si>
    <t>ON GOING</t>
  </si>
  <si>
    <t>온라인</t>
  </si>
  <si>
    <t>ONL</t>
  </si>
  <si>
    <t>ONLINE</t>
  </si>
  <si>
    <t>청구중</t>
  </si>
  <si>
    <t>ONR</t>
  </si>
  <si>
    <t>ON REQUEST</t>
  </si>
  <si>
    <t>외주가공처</t>
  </si>
  <si>
    <t>OOP</t>
  </si>
  <si>
    <t>OUTSIDE ODER PROCESSINF</t>
  </si>
  <si>
    <t>출고</t>
  </si>
  <si>
    <t>OOW</t>
  </si>
  <si>
    <t>OUT OF WAREHOUSE</t>
  </si>
  <si>
    <t>직업</t>
  </si>
  <si>
    <t>OPA</t>
  </si>
  <si>
    <t>개점</t>
  </si>
  <si>
    <t>OPB</t>
  </si>
  <si>
    <t>OPENING BRANCH</t>
  </si>
  <si>
    <t>직업코드</t>
  </si>
  <si>
    <t>OPC</t>
  </si>
  <si>
    <t>OCCUPATION CODE</t>
  </si>
  <si>
    <t>시공</t>
  </si>
  <si>
    <t>OPE</t>
  </si>
  <si>
    <t>OPERATION</t>
  </si>
  <si>
    <t>의견</t>
  </si>
  <si>
    <t>OPI</t>
  </si>
  <si>
    <t>OPINION</t>
  </si>
  <si>
    <t>개설</t>
  </si>
  <si>
    <t>OPN</t>
  </si>
  <si>
    <t>OPENING</t>
  </si>
  <si>
    <t>개최</t>
  </si>
  <si>
    <t>조작자명</t>
  </si>
  <si>
    <t>OPR</t>
  </si>
  <si>
    <t>OPERATER NAME</t>
  </si>
  <si>
    <t>임의</t>
  </si>
  <si>
    <t>OPT</t>
  </si>
  <si>
    <t>OPTION</t>
  </si>
  <si>
    <t>개최국</t>
  </si>
  <si>
    <t>OPY</t>
  </si>
  <si>
    <t>OPEN CONTRY</t>
  </si>
  <si>
    <t>서열</t>
  </si>
  <si>
    <t>ORD</t>
  </si>
  <si>
    <t>ORDER</t>
  </si>
  <si>
    <t>순서</t>
  </si>
  <si>
    <t>주문</t>
  </si>
  <si>
    <t>출처</t>
  </si>
  <si>
    <t>ORG</t>
  </si>
  <si>
    <t>THE ORIGIN</t>
  </si>
  <si>
    <t>원본</t>
  </si>
  <si>
    <t>ORL</t>
  </si>
  <si>
    <t>ORIGINAL</t>
  </si>
  <si>
    <t>석차</t>
  </si>
  <si>
    <t>ORM</t>
  </si>
  <si>
    <t xml:space="preserve">ORDER OF MARKS </t>
  </si>
  <si>
    <t>동양</t>
  </si>
  <si>
    <t>ORN</t>
  </si>
  <si>
    <t>ORIENTAL</t>
  </si>
  <si>
    <t>원재료</t>
  </si>
  <si>
    <t>ORP</t>
  </si>
  <si>
    <t>ORIGINAL PART</t>
  </si>
  <si>
    <t>발주처</t>
  </si>
  <si>
    <t>ORR</t>
  </si>
  <si>
    <t>조직</t>
  </si>
  <si>
    <t>ORZ</t>
  </si>
  <si>
    <t>ORGANIZATION</t>
  </si>
  <si>
    <t>자가</t>
  </si>
  <si>
    <t>OSH</t>
  </si>
  <si>
    <t>ONE'S HOUSE</t>
  </si>
  <si>
    <t>외주가공비</t>
  </si>
  <si>
    <t>OSO</t>
  </si>
  <si>
    <t>OUTSIZE ORDER</t>
  </si>
  <si>
    <t>서약</t>
  </si>
  <si>
    <t>OTH</t>
  </si>
  <si>
    <t>OATH</t>
  </si>
  <si>
    <t>타인</t>
  </si>
  <si>
    <t>개요</t>
  </si>
  <si>
    <t>OTL</t>
  </si>
  <si>
    <t>OUTLINE</t>
  </si>
  <si>
    <t>외개</t>
  </si>
  <si>
    <t>OTT</t>
  </si>
  <si>
    <t>OUTSIDE TOTAL</t>
  </si>
  <si>
    <t>산출금</t>
  </si>
  <si>
    <t>OUA</t>
  </si>
  <si>
    <t>OUTPUT AMOUNT</t>
  </si>
  <si>
    <t>산출금액</t>
  </si>
  <si>
    <t>산출일</t>
  </si>
  <si>
    <t>OUD</t>
  </si>
  <si>
    <t>OUTPUT DATE</t>
  </si>
  <si>
    <t>외주</t>
  </si>
  <si>
    <t>OUO</t>
  </si>
  <si>
    <t>OUTSIDE ORDER</t>
  </si>
  <si>
    <t>장외</t>
  </si>
  <si>
    <t>OUS</t>
  </si>
  <si>
    <t>OUTSIDE</t>
  </si>
  <si>
    <t>산출</t>
  </si>
  <si>
    <t>OUT</t>
  </si>
  <si>
    <t>외부</t>
  </si>
  <si>
    <t>1억이상</t>
  </si>
  <si>
    <t>OV1</t>
  </si>
  <si>
    <t>OVER 1 UK</t>
  </si>
  <si>
    <t>이상</t>
  </si>
  <si>
    <t>OVR</t>
  </si>
  <si>
    <t>OVER</t>
  </si>
  <si>
    <t>대외</t>
  </si>
  <si>
    <t>OVS</t>
  </si>
  <si>
    <t>OVERSEAS</t>
  </si>
  <si>
    <t>해외</t>
  </si>
  <si>
    <t>해외공사</t>
  </si>
  <si>
    <t>OWK</t>
  </si>
  <si>
    <t>OVERSEA WORK</t>
  </si>
  <si>
    <t>경영주</t>
  </si>
  <si>
    <t>OWN</t>
  </si>
  <si>
    <t>OWNER</t>
  </si>
  <si>
    <t>소유권</t>
  </si>
  <si>
    <t>OWS</t>
  </si>
  <si>
    <t>OWNERSHIP</t>
  </si>
  <si>
    <t>PC</t>
  </si>
  <si>
    <t>P/C</t>
  </si>
  <si>
    <t>PERSONAL COMPUTER</t>
  </si>
  <si>
    <t>가계정</t>
  </si>
  <si>
    <t>PAC</t>
  </si>
  <si>
    <t>POSSIBLE ACCOUNT</t>
  </si>
  <si>
    <t>페이지</t>
  </si>
  <si>
    <t>PAG</t>
  </si>
  <si>
    <t>PAGE</t>
  </si>
  <si>
    <t>수지</t>
  </si>
  <si>
    <t>PAL</t>
  </si>
  <si>
    <t>PROFIT AND LOSS</t>
  </si>
  <si>
    <t>급여</t>
  </si>
  <si>
    <t>PAM</t>
  </si>
  <si>
    <t>PAYMENT</t>
  </si>
  <si>
    <t>참여</t>
  </si>
  <si>
    <t>PAP</t>
  </si>
  <si>
    <t>PARTICIPATION</t>
  </si>
  <si>
    <t>비교</t>
  </si>
  <si>
    <t>PAR</t>
  </si>
  <si>
    <t>COMPARE</t>
  </si>
  <si>
    <t>주차</t>
  </si>
  <si>
    <t>과거</t>
  </si>
  <si>
    <t>PAS</t>
  </si>
  <si>
    <t>PAST</t>
  </si>
  <si>
    <t>부문</t>
  </si>
  <si>
    <t>PAT</t>
  </si>
  <si>
    <t>PART</t>
  </si>
  <si>
    <t>부분</t>
  </si>
  <si>
    <t>지출</t>
  </si>
  <si>
    <t>PAY</t>
  </si>
  <si>
    <t>공관</t>
  </si>
  <si>
    <t>PBH</t>
  </si>
  <si>
    <t>PUBLIC HOUSE</t>
  </si>
  <si>
    <t>간행</t>
  </si>
  <si>
    <t>PBL</t>
  </si>
  <si>
    <t>PUBLISH</t>
  </si>
  <si>
    <t>간행물</t>
  </si>
  <si>
    <t>PBM</t>
  </si>
  <si>
    <t>PUBLICATION MATERIAL</t>
  </si>
  <si>
    <t>본지점</t>
  </si>
  <si>
    <t>PBR</t>
  </si>
  <si>
    <t>PRIMARY BRANCH</t>
  </si>
  <si>
    <t>실무</t>
  </si>
  <si>
    <t>PBS</t>
  </si>
  <si>
    <t>PRACTICAL BUSINESS</t>
  </si>
  <si>
    <t>공가</t>
  </si>
  <si>
    <t>PBV</t>
  </si>
  <si>
    <t>PUBLIC VALUE</t>
  </si>
  <si>
    <t>조달액</t>
  </si>
  <si>
    <t>PCA</t>
  </si>
  <si>
    <t>PROCUREMENT AMOUNT</t>
  </si>
  <si>
    <t>처리내역</t>
  </si>
  <si>
    <t>PCC</t>
  </si>
  <si>
    <t>PROCESS CONTENTS</t>
  </si>
  <si>
    <t>처리일</t>
  </si>
  <si>
    <t>PCD</t>
  </si>
  <si>
    <t>PROCESS DATE</t>
  </si>
  <si>
    <t>판례</t>
  </si>
  <si>
    <t>사립학교</t>
  </si>
  <si>
    <t>PCH</t>
  </si>
  <si>
    <t>PRIVATE SCHOOL</t>
  </si>
  <si>
    <t>조서</t>
  </si>
  <si>
    <t>PCL</t>
  </si>
  <si>
    <t>PROTOCOL</t>
  </si>
  <si>
    <t>조달</t>
  </si>
  <si>
    <t>PCM</t>
  </si>
  <si>
    <t>PROCUREMENT</t>
  </si>
  <si>
    <t>처리자</t>
  </si>
  <si>
    <t>PCR</t>
  </si>
  <si>
    <t>PROCESSOR</t>
  </si>
  <si>
    <t>방지</t>
  </si>
  <si>
    <t>PCT</t>
  </si>
  <si>
    <t>PROTECT</t>
  </si>
  <si>
    <t>민원</t>
  </si>
  <si>
    <t>PDC</t>
  </si>
  <si>
    <t>PUBLIC DISCONTENT</t>
  </si>
  <si>
    <t>생산품</t>
  </si>
  <si>
    <t>PDG</t>
  </si>
  <si>
    <t>PRODUCTION GOODS</t>
  </si>
  <si>
    <t>제품명</t>
  </si>
  <si>
    <t>PDN</t>
  </si>
  <si>
    <t>PRODUCT NAME</t>
  </si>
  <si>
    <t>제품</t>
  </si>
  <si>
    <t>PDT</t>
  </si>
  <si>
    <t>PRODUCT</t>
  </si>
  <si>
    <t>정기</t>
  </si>
  <si>
    <t>PED</t>
  </si>
  <si>
    <t>PERIODICAL</t>
  </si>
  <si>
    <t>개인</t>
  </si>
  <si>
    <t>PER</t>
  </si>
  <si>
    <t>PERSONAL</t>
  </si>
  <si>
    <t>기실행</t>
  </si>
  <si>
    <t>PEX</t>
  </si>
  <si>
    <t>PRE EXECUTE</t>
  </si>
  <si>
    <t>이익액</t>
  </si>
  <si>
    <t>PFA</t>
  </si>
  <si>
    <t>PROFIT AMOUT</t>
  </si>
  <si>
    <t>이행일</t>
  </si>
  <si>
    <t>PFD</t>
  </si>
  <si>
    <t>PERFORM DATE</t>
  </si>
  <si>
    <t>우대</t>
  </si>
  <si>
    <t>PFE</t>
  </si>
  <si>
    <t>PREFERENTIAL TREATMENT</t>
  </si>
  <si>
    <t>기간F</t>
  </si>
  <si>
    <t>PFR</t>
  </si>
  <si>
    <t>PERIOD FROM</t>
  </si>
  <si>
    <t>익금</t>
  </si>
  <si>
    <t>PFT</t>
  </si>
  <si>
    <t>PROFIT</t>
  </si>
  <si>
    <t>진척도</t>
  </si>
  <si>
    <t>PGD</t>
  </si>
  <si>
    <t>PROGRESS DEGREE</t>
  </si>
  <si>
    <t>판공</t>
  </si>
  <si>
    <t>PGG</t>
  </si>
  <si>
    <t>PANGONG</t>
  </si>
  <si>
    <t>프로그램</t>
  </si>
  <si>
    <t>PGM</t>
  </si>
  <si>
    <t>PROGRAM</t>
  </si>
  <si>
    <t>장수</t>
  </si>
  <si>
    <t>PGN</t>
  </si>
  <si>
    <t>PAGE NO</t>
  </si>
  <si>
    <t>진척율</t>
  </si>
  <si>
    <t>PGR</t>
  </si>
  <si>
    <t>PROGRESS RATE</t>
  </si>
  <si>
    <t>예수금</t>
  </si>
  <si>
    <t>PGT</t>
  </si>
  <si>
    <t>PRE-GET</t>
  </si>
  <si>
    <t>금지</t>
  </si>
  <si>
    <t>PHT</t>
  </si>
  <si>
    <t>PROHIBIT</t>
  </si>
  <si>
    <t>물적</t>
  </si>
  <si>
    <t>PHY</t>
  </si>
  <si>
    <t>PHYSICAL</t>
  </si>
  <si>
    <t>불입</t>
  </si>
  <si>
    <t>PIC</t>
  </si>
  <si>
    <t>PAYMENT INTO CAPTICAL</t>
  </si>
  <si>
    <t>자산증감액</t>
  </si>
  <si>
    <t>PID</t>
  </si>
  <si>
    <t>PROPERTY INCREASE AND DECREASE</t>
  </si>
  <si>
    <t>공지</t>
  </si>
  <si>
    <t>PIF</t>
  </si>
  <si>
    <t>PUBLIC INFORMATION</t>
  </si>
  <si>
    <t>피고</t>
  </si>
  <si>
    <t>PIG</t>
  </si>
  <si>
    <t>PIGO</t>
  </si>
  <si>
    <t>우선권</t>
  </si>
  <si>
    <t>PIH</t>
  </si>
  <si>
    <t>PRIORITY RIGHT</t>
  </si>
  <si>
    <t>필지</t>
  </si>
  <si>
    <t>PIJ</t>
  </si>
  <si>
    <t>PILJI</t>
  </si>
  <si>
    <t>개월</t>
  </si>
  <si>
    <t>PIM</t>
  </si>
  <si>
    <t>PIECE MONTH</t>
  </si>
  <si>
    <t>개월수</t>
  </si>
  <si>
    <t>기수입분</t>
  </si>
  <si>
    <t>PIN</t>
  </si>
  <si>
    <t>PRE INCOME</t>
  </si>
  <si>
    <t>피소</t>
  </si>
  <si>
    <t>PIS</t>
  </si>
  <si>
    <t>PISO</t>
  </si>
  <si>
    <t>과제명</t>
  </si>
  <si>
    <t>PJN</t>
  </si>
  <si>
    <t>PROJECT NAME</t>
  </si>
  <si>
    <t>사업장</t>
  </si>
  <si>
    <t>PLB</t>
  </si>
  <si>
    <t>PLACE OF BUSINESS</t>
  </si>
  <si>
    <t>대책</t>
  </si>
  <si>
    <t>PLC</t>
  </si>
  <si>
    <t>처</t>
  </si>
  <si>
    <t>연장</t>
  </si>
  <si>
    <t>PLG</t>
  </si>
  <si>
    <t>PROLONGATION</t>
  </si>
  <si>
    <t>공해</t>
  </si>
  <si>
    <t>PLL</t>
  </si>
  <si>
    <t>POLLUTION</t>
  </si>
  <si>
    <t>손금</t>
  </si>
  <si>
    <t>PLO</t>
  </si>
  <si>
    <t>PECUNIARY LOSS</t>
  </si>
  <si>
    <t>장소</t>
  </si>
  <si>
    <t>PLS</t>
  </si>
  <si>
    <t>PLACE</t>
  </si>
  <si>
    <t>시책</t>
  </si>
  <si>
    <t>PLY</t>
  </si>
  <si>
    <t>POLICY</t>
  </si>
  <si>
    <t>지급액</t>
  </si>
  <si>
    <t>PMA</t>
  </si>
  <si>
    <t>PAYMENT AMOUNT</t>
  </si>
  <si>
    <t>납부일</t>
  </si>
  <si>
    <t>PMD</t>
  </si>
  <si>
    <t>PAY MONEY DATE</t>
  </si>
  <si>
    <t>지급일</t>
  </si>
  <si>
    <t>허가공장</t>
  </si>
  <si>
    <t>PMF</t>
  </si>
  <si>
    <t>PERMISSION FACTORY</t>
  </si>
  <si>
    <t>원적</t>
  </si>
  <si>
    <t>PMG</t>
  </si>
  <si>
    <t>PERMENENT REGISTRATION</t>
  </si>
  <si>
    <t>일당</t>
  </si>
  <si>
    <t>PMN</t>
  </si>
  <si>
    <t>일인당</t>
  </si>
  <si>
    <t>승급</t>
  </si>
  <si>
    <t>PMO</t>
  </si>
  <si>
    <t>PROMOTION</t>
  </si>
  <si>
    <t>출력자</t>
  </si>
  <si>
    <t>PMR</t>
  </si>
  <si>
    <t>PRINT MANAGER</t>
  </si>
  <si>
    <t>허가</t>
  </si>
  <si>
    <t>PMS</t>
  </si>
  <si>
    <t>PERMISSION</t>
  </si>
  <si>
    <t>지급</t>
  </si>
  <si>
    <t>PMT</t>
  </si>
  <si>
    <t>납부</t>
  </si>
  <si>
    <t>PMY</t>
  </si>
  <si>
    <t>PAY MONEY</t>
  </si>
  <si>
    <t>실용신안권</t>
  </si>
  <si>
    <t>PND</t>
  </si>
  <si>
    <t>PATENT ON NEW DEVICE</t>
  </si>
  <si>
    <t>부번</t>
  </si>
  <si>
    <t>PNO</t>
  </si>
  <si>
    <t>PART NUMBER</t>
  </si>
  <si>
    <t>배점</t>
  </si>
  <si>
    <t>PNT</t>
  </si>
  <si>
    <t>POINT</t>
  </si>
  <si>
    <t>확보</t>
  </si>
  <si>
    <t>POC</t>
  </si>
  <si>
    <t>PRE OCCUPY</t>
  </si>
  <si>
    <t>선순위</t>
  </si>
  <si>
    <t>POR</t>
  </si>
  <si>
    <t>PRE-ORDER</t>
  </si>
  <si>
    <t>일부</t>
  </si>
  <si>
    <t>POT</t>
  </si>
  <si>
    <t>PORTION</t>
  </si>
  <si>
    <t>정책</t>
  </si>
  <si>
    <t>POY</t>
  </si>
  <si>
    <t>예비</t>
  </si>
  <si>
    <t>PPA</t>
  </si>
  <si>
    <t>PREPARATION</t>
  </si>
  <si>
    <t>자산회전율</t>
  </si>
  <si>
    <t>PPE</t>
  </si>
  <si>
    <t>PROPERTY REVOLUTION</t>
  </si>
  <si>
    <t>건의</t>
  </si>
  <si>
    <t>PPL</t>
  </si>
  <si>
    <t>proposal</t>
  </si>
  <si>
    <t>발의</t>
  </si>
  <si>
    <t>발의자</t>
  </si>
  <si>
    <t>PPLJA</t>
  </si>
  <si>
    <t>본봉</t>
  </si>
  <si>
    <t>PPM</t>
  </si>
  <si>
    <t>PRIMARY PAYMENT</t>
  </si>
  <si>
    <t>적정</t>
  </si>
  <si>
    <t>PPR</t>
  </si>
  <si>
    <t>PROPER</t>
  </si>
  <si>
    <t>재형</t>
  </si>
  <si>
    <t>PPS</t>
  </si>
  <si>
    <t>PROPERTY SAVE</t>
  </si>
  <si>
    <t>재형저축</t>
  </si>
  <si>
    <t>PPV</t>
  </si>
  <si>
    <t>PROPERTY SAVING</t>
  </si>
  <si>
    <t>선급</t>
  </si>
  <si>
    <t>PPY</t>
  </si>
  <si>
    <t>가공비</t>
  </si>
  <si>
    <t>PRA</t>
  </si>
  <si>
    <t>PROCESSING AMOUT</t>
  </si>
  <si>
    <t>처리점</t>
  </si>
  <si>
    <t>PRB</t>
  </si>
  <si>
    <t>PROCESS BRANCH</t>
  </si>
  <si>
    <t>생산</t>
  </si>
  <si>
    <t>PRC</t>
  </si>
  <si>
    <t>PRODUCTION</t>
  </si>
  <si>
    <t>처리</t>
  </si>
  <si>
    <t>당기</t>
  </si>
  <si>
    <t>PRD</t>
  </si>
  <si>
    <t>약정일</t>
  </si>
  <si>
    <t>경상이익</t>
  </si>
  <si>
    <t>PRF</t>
  </si>
  <si>
    <t>가공</t>
  </si>
  <si>
    <t>PRG</t>
  </si>
  <si>
    <t>PROCESSING</t>
  </si>
  <si>
    <t>경과</t>
  </si>
  <si>
    <t>공정</t>
  </si>
  <si>
    <t>진행</t>
  </si>
  <si>
    <t>구매</t>
  </si>
  <si>
    <t>PRH</t>
  </si>
  <si>
    <t>PURCHASE</t>
  </si>
  <si>
    <t>가격</t>
  </si>
  <si>
    <t>PRI</t>
  </si>
  <si>
    <t>단가</t>
  </si>
  <si>
    <t>대금</t>
  </si>
  <si>
    <t>시가</t>
  </si>
  <si>
    <t>원가</t>
  </si>
  <si>
    <t>선수금</t>
  </si>
  <si>
    <t>PRL</t>
  </si>
  <si>
    <t>PRE-COLLECTION</t>
  </si>
  <si>
    <t>손익</t>
  </si>
  <si>
    <t>약정</t>
  </si>
  <si>
    <t>PRM</t>
  </si>
  <si>
    <t>PROMISE</t>
  </si>
  <si>
    <t>약정번호</t>
  </si>
  <si>
    <t>PRN</t>
  </si>
  <si>
    <t>출력</t>
  </si>
  <si>
    <t>상대</t>
  </si>
  <si>
    <t>PRR</t>
  </si>
  <si>
    <t>상대자</t>
  </si>
  <si>
    <t>상대처</t>
  </si>
  <si>
    <t>이익율</t>
  </si>
  <si>
    <t>이익잉여</t>
  </si>
  <si>
    <t>PRS</t>
  </si>
  <si>
    <t>PROFIT SURPLUS</t>
  </si>
  <si>
    <t>프린터</t>
  </si>
  <si>
    <t>PRT</t>
  </si>
  <si>
    <t>PRINT</t>
  </si>
  <si>
    <t>프린터명</t>
  </si>
  <si>
    <t>상벌</t>
  </si>
  <si>
    <t>PRU</t>
  </si>
  <si>
    <t>PRIZE AND PUNISHMENT</t>
  </si>
  <si>
    <t>사전</t>
  </si>
  <si>
    <t>PRV</t>
  </si>
  <si>
    <t>PREVIOUS</t>
  </si>
  <si>
    <t>종전</t>
  </si>
  <si>
    <t>공정도</t>
  </si>
  <si>
    <t>PRW</t>
  </si>
  <si>
    <t>PROGRESS OF WORK</t>
  </si>
  <si>
    <t>기간별</t>
  </si>
  <si>
    <t>PRY</t>
  </si>
  <si>
    <t>PERIODLY</t>
  </si>
  <si>
    <t>보전금</t>
  </si>
  <si>
    <t>PSA</t>
  </si>
  <si>
    <t>PRESERVABLE AMOUNT</t>
  </si>
  <si>
    <t>이익잉여금</t>
  </si>
  <si>
    <t>추신</t>
  </si>
  <si>
    <t>PSC</t>
  </si>
  <si>
    <t>POSTSCRIPT</t>
  </si>
  <si>
    <t>가능일</t>
  </si>
  <si>
    <t>PSD</t>
  </si>
  <si>
    <t>POSSIBILITY DATE</t>
  </si>
  <si>
    <t>인건</t>
  </si>
  <si>
    <t>PSE</t>
  </si>
  <si>
    <t>PERSONAL EXPENSES</t>
  </si>
  <si>
    <t>인건비</t>
  </si>
  <si>
    <t>가능</t>
  </si>
  <si>
    <t>PSI</t>
  </si>
  <si>
    <t>POSSIBILITY</t>
  </si>
  <si>
    <t>가능성</t>
  </si>
  <si>
    <t>공매</t>
  </si>
  <si>
    <t>PSL</t>
  </si>
  <si>
    <t>PUBLIC SALE</t>
  </si>
  <si>
    <t>제시</t>
  </si>
  <si>
    <t>PSN</t>
  </si>
  <si>
    <t>PRESENTAION</t>
  </si>
  <si>
    <t>제정</t>
  </si>
  <si>
    <t>PSO</t>
  </si>
  <si>
    <t>PRESENTATION</t>
  </si>
  <si>
    <t>시효</t>
  </si>
  <si>
    <t>PSP</t>
  </si>
  <si>
    <t>PRESCRIPTION</t>
  </si>
  <si>
    <t>소유</t>
  </si>
  <si>
    <t>PSS</t>
  </si>
  <si>
    <t>POSSESSION</t>
  </si>
  <si>
    <t>소유자</t>
  </si>
  <si>
    <t>유망</t>
  </si>
  <si>
    <t>PST</t>
  </si>
  <si>
    <t>PROSPECT</t>
  </si>
  <si>
    <t>보전</t>
  </si>
  <si>
    <t>PSV</t>
  </si>
  <si>
    <t>PRESERVATION</t>
  </si>
  <si>
    <t>보존</t>
  </si>
  <si>
    <t>암호</t>
  </si>
  <si>
    <t>PSW</t>
  </si>
  <si>
    <t>PASSWORD</t>
  </si>
  <si>
    <t>휴대</t>
  </si>
  <si>
    <t>PTB</t>
  </si>
  <si>
    <t>PORTABLE</t>
  </si>
  <si>
    <t>지분</t>
  </si>
  <si>
    <t>PTE</t>
  </si>
  <si>
    <t>PART ROLE</t>
  </si>
  <si>
    <t>괄호</t>
  </si>
  <si>
    <t>PTH</t>
  </si>
  <si>
    <t>PARENTHESIS</t>
  </si>
  <si>
    <t>기간T</t>
  </si>
  <si>
    <t>PTO</t>
  </si>
  <si>
    <t>PERIOD TO</t>
  </si>
  <si>
    <t>재산조사</t>
  </si>
  <si>
    <t>PTR</t>
  </si>
  <si>
    <t>PRPERTY RESEARCH</t>
  </si>
  <si>
    <t>소장</t>
  </si>
  <si>
    <t>PTT</t>
  </si>
  <si>
    <t>PETITION</t>
  </si>
  <si>
    <t>자산상각비</t>
  </si>
  <si>
    <t>PTU</t>
  </si>
  <si>
    <t>PROPERTY REFUNDMENT</t>
  </si>
  <si>
    <t>공과</t>
  </si>
  <si>
    <t>PTX</t>
  </si>
  <si>
    <t>PUBLIC TAX</t>
  </si>
  <si>
    <t>재산세</t>
  </si>
  <si>
    <t>재산</t>
  </si>
  <si>
    <t>PTY</t>
  </si>
  <si>
    <t>PROPERTY</t>
  </si>
  <si>
    <t>공개</t>
  </si>
  <si>
    <t>PUB</t>
  </si>
  <si>
    <t>PUBLIC</t>
  </si>
  <si>
    <t>출판</t>
  </si>
  <si>
    <t>제재</t>
  </si>
  <si>
    <t>PUN</t>
  </si>
  <si>
    <t>PUNISHMENT</t>
  </si>
  <si>
    <t>순수</t>
  </si>
  <si>
    <t>PUR</t>
  </si>
  <si>
    <t>PURE</t>
  </si>
  <si>
    <t>기보증</t>
  </si>
  <si>
    <t>PVG</t>
  </si>
  <si>
    <t>PREVIOUS GUARANTEE</t>
  </si>
  <si>
    <t>사전번호</t>
  </si>
  <si>
    <t>PVN</t>
  </si>
  <si>
    <t>PREVIOUS NO</t>
  </si>
  <si>
    <t>별정</t>
  </si>
  <si>
    <t>PVP</t>
  </si>
  <si>
    <t>PRIVILEGED POSITION</t>
  </si>
  <si>
    <t>비밀번호</t>
  </si>
  <si>
    <t>PWD</t>
  </si>
  <si>
    <t>지급후</t>
  </si>
  <si>
    <t>PYA</t>
  </si>
  <si>
    <t>PAY AFTER</t>
  </si>
  <si>
    <t>납입일</t>
  </si>
  <si>
    <t>PYD</t>
  </si>
  <si>
    <t>PAYMENT DATE</t>
  </si>
  <si>
    <t>처리여부</t>
  </si>
  <si>
    <t>PYN</t>
  </si>
  <si>
    <t>PROCES YN</t>
  </si>
  <si>
    <t>표</t>
  </si>
  <si>
    <t>PYO</t>
  </si>
  <si>
    <t>평수</t>
  </si>
  <si>
    <t>PYS</t>
  </si>
  <si>
    <t>PYEONG SU</t>
  </si>
  <si>
    <t>평당</t>
  </si>
  <si>
    <t>PYT</t>
  </si>
  <si>
    <t>PYEONG TANG</t>
  </si>
  <si>
    <t>평</t>
  </si>
  <si>
    <t>PYU</t>
  </si>
  <si>
    <t>PYUNG</t>
  </si>
  <si>
    <t>년간</t>
  </si>
  <si>
    <t>PYY</t>
  </si>
  <si>
    <t>PER YEAR</t>
  </si>
  <si>
    <t>정지</t>
  </si>
  <si>
    <t>QIT</t>
  </si>
  <si>
    <t>QUIT</t>
  </si>
  <si>
    <t>자격</t>
  </si>
  <si>
    <t>QLF</t>
  </si>
  <si>
    <t>분기</t>
  </si>
  <si>
    <t>QRT</t>
  </si>
  <si>
    <t>QUARTER</t>
  </si>
  <si>
    <t>질의</t>
  </si>
  <si>
    <t>QRY</t>
  </si>
  <si>
    <t>QUERY</t>
  </si>
  <si>
    <t>수량</t>
  </si>
  <si>
    <t>QTY</t>
  </si>
  <si>
    <t>QUANTITY</t>
  </si>
  <si>
    <t>품질</t>
  </si>
  <si>
    <t>QUA</t>
  </si>
  <si>
    <t>문제</t>
  </si>
  <si>
    <t>QUE</t>
  </si>
  <si>
    <t>QUESTION</t>
  </si>
  <si>
    <t>설문</t>
  </si>
  <si>
    <t>문항</t>
  </si>
  <si>
    <t>QUI</t>
  </si>
  <si>
    <t>QUESTION ITEM</t>
  </si>
  <si>
    <t>상각일</t>
  </si>
  <si>
    <t>RAD</t>
  </si>
  <si>
    <t>REPAYMENT DATE</t>
  </si>
  <si>
    <t>반환후</t>
  </si>
  <si>
    <t>RAF</t>
  </si>
  <si>
    <t>RETURN AFTER</t>
  </si>
  <si>
    <t>상각율</t>
  </si>
  <si>
    <t>RAR</t>
  </si>
  <si>
    <t>REPAYMENT RATE</t>
  </si>
  <si>
    <t>수발</t>
  </si>
  <si>
    <t>RAS</t>
  </si>
  <si>
    <t>RECEIVE AND SEND</t>
  </si>
  <si>
    <t>료율</t>
  </si>
  <si>
    <t>RAT</t>
  </si>
  <si>
    <t>률</t>
  </si>
  <si>
    <t>비율</t>
  </si>
  <si>
    <t>요율</t>
  </si>
  <si>
    <t>율</t>
  </si>
  <si>
    <t>이율</t>
  </si>
  <si>
    <t>공부</t>
  </si>
  <si>
    <t>RBI</t>
  </si>
  <si>
    <t xml:space="preserve">PUBLIC RECORD </t>
  </si>
  <si>
    <t>공부상</t>
  </si>
  <si>
    <t>등록점</t>
  </si>
  <si>
    <t>RBR</t>
  </si>
  <si>
    <t>REGISTRATION BRANCH</t>
  </si>
  <si>
    <t>해제점</t>
  </si>
  <si>
    <t>회신점</t>
  </si>
  <si>
    <t>수령액</t>
  </si>
  <si>
    <t>RCA</t>
  </si>
  <si>
    <t>RECEIPT AMOUNT</t>
  </si>
  <si>
    <t>접수일</t>
  </si>
  <si>
    <t>RCD</t>
  </si>
  <si>
    <t>RECEIVING DAY</t>
  </si>
  <si>
    <t>접수일자</t>
  </si>
  <si>
    <t>접대</t>
  </si>
  <si>
    <t>RCE</t>
  </si>
  <si>
    <t>RECEPTION</t>
  </si>
  <si>
    <t>인지</t>
  </si>
  <si>
    <t>RCI</t>
  </si>
  <si>
    <t>RECOGNITION</t>
  </si>
  <si>
    <t>보상</t>
  </si>
  <si>
    <t>RCM</t>
  </si>
  <si>
    <t>RECOMPENSE</t>
  </si>
  <si>
    <t>최근</t>
  </si>
  <si>
    <t>RCN</t>
  </si>
  <si>
    <t>RECENTLY</t>
  </si>
  <si>
    <t>추천</t>
  </si>
  <si>
    <t>RCO</t>
  </si>
  <si>
    <t>RECOMMENDATION</t>
  </si>
  <si>
    <t>수납</t>
  </si>
  <si>
    <t>RCP</t>
  </si>
  <si>
    <t>수령</t>
  </si>
  <si>
    <t>영수</t>
  </si>
  <si>
    <t>수혜자</t>
  </si>
  <si>
    <t>RCR</t>
  </si>
  <si>
    <t>RECEIVER</t>
  </si>
  <si>
    <t>추천사이트</t>
  </si>
  <si>
    <t>RCS</t>
  </si>
  <si>
    <t>RECOMMENDATION SITE</t>
  </si>
  <si>
    <t>구인</t>
  </si>
  <si>
    <t>RCT</t>
  </si>
  <si>
    <t>RECRUIT</t>
  </si>
  <si>
    <t>받을</t>
  </si>
  <si>
    <t>RCV</t>
  </si>
  <si>
    <t>RECEIVABLE</t>
  </si>
  <si>
    <t>수혜</t>
  </si>
  <si>
    <t>감액</t>
  </si>
  <si>
    <t>RDA</t>
  </si>
  <si>
    <t>REDUCE AMOUNT</t>
  </si>
  <si>
    <t>감면</t>
  </si>
  <si>
    <t>RDC</t>
  </si>
  <si>
    <t>REDUCE</t>
  </si>
  <si>
    <t>감봉</t>
  </si>
  <si>
    <t>RDW</t>
  </si>
  <si>
    <t>REDUCING WAGES</t>
  </si>
  <si>
    <t>재</t>
  </si>
  <si>
    <t>RE</t>
  </si>
  <si>
    <t>청휴</t>
  </si>
  <si>
    <t>REA</t>
  </si>
  <si>
    <t>REQUEST VACATION</t>
  </si>
  <si>
    <t>감전</t>
  </si>
  <si>
    <t>REB</t>
  </si>
  <si>
    <t>REDUCE BEFORE</t>
  </si>
  <si>
    <t>레코드</t>
  </si>
  <si>
    <t>REC</t>
  </si>
  <si>
    <t>RECORD</t>
  </si>
  <si>
    <t>거주가능</t>
  </si>
  <si>
    <t>REE</t>
  </si>
  <si>
    <t>RESIDENCE ENABLE</t>
  </si>
  <si>
    <t>검색</t>
  </si>
  <si>
    <t>REF</t>
  </si>
  <si>
    <t>REFERENCE</t>
  </si>
  <si>
    <t>조회</t>
  </si>
  <si>
    <t>참고</t>
  </si>
  <si>
    <t>참조</t>
  </si>
  <si>
    <t>지역별</t>
  </si>
  <si>
    <t>REG</t>
  </si>
  <si>
    <t>REGISTER</t>
  </si>
  <si>
    <t>실물</t>
  </si>
  <si>
    <t>REL</t>
  </si>
  <si>
    <t>REAL THINGS</t>
  </si>
  <si>
    <t>응시</t>
  </si>
  <si>
    <t>REM</t>
  </si>
  <si>
    <t>RESPOND TO EXAM</t>
  </si>
  <si>
    <t>회보서</t>
  </si>
  <si>
    <t>REP</t>
  </si>
  <si>
    <t>RETURN PAPER</t>
  </si>
  <si>
    <t>요구</t>
  </si>
  <si>
    <t>REQ</t>
  </si>
  <si>
    <t>요청서</t>
  </si>
  <si>
    <t>해제자</t>
  </si>
  <si>
    <t>RER</t>
  </si>
  <si>
    <t>RELEASER</t>
  </si>
  <si>
    <t>주거</t>
  </si>
  <si>
    <t>RES</t>
  </si>
  <si>
    <t>RESIDENT</t>
  </si>
  <si>
    <t>등록사유</t>
  </si>
  <si>
    <t>REU</t>
  </si>
  <si>
    <t>REGISTER CAUSE</t>
  </si>
  <si>
    <t>예약</t>
  </si>
  <si>
    <t>REV</t>
  </si>
  <si>
    <t>RESERVATION</t>
  </si>
  <si>
    <t>주민세</t>
  </si>
  <si>
    <t>REX</t>
  </si>
  <si>
    <t>검색자</t>
  </si>
  <si>
    <t>RFR</t>
  </si>
  <si>
    <t>REFERENCER</t>
  </si>
  <si>
    <t>반영</t>
  </si>
  <si>
    <t>RFT</t>
  </si>
  <si>
    <t>reflection</t>
  </si>
  <si>
    <t>등록일</t>
  </si>
  <si>
    <t>RGD</t>
  </si>
  <si>
    <t>REGISTER DAY</t>
  </si>
  <si>
    <t>규제</t>
  </si>
  <si>
    <t>RGL</t>
  </si>
  <si>
    <t>REGULATIONS</t>
  </si>
  <si>
    <t>등록자</t>
  </si>
  <si>
    <t>RGN</t>
  </si>
  <si>
    <t>REGISTRANT</t>
  </si>
  <si>
    <t>등기소</t>
  </si>
  <si>
    <t>RGO</t>
  </si>
  <si>
    <t>REGISTRY OFFICE</t>
  </si>
  <si>
    <t>규제자</t>
  </si>
  <si>
    <t>regulator</t>
  </si>
  <si>
    <t>재보증</t>
  </si>
  <si>
    <t>RGR</t>
  </si>
  <si>
    <t>RE-GUARANTEE</t>
  </si>
  <si>
    <t>기장</t>
  </si>
  <si>
    <t>RGS</t>
  </si>
  <si>
    <t>register</t>
  </si>
  <si>
    <t>등기</t>
  </si>
  <si>
    <t>registry</t>
  </si>
  <si>
    <t>등록</t>
  </si>
  <si>
    <t>registration</t>
  </si>
  <si>
    <t>권리</t>
  </si>
  <si>
    <t>RGT</t>
  </si>
  <si>
    <t>RIGHT</t>
  </si>
  <si>
    <t>기장의무</t>
  </si>
  <si>
    <t>라항</t>
  </si>
  <si>
    <t>RHG</t>
  </si>
  <si>
    <t>RAHWANG</t>
  </si>
  <si>
    <t>적정성</t>
  </si>
  <si>
    <t>RIG</t>
  </si>
  <si>
    <t>RIGHTNESS</t>
  </si>
  <si>
    <t>재발급</t>
  </si>
  <si>
    <t>RIS</t>
  </si>
  <si>
    <t>RE ISSUE</t>
  </si>
  <si>
    <t>거절</t>
  </si>
  <si>
    <t>RJT</t>
  </si>
  <si>
    <t>REJECT</t>
  </si>
  <si>
    <t>관계처</t>
  </si>
  <si>
    <t>RLC</t>
  </si>
  <si>
    <t>RELATE COMPANY</t>
  </si>
  <si>
    <t>해제일</t>
  </si>
  <si>
    <t>RLD</t>
  </si>
  <si>
    <t>RELEASE DATE</t>
  </si>
  <si>
    <t>관계회사</t>
  </si>
  <si>
    <t>RLE</t>
  </si>
  <si>
    <t>RELATE ENTERPRISE</t>
  </si>
  <si>
    <t>물권</t>
  </si>
  <si>
    <t>RLI</t>
  </si>
  <si>
    <t>REAL RIGHT</t>
  </si>
  <si>
    <t>관계명</t>
  </si>
  <si>
    <t>RLN</t>
  </si>
  <si>
    <t>RELATION NAME</t>
  </si>
  <si>
    <t>관계주민</t>
  </si>
  <si>
    <t>RLP</t>
  </si>
  <si>
    <t>RELATION PEOPLE</t>
  </si>
  <si>
    <t>관계인</t>
  </si>
  <si>
    <t>RLR</t>
  </si>
  <si>
    <t>RELATIONER</t>
  </si>
  <si>
    <t>관계자</t>
  </si>
  <si>
    <t>관련자</t>
  </si>
  <si>
    <t>해제</t>
  </si>
  <si>
    <t>RLS</t>
  </si>
  <si>
    <t>관계</t>
  </si>
  <si>
    <t>RLT</t>
  </si>
  <si>
    <t>관련</t>
  </si>
  <si>
    <t>소관</t>
  </si>
  <si>
    <t>유동</t>
  </si>
  <si>
    <t>RLW</t>
  </si>
  <si>
    <t>나머지</t>
  </si>
  <si>
    <t>RMD</t>
  </si>
  <si>
    <t>REMAINDER</t>
  </si>
  <si>
    <t>잔여</t>
  </si>
  <si>
    <t>비고</t>
  </si>
  <si>
    <t>RMK</t>
  </si>
  <si>
    <t>비고란</t>
  </si>
  <si>
    <t>사유</t>
  </si>
  <si>
    <t>나머지수</t>
  </si>
  <si>
    <t>RMN</t>
  </si>
  <si>
    <t>REMAINDER NUMBER</t>
  </si>
  <si>
    <t>관련이전</t>
  </si>
  <si>
    <t>RMO</t>
  </si>
  <si>
    <t>RELATIVE MOVE</t>
  </si>
  <si>
    <t>공제</t>
  </si>
  <si>
    <t>RMV</t>
  </si>
  <si>
    <t>REMOVE</t>
  </si>
  <si>
    <t>등급</t>
  </si>
  <si>
    <t>RNK</t>
  </si>
  <si>
    <t>순위</t>
  </si>
  <si>
    <t>지위</t>
  </si>
  <si>
    <t>갱신</t>
  </si>
  <si>
    <t>RNW</t>
  </si>
  <si>
    <t>renewal</t>
  </si>
  <si>
    <t>재개일</t>
  </si>
  <si>
    <t>ROD</t>
  </si>
  <si>
    <t>RE OPEN DATE</t>
  </si>
  <si>
    <t>원천</t>
  </si>
  <si>
    <t>ROT</t>
  </si>
  <si>
    <t>ROOT</t>
  </si>
  <si>
    <t>상환액</t>
  </si>
  <si>
    <t>RPA</t>
  </si>
  <si>
    <t>REPAYMENT AMOUNT</t>
  </si>
  <si>
    <t>상환현금</t>
  </si>
  <si>
    <t>RPC</t>
  </si>
  <si>
    <t>REPAYMENT CASH</t>
  </si>
  <si>
    <t>보고서</t>
  </si>
  <si>
    <t>RPD</t>
  </si>
  <si>
    <t>REPORT DOCUMENT</t>
  </si>
  <si>
    <t>신고일</t>
  </si>
  <si>
    <t>재약정일</t>
  </si>
  <si>
    <t>입금</t>
  </si>
  <si>
    <t>RPI</t>
  </si>
  <si>
    <t>RECEIPT</t>
  </si>
  <si>
    <t>변제</t>
  </si>
  <si>
    <t>RPM</t>
  </si>
  <si>
    <t>REPAYMENT</t>
  </si>
  <si>
    <t>상환</t>
  </si>
  <si>
    <t>재약정</t>
  </si>
  <si>
    <t>보고자</t>
  </si>
  <si>
    <t>RPR</t>
  </si>
  <si>
    <t>REPORTER</t>
  </si>
  <si>
    <t>감점</t>
  </si>
  <si>
    <t>RPT</t>
  </si>
  <si>
    <t>REDUCE POINT</t>
  </si>
  <si>
    <t>보고</t>
  </si>
  <si>
    <t>신고</t>
  </si>
  <si>
    <t>청구액</t>
  </si>
  <si>
    <t>RQA</t>
  </si>
  <si>
    <t>REQUEST AMOUNT</t>
  </si>
  <si>
    <t>청구일</t>
  </si>
  <si>
    <t>RQD</t>
  </si>
  <si>
    <t>REQUEST DATE</t>
  </si>
  <si>
    <t>의뢰처</t>
  </si>
  <si>
    <t>RQP</t>
  </si>
  <si>
    <t>REQUEST PLACE</t>
  </si>
  <si>
    <t>요청자</t>
  </si>
  <si>
    <t>RQR</t>
  </si>
  <si>
    <t>REQUESTER</t>
  </si>
  <si>
    <t>의뢰인</t>
  </si>
  <si>
    <t>청구자</t>
  </si>
  <si>
    <t>요청</t>
  </si>
  <si>
    <t>RQS</t>
  </si>
  <si>
    <t>REQUEST</t>
  </si>
  <si>
    <t>의뢰</t>
  </si>
  <si>
    <t>청구</t>
  </si>
  <si>
    <t>소급일</t>
  </si>
  <si>
    <t>RRD</t>
  </si>
  <si>
    <t>RETROACTION DATE</t>
  </si>
  <si>
    <t>적립금</t>
  </si>
  <si>
    <t>RSA</t>
  </si>
  <si>
    <t>RESERVING AMOUNT</t>
  </si>
  <si>
    <t>연구</t>
  </si>
  <si>
    <t>RSC</t>
  </si>
  <si>
    <t>RESEARCH</t>
  </si>
  <si>
    <t>연구실</t>
  </si>
  <si>
    <t>조사</t>
  </si>
  <si>
    <t>거소</t>
  </si>
  <si>
    <t>RSD</t>
  </si>
  <si>
    <t>거주</t>
  </si>
  <si>
    <t>거주지</t>
  </si>
  <si>
    <t>RSE</t>
  </si>
  <si>
    <t>RESIDENT AREA</t>
  </si>
  <si>
    <t>경로</t>
  </si>
  <si>
    <t>RSF</t>
  </si>
  <si>
    <t>RESPECT-FOR-AGE</t>
  </si>
  <si>
    <t>조사료</t>
  </si>
  <si>
    <t>휴직</t>
  </si>
  <si>
    <t>RSG</t>
  </si>
  <si>
    <t>RESTING</t>
  </si>
  <si>
    <t>거주자</t>
  </si>
  <si>
    <t>RSI</t>
  </si>
  <si>
    <t>RESIDENTOR</t>
  </si>
  <si>
    <t>리스크</t>
  </si>
  <si>
    <t>RSK</t>
  </si>
  <si>
    <t>RISK</t>
  </si>
  <si>
    <t>환매</t>
  </si>
  <si>
    <t>RSL</t>
  </si>
  <si>
    <t>RESALES</t>
  </si>
  <si>
    <t>자원</t>
  </si>
  <si>
    <t>RSO</t>
  </si>
  <si>
    <t>RESOURCE</t>
  </si>
  <si>
    <t>응답</t>
  </si>
  <si>
    <t>RSP</t>
  </si>
  <si>
    <t>RESPONSE</t>
  </si>
  <si>
    <t>수발자</t>
  </si>
  <si>
    <t>RSR</t>
  </si>
  <si>
    <t>RECEIVER AND SENDER</t>
  </si>
  <si>
    <t>결과</t>
  </si>
  <si>
    <t>RST</t>
  </si>
  <si>
    <t>RESULT</t>
  </si>
  <si>
    <t>성적</t>
  </si>
  <si>
    <t>적립</t>
  </si>
  <si>
    <t>RSV</t>
  </si>
  <si>
    <t>RESERVING</t>
  </si>
  <si>
    <t>RESERVED</t>
  </si>
  <si>
    <t>반환금</t>
  </si>
  <si>
    <t>RTA</t>
  </si>
  <si>
    <t>RETURN AMOUNT</t>
  </si>
  <si>
    <t>퇴직금</t>
  </si>
  <si>
    <t>보유점</t>
  </si>
  <si>
    <t>RTB</t>
  </si>
  <si>
    <t>RETENTION BRANCH</t>
  </si>
  <si>
    <t>관련기술</t>
  </si>
  <si>
    <t>RTC</t>
  </si>
  <si>
    <t>RELATIVE TECH</t>
  </si>
  <si>
    <t>반려일</t>
  </si>
  <si>
    <t>RTD</t>
  </si>
  <si>
    <t>RETURN DATE</t>
  </si>
  <si>
    <t>퇴사</t>
  </si>
  <si>
    <t>RTI</t>
  </si>
  <si>
    <t>퇴직</t>
  </si>
  <si>
    <t>회신</t>
  </si>
  <si>
    <t>RTM</t>
  </si>
  <si>
    <t>RETURN MESSAGE</t>
  </si>
  <si>
    <t>반납</t>
  </si>
  <si>
    <t>RTN</t>
  </si>
  <si>
    <t>RETURN</t>
  </si>
  <si>
    <t>소매</t>
  </si>
  <si>
    <t>RTS</t>
  </si>
  <si>
    <t>RETAIL SALES</t>
  </si>
  <si>
    <t>보유</t>
  </si>
  <si>
    <t>RTT</t>
  </si>
  <si>
    <t>규약</t>
  </si>
  <si>
    <t>RUL</t>
  </si>
  <si>
    <t>RULE</t>
  </si>
  <si>
    <t>규정</t>
  </si>
  <si>
    <t>법령</t>
  </si>
  <si>
    <t>회보자</t>
  </si>
  <si>
    <t>RUR</t>
  </si>
  <si>
    <t>RETURNER</t>
  </si>
  <si>
    <t>회신자</t>
  </si>
  <si>
    <t>개정</t>
  </si>
  <si>
    <t>RVI</t>
  </si>
  <si>
    <t>REVISION</t>
  </si>
  <si>
    <t>보정</t>
  </si>
  <si>
    <t>RVO</t>
  </si>
  <si>
    <t>대비</t>
  </si>
  <si>
    <t>RVS</t>
  </si>
  <si>
    <t>PROVISION</t>
  </si>
  <si>
    <t>상여금</t>
  </si>
  <si>
    <t>RWA</t>
  </si>
  <si>
    <t>REWARD PAY</t>
  </si>
  <si>
    <t>상여</t>
  </si>
  <si>
    <t>RWD</t>
  </si>
  <si>
    <t>REWARD</t>
  </si>
  <si>
    <t>상환일</t>
  </si>
  <si>
    <t>RYD</t>
  </si>
  <si>
    <t>송신시</t>
  </si>
  <si>
    <t>S/R</t>
  </si>
  <si>
    <t>SEND AND RECEIVE TIME</t>
  </si>
  <si>
    <t>학자보조금</t>
  </si>
  <si>
    <t>SAA</t>
  </si>
  <si>
    <t>SCHOLAR ASSIST AMOUNT</t>
  </si>
  <si>
    <t>매출활동</t>
  </si>
  <si>
    <t>SAC</t>
  </si>
  <si>
    <t>SALE ACTION</t>
  </si>
  <si>
    <t>사채</t>
  </si>
  <si>
    <t>세부</t>
  </si>
  <si>
    <t>SAE</t>
  </si>
  <si>
    <t>판매비</t>
  </si>
  <si>
    <t>SAF</t>
  </si>
  <si>
    <t>AMOUNT OF SALE FEE</t>
  </si>
  <si>
    <t>사고</t>
  </si>
  <si>
    <t>SAG</t>
  </si>
  <si>
    <t>특별추가보증료</t>
  </si>
  <si>
    <t>상훈</t>
  </si>
  <si>
    <t>SAH</t>
  </si>
  <si>
    <t>SANGHUN</t>
  </si>
  <si>
    <t>매각</t>
  </si>
  <si>
    <t>SAL</t>
  </si>
  <si>
    <t>매출</t>
  </si>
  <si>
    <t>판매</t>
  </si>
  <si>
    <t>매출액</t>
  </si>
  <si>
    <t>SAM</t>
  </si>
  <si>
    <t>SALE MONEY</t>
  </si>
  <si>
    <t>사업자번호</t>
  </si>
  <si>
    <t>SAN</t>
  </si>
  <si>
    <t>상세</t>
  </si>
  <si>
    <t>동사</t>
  </si>
  <si>
    <t>SAO</t>
  </si>
  <si>
    <t>SAME COMPANY</t>
  </si>
  <si>
    <t>사업자</t>
  </si>
  <si>
    <t>SAP</t>
  </si>
  <si>
    <t>SAPUJA</t>
  </si>
  <si>
    <t>송수신</t>
  </si>
  <si>
    <t>SAR</t>
  </si>
  <si>
    <t>SEND AND RECEIVE</t>
  </si>
  <si>
    <t>유형자산</t>
  </si>
  <si>
    <t>SAS</t>
  </si>
  <si>
    <t>SOLID ASSET</t>
  </si>
  <si>
    <t>충족</t>
  </si>
  <si>
    <t>SAT</t>
  </si>
  <si>
    <t>SATISFY</t>
  </si>
  <si>
    <t>저축</t>
  </si>
  <si>
    <t>SAV</t>
  </si>
  <si>
    <t>SAVE</t>
  </si>
  <si>
    <t>지식</t>
  </si>
  <si>
    <t>SAY</t>
  </si>
  <si>
    <t>KNOWLEDGE</t>
  </si>
  <si>
    <t>주제어</t>
  </si>
  <si>
    <t>SBJ</t>
  </si>
  <si>
    <t>SUBJECT</t>
  </si>
  <si>
    <t>제출</t>
  </si>
  <si>
    <t>SBM</t>
  </si>
  <si>
    <t>SUBMIT</t>
  </si>
  <si>
    <t>대위</t>
  </si>
  <si>
    <t>SBR</t>
  </si>
  <si>
    <t>SUBROGATE</t>
  </si>
  <si>
    <t>대위변제</t>
  </si>
  <si>
    <t>중소기업협의회</t>
  </si>
  <si>
    <t>SCA</t>
  </si>
  <si>
    <t>SMALL COMPANY ASSOCIATION</t>
  </si>
  <si>
    <t>동업종</t>
  </si>
  <si>
    <t>SCB</t>
  </si>
  <si>
    <t>SAME CATEGORY OF BUSINESS</t>
  </si>
  <si>
    <t>예정</t>
  </si>
  <si>
    <t>SCD</t>
  </si>
  <si>
    <t>SCHEDULE</t>
  </si>
  <si>
    <t>이차</t>
  </si>
  <si>
    <t>범위</t>
  </si>
  <si>
    <t>SCE</t>
  </si>
  <si>
    <t>SCOPE</t>
  </si>
  <si>
    <t>학력</t>
  </si>
  <si>
    <t>SCG</t>
  </si>
  <si>
    <t>일정</t>
  </si>
  <si>
    <t>SCH</t>
  </si>
  <si>
    <t>규모</t>
  </si>
  <si>
    <t>SCL</t>
  </si>
  <si>
    <t>SCALE</t>
  </si>
  <si>
    <t>계획</t>
  </si>
  <si>
    <t>SCM</t>
  </si>
  <si>
    <t>SCHEME</t>
  </si>
  <si>
    <t>학교</t>
  </si>
  <si>
    <t>SCO</t>
  </si>
  <si>
    <t>SCHOOL</t>
  </si>
  <si>
    <t>성공성</t>
  </si>
  <si>
    <t>SCP</t>
  </si>
  <si>
    <t>SUCCESS PROPERTY</t>
  </si>
  <si>
    <t>비밀</t>
  </si>
  <si>
    <t>SCR</t>
  </si>
  <si>
    <t>SECRET</t>
  </si>
  <si>
    <t>화면</t>
  </si>
  <si>
    <t>과</t>
  </si>
  <si>
    <t>SCT</t>
  </si>
  <si>
    <t>SECTION</t>
  </si>
  <si>
    <t>동업계</t>
  </si>
  <si>
    <t>중기협</t>
  </si>
  <si>
    <t>SCU</t>
  </si>
  <si>
    <t>SMALL COMPANY UNION</t>
  </si>
  <si>
    <t>성실도</t>
  </si>
  <si>
    <t>SCY</t>
  </si>
  <si>
    <t>SINCERITY</t>
  </si>
  <si>
    <t>특별연체보증료</t>
  </si>
  <si>
    <t>SDA</t>
  </si>
  <si>
    <t>SPECIAL DELAY AMOUNT</t>
  </si>
  <si>
    <t>예정일</t>
  </si>
  <si>
    <t>SDD</t>
  </si>
  <si>
    <t>SCHEDULE DATE</t>
  </si>
  <si>
    <t>부지점</t>
  </si>
  <si>
    <t>SDS</t>
  </si>
  <si>
    <t>SUB DEPART SHOP</t>
  </si>
  <si>
    <t>선정일</t>
  </si>
  <si>
    <t>SED</t>
  </si>
  <si>
    <t>SELECTION DATE</t>
  </si>
  <si>
    <t>세항</t>
  </si>
  <si>
    <t>SEHAG</t>
  </si>
  <si>
    <t>매도</t>
  </si>
  <si>
    <t>SEL</t>
  </si>
  <si>
    <t>SELL</t>
  </si>
  <si>
    <t>선정</t>
  </si>
  <si>
    <t>선택</t>
  </si>
  <si>
    <t>설정액</t>
  </si>
  <si>
    <t>SEM</t>
  </si>
  <si>
    <t>SET MONEY</t>
  </si>
  <si>
    <t>세목</t>
  </si>
  <si>
    <t>SEMOK</t>
  </si>
  <si>
    <t>서</t>
  </si>
  <si>
    <t>SEO</t>
  </si>
  <si>
    <t>동기비</t>
  </si>
  <si>
    <t>SER</t>
  </si>
  <si>
    <t>SAME PERIOD RATE</t>
  </si>
  <si>
    <t>용역</t>
  </si>
  <si>
    <t>선정시</t>
  </si>
  <si>
    <t>SET</t>
  </si>
  <si>
    <t>SELECTION TIME</t>
  </si>
  <si>
    <t>성장기</t>
  </si>
  <si>
    <t>SEX</t>
  </si>
  <si>
    <t>GROWTH TERM</t>
  </si>
  <si>
    <t>자기자본</t>
  </si>
  <si>
    <t>SFD</t>
  </si>
  <si>
    <t>SELF FUND</t>
  </si>
  <si>
    <t>상각비</t>
  </si>
  <si>
    <t>SGA</t>
  </si>
  <si>
    <t>SANGKAK AMOUNT</t>
  </si>
  <si>
    <t>특별보증료</t>
  </si>
  <si>
    <t>상각</t>
  </si>
  <si>
    <t>SGK</t>
  </si>
  <si>
    <t>상각잔액</t>
  </si>
  <si>
    <t>SGKJAN</t>
  </si>
  <si>
    <t>미혼</t>
  </si>
  <si>
    <t>SGL</t>
  </si>
  <si>
    <t>SINGLE</t>
  </si>
  <si>
    <t>기호</t>
  </si>
  <si>
    <t>SGN</t>
  </si>
  <si>
    <t>SIGN</t>
  </si>
  <si>
    <t>부호</t>
  </si>
  <si>
    <t>특별보증</t>
  </si>
  <si>
    <t>SGR</t>
  </si>
  <si>
    <t>SPECIAL GURR</t>
  </si>
  <si>
    <t>소분류</t>
  </si>
  <si>
    <t>SGU</t>
  </si>
  <si>
    <t>SMALL GROUPING</t>
  </si>
  <si>
    <t>주주</t>
  </si>
  <si>
    <t>SHD</t>
  </si>
  <si>
    <t>STOCKHOLDER</t>
  </si>
  <si>
    <t>단기</t>
  </si>
  <si>
    <t>SHE</t>
  </si>
  <si>
    <t>SHORT TERM</t>
  </si>
  <si>
    <t>장표</t>
  </si>
  <si>
    <t>단축</t>
  </si>
  <si>
    <t>SHG</t>
  </si>
  <si>
    <t>SHORTENING</t>
  </si>
  <si>
    <t>단기차입금</t>
  </si>
  <si>
    <t>SHP</t>
  </si>
  <si>
    <t>SHORT TERM LOAN PAYABLE</t>
  </si>
  <si>
    <t>공유</t>
  </si>
  <si>
    <t>SHR</t>
  </si>
  <si>
    <t>SHARE</t>
  </si>
  <si>
    <t>장학</t>
  </si>
  <si>
    <t>SHS</t>
  </si>
  <si>
    <t>SCHOLARSHIP</t>
  </si>
  <si>
    <t>신보</t>
  </si>
  <si>
    <t>SHT</t>
  </si>
  <si>
    <t>SINBO</t>
  </si>
  <si>
    <t>병휴</t>
  </si>
  <si>
    <t>SIH</t>
  </si>
  <si>
    <t>SICKNESS HOLIDAY</t>
  </si>
  <si>
    <t>실제</t>
  </si>
  <si>
    <t>SIJ</t>
  </si>
  <si>
    <t>SILJE</t>
  </si>
  <si>
    <t>상황일</t>
  </si>
  <si>
    <t>SIL</t>
  </si>
  <si>
    <t>STATE DATE</t>
  </si>
  <si>
    <t>실</t>
  </si>
  <si>
    <t>하도급</t>
  </si>
  <si>
    <t>SIM</t>
  </si>
  <si>
    <t>SUB IMPORT</t>
  </si>
  <si>
    <t>신</t>
  </si>
  <si>
    <t>SIN</t>
  </si>
  <si>
    <t>부업종</t>
  </si>
  <si>
    <t>SIS</t>
  </si>
  <si>
    <t>SECOND INDUSTRY</t>
  </si>
  <si>
    <t>자기소개</t>
  </si>
  <si>
    <t>SIT</t>
  </si>
  <si>
    <t>SELF INTRODUCE</t>
  </si>
  <si>
    <t>크기</t>
  </si>
  <si>
    <t>SIZ</t>
  </si>
  <si>
    <t>SIZE</t>
  </si>
  <si>
    <t>동업종사</t>
  </si>
  <si>
    <t>SJB</t>
  </si>
  <si>
    <t>SAME JOB</t>
  </si>
  <si>
    <t>소재</t>
  </si>
  <si>
    <t>SJE</t>
  </si>
  <si>
    <t>SOJE</t>
  </si>
  <si>
    <t>소재지</t>
  </si>
  <si>
    <t>SJJ</t>
  </si>
  <si>
    <t>SOJEJI</t>
  </si>
  <si>
    <t>소급</t>
  </si>
  <si>
    <t>SKB</t>
  </si>
  <si>
    <t>SOKUB</t>
  </si>
  <si>
    <t>수관점</t>
  </si>
  <si>
    <t>수관일</t>
  </si>
  <si>
    <t>SKD</t>
  </si>
  <si>
    <t>SUKAN DATE</t>
  </si>
  <si>
    <t>기능사</t>
  </si>
  <si>
    <t>SKH</t>
  </si>
  <si>
    <t>SKILLED HAND</t>
  </si>
  <si>
    <t>수관</t>
  </si>
  <si>
    <t>SKN</t>
  </si>
  <si>
    <t>SUKAN</t>
  </si>
  <si>
    <t>자기</t>
  </si>
  <si>
    <t>SLF</t>
  </si>
  <si>
    <t>SELF</t>
  </si>
  <si>
    <t>도매</t>
  </si>
  <si>
    <t>SLO</t>
  </si>
  <si>
    <t>SELL OUT</t>
  </si>
  <si>
    <t>봉급</t>
  </si>
  <si>
    <t>SLR</t>
  </si>
  <si>
    <t>SALARY</t>
  </si>
  <si>
    <t>소액</t>
  </si>
  <si>
    <t>SMA</t>
  </si>
  <si>
    <t>SMALL AMOUNT</t>
  </si>
  <si>
    <t>동월비</t>
  </si>
  <si>
    <t>SMC</t>
  </si>
  <si>
    <t>SAME MONTH CONTRAST</t>
  </si>
  <si>
    <t>과장</t>
  </si>
  <si>
    <t>SMG</t>
  </si>
  <si>
    <t>SECTION MANAGER</t>
  </si>
  <si>
    <t>요역명</t>
  </si>
  <si>
    <t>SMN</t>
  </si>
  <si>
    <t>SUMMATION NAME</t>
  </si>
  <si>
    <t>견본</t>
  </si>
  <si>
    <t>SMP</t>
  </si>
  <si>
    <t>SAMPLE</t>
  </si>
  <si>
    <t>시범</t>
  </si>
  <si>
    <t>요약서</t>
  </si>
  <si>
    <t>SMS</t>
  </si>
  <si>
    <t>SUMMATION SHEET</t>
  </si>
  <si>
    <t>상</t>
  </si>
  <si>
    <t>SNG</t>
  </si>
  <si>
    <t>SANG</t>
  </si>
  <si>
    <t>선임</t>
  </si>
  <si>
    <t>SNR</t>
  </si>
  <si>
    <t>SENIOR</t>
  </si>
  <si>
    <t>소</t>
  </si>
  <si>
    <t>SOH</t>
  </si>
  <si>
    <t>SO</t>
  </si>
  <si>
    <t>우수리</t>
  </si>
  <si>
    <t>SPA</t>
  </si>
  <si>
    <t>SPHARE</t>
  </si>
  <si>
    <t>발급점</t>
  </si>
  <si>
    <t>SPB</t>
  </si>
  <si>
    <t>SUPPLY BRANCH</t>
  </si>
  <si>
    <t>특화산업</t>
  </si>
  <si>
    <t>명세</t>
  </si>
  <si>
    <t>SPC</t>
  </si>
  <si>
    <t>specific</t>
  </si>
  <si>
    <t>기산</t>
  </si>
  <si>
    <t>SPD</t>
  </si>
  <si>
    <t>START POINT FOR CALCULATE</t>
  </si>
  <si>
    <t>기준일</t>
  </si>
  <si>
    <t>발급일</t>
  </si>
  <si>
    <t>특기</t>
  </si>
  <si>
    <t>SPE</t>
  </si>
  <si>
    <t>SPECIALITY</t>
  </si>
  <si>
    <t>특정</t>
  </si>
  <si>
    <t>특휴</t>
  </si>
  <si>
    <t>SPH</t>
  </si>
  <si>
    <t>SPECAIL HOLIDAY</t>
  </si>
  <si>
    <t>특별</t>
  </si>
  <si>
    <t>SPI</t>
  </si>
  <si>
    <t>SPECIAL</t>
  </si>
  <si>
    <t>특수</t>
  </si>
  <si>
    <t>공급</t>
  </si>
  <si>
    <t>SPL</t>
  </si>
  <si>
    <t>발급</t>
  </si>
  <si>
    <t>특약</t>
  </si>
  <si>
    <t>SPM</t>
  </si>
  <si>
    <t>SPECIAL PROMISE</t>
  </si>
  <si>
    <t>유치자</t>
  </si>
  <si>
    <t>SPN</t>
  </si>
  <si>
    <t>SPONSER</t>
  </si>
  <si>
    <t>주최</t>
  </si>
  <si>
    <t>주최자</t>
  </si>
  <si>
    <t>현장</t>
  </si>
  <si>
    <t>SPO</t>
  </si>
  <si>
    <t>SPOT</t>
  </si>
  <si>
    <t>특허권</t>
  </si>
  <si>
    <t>SPR</t>
  </si>
  <si>
    <t>SHEET PRICE</t>
  </si>
  <si>
    <t>특허</t>
  </si>
  <si>
    <t>SPS</t>
  </si>
  <si>
    <t>SPECIAL LICENSE</t>
  </si>
  <si>
    <t>정보원</t>
  </si>
  <si>
    <t>SPY</t>
  </si>
  <si>
    <t>특화</t>
  </si>
  <si>
    <t>SPZ</t>
  </si>
  <si>
    <t>SPECIALIZE</t>
  </si>
  <si>
    <t>순번</t>
  </si>
  <si>
    <t>SQN</t>
  </si>
  <si>
    <t>순차</t>
  </si>
  <si>
    <t>순차구분</t>
  </si>
  <si>
    <t>순차번호</t>
  </si>
  <si>
    <t>연번</t>
  </si>
  <si>
    <t>일련</t>
  </si>
  <si>
    <t>일련번호</t>
  </si>
  <si>
    <t>SEQ</t>
  </si>
  <si>
    <t>제곱</t>
  </si>
  <si>
    <t>SQU</t>
  </si>
  <si>
    <t>SQUARE</t>
  </si>
  <si>
    <t>잉여금</t>
  </si>
  <si>
    <t>SRA</t>
  </si>
  <si>
    <t>SURPLUS AMOUNT</t>
  </si>
  <si>
    <t>주위</t>
  </si>
  <si>
    <t>SRD</t>
  </si>
  <si>
    <t>SURROUNDINGS</t>
  </si>
  <si>
    <t>전략</t>
  </si>
  <si>
    <t>SRG</t>
  </si>
  <si>
    <t>STRATEGY</t>
  </si>
  <si>
    <t>여유</t>
  </si>
  <si>
    <t>SRP</t>
  </si>
  <si>
    <t>SURPLUS</t>
  </si>
  <si>
    <t>보증인</t>
  </si>
  <si>
    <t>SRT</t>
  </si>
  <si>
    <t>제공품재고액</t>
  </si>
  <si>
    <t>SSA</t>
  </si>
  <si>
    <t>SUPPLY STOCK AMOUT</t>
  </si>
  <si>
    <t>세사업</t>
  </si>
  <si>
    <t>SSAUB</t>
  </si>
  <si>
    <t>세세분류</t>
  </si>
  <si>
    <t>SSB</t>
  </si>
  <si>
    <t>SESE BUNRU</t>
  </si>
  <si>
    <t>세세</t>
  </si>
  <si>
    <t>SSE</t>
  </si>
  <si>
    <t>세세항</t>
  </si>
  <si>
    <t>SSHAG</t>
  </si>
  <si>
    <t>제공품재고</t>
  </si>
  <si>
    <t>SSK</t>
  </si>
  <si>
    <t>SUPPLY STOCK</t>
  </si>
  <si>
    <t>소계</t>
  </si>
  <si>
    <t>SSM</t>
  </si>
  <si>
    <t>SMALL SUM</t>
  </si>
  <si>
    <t>소구분</t>
  </si>
  <si>
    <t>SSP</t>
  </si>
  <si>
    <t>SMALL SEPARATE</t>
  </si>
  <si>
    <t>결산</t>
  </si>
  <si>
    <t>STA</t>
  </si>
  <si>
    <t>재고액</t>
  </si>
  <si>
    <t>제고액</t>
  </si>
  <si>
    <t>공고</t>
  </si>
  <si>
    <t>STB</t>
  </si>
  <si>
    <t>STABILITY</t>
  </si>
  <si>
    <t>저장</t>
  </si>
  <si>
    <t>STC</t>
  </si>
  <si>
    <t>STOCK</t>
  </si>
  <si>
    <t>주식</t>
  </si>
  <si>
    <t>표준</t>
  </si>
  <si>
    <t>STD</t>
  </si>
  <si>
    <t>STANDARD</t>
  </si>
  <si>
    <t>확정일</t>
  </si>
  <si>
    <t>확정</t>
  </si>
  <si>
    <t>STE</t>
  </si>
  <si>
    <t>증권</t>
  </si>
  <si>
    <t>STK</t>
  </si>
  <si>
    <t>STOCKS</t>
  </si>
  <si>
    <t>상황</t>
  </si>
  <si>
    <t>STM</t>
  </si>
  <si>
    <t>STATEMENT</t>
  </si>
  <si>
    <t>판매처</t>
  </si>
  <si>
    <t>STO</t>
  </si>
  <si>
    <t>SALE TO</t>
  </si>
  <si>
    <t>결제</t>
  </si>
  <si>
    <t>STP</t>
  </si>
  <si>
    <t>SETTLE UP</t>
  </si>
  <si>
    <t>시작</t>
  </si>
  <si>
    <t>STR</t>
  </si>
  <si>
    <t>출발</t>
  </si>
  <si>
    <t>상태</t>
  </si>
  <si>
    <t>STS</t>
  </si>
  <si>
    <t>STATUS</t>
  </si>
  <si>
    <t>통계</t>
  </si>
  <si>
    <t>개시</t>
  </si>
  <si>
    <t>STT</t>
  </si>
  <si>
    <t>START TIME</t>
  </si>
  <si>
    <t>학생</t>
  </si>
  <si>
    <t>STU</t>
  </si>
  <si>
    <t>STUDENT</t>
  </si>
  <si>
    <t>착수</t>
  </si>
  <si>
    <t>STW</t>
  </si>
  <si>
    <t>START WORK</t>
  </si>
  <si>
    <t>형식</t>
  </si>
  <si>
    <t>STY</t>
  </si>
  <si>
    <t>STYLE</t>
  </si>
  <si>
    <t>대체액</t>
  </si>
  <si>
    <t>SUA</t>
  </si>
  <si>
    <t>SUBSITUTION AMOUNT</t>
  </si>
  <si>
    <t>차감</t>
  </si>
  <si>
    <t>SUB</t>
  </si>
  <si>
    <t>SUBTRACTION</t>
  </si>
  <si>
    <t>성공</t>
  </si>
  <si>
    <t>SUC</t>
  </si>
  <si>
    <t>SUCCEED</t>
  </si>
  <si>
    <t>지도</t>
  </si>
  <si>
    <t>SUD</t>
  </si>
  <si>
    <t>GUIDANCE</t>
  </si>
  <si>
    <t>제소</t>
  </si>
  <si>
    <t>SUE</t>
  </si>
  <si>
    <t>서울</t>
  </si>
  <si>
    <t>SUL</t>
  </si>
  <si>
    <t>SEOUL</t>
  </si>
  <si>
    <t>합계</t>
  </si>
  <si>
    <t>SUM</t>
  </si>
  <si>
    <t>합계액</t>
  </si>
  <si>
    <t>선</t>
  </si>
  <si>
    <t>SUN</t>
  </si>
  <si>
    <t>순</t>
  </si>
  <si>
    <t>매입처</t>
  </si>
  <si>
    <t>SUP</t>
  </si>
  <si>
    <t>SUPPLIER</t>
  </si>
  <si>
    <t>차감금액</t>
  </si>
  <si>
    <t>SUT</t>
  </si>
  <si>
    <t>SUB AMT</t>
  </si>
  <si>
    <t>산업계</t>
  </si>
  <si>
    <t>SUY</t>
  </si>
  <si>
    <t>SANUPGYE</t>
  </si>
  <si>
    <t>용역명</t>
  </si>
  <si>
    <t>SVN</t>
  </si>
  <si>
    <t>SERVICE NAME</t>
  </si>
  <si>
    <t>봉사</t>
  </si>
  <si>
    <t>SVS</t>
  </si>
  <si>
    <t>SERVICE</t>
  </si>
  <si>
    <t>잔존</t>
  </si>
  <si>
    <t>SVV</t>
  </si>
  <si>
    <t>SURVIVAL</t>
  </si>
  <si>
    <t>착수금</t>
  </si>
  <si>
    <t>SWA</t>
  </si>
  <si>
    <t>STARTING AMOUNT</t>
  </si>
  <si>
    <t>심볼</t>
  </si>
  <si>
    <t>SYM</t>
  </si>
  <si>
    <t>SYMBOL</t>
  </si>
  <si>
    <t>차감여부</t>
  </si>
  <si>
    <t>SYN</t>
  </si>
  <si>
    <t>SUBTRACT YN</t>
  </si>
  <si>
    <t>발급자</t>
  </si>
  <si>
    <t>SYR</t>
  </si>
  <si>
    <t>SUPPLYER</t>
  </si>
  <si>
    <t>SYSTEM</t>
  </si>
  <si>
    <t>SYS</t>
  </si>
  <si>
    <t>압류</t>
  </si>
  <si>
    <t>SZR</t>
  </si>
  <si>
    <t>타발</t>
  </si>
  <si>
    <t>TAB</t>
  </si>
  <si>
    <t>TABAL</t>
  </si>
  <si>
    <t>양수일</t>
  </si>
  <si>
    <t>TAD</t>
  </si>
  <si>
    <t>TAKE DATE</t>
  </si>
  <si>
    <t>양수</t>
  </si>
  <si>
    <t>TAK</t>
  </si>
  <si>
    <t>TAKE</t>
  </si>
  <si>
    <t>총금액</t>
  </si>
  <si>
    <t>TAM</t>
  </si>
  <si>
    <t>TOTAL AMOUNT</t>
  </si>
  <si>
    <t>대상자</t>
  </si>
  <si>
    <t>TAR</t>
  </si>
  <si>
    <t>TARGET</t>
  </si>
  <si>
    <t>총자산</t>
  </si>
  <si>
    <t>TAS</t>
  </si>
  <si>
    <t>TOTAL ASSET</t>
  </si>
  <si>
    <t>총평점</t>
  </si>
  <si>
    <t>TAV</t>
  </si>
  <si>
    <t>TOTAL AVERAGE</t>
  </si>
  <si>
    <t>세</t>
  </si>
  <si>
    <t>TAX</t>
  </si>
  <si>
    <t>세금</t>
  </si>
  <si>
    <t>세무</t>
  </si>
  <si>
    <t>타배당</t>
  </si>
  <si>
    <t>TBD</t>
  </si>
  <si>
    <t>TABEDANG</t>
  </si>
  <si>
    <t>TBI</t>
  </si>
  <si>
    <t>취급점</t>
  </si>
  <si>
    <t>TBR</t>
  </si>
  <si>
    <t>TREAT BRANCH</t>
  </si>
  <si>
    <t>기술응용</t>
  </si>
  <si>
    <t>TCA</t>
  </si>
  <si>
    <t>TECHNOLOGY APPLICATION</t>
  </si>
  <si>
    <t>기술공인</t>
  </si>
  <si>
    <t>TCC</t>
  </si>
  <si>
    <t>TECHNOLOGY CERTIFICATION</t>
  </si>
  <si>
    <t>기술인증</t>
  </si>
  <si>
    <t>기술개발</t>
  </si>
  <si>
    <t>TCD</t>
  </si>
  <si>
    <t>TECHNOLOGY DEVELOP</t>
  </si>
  <si>
    <t>기술사</t>
  </si>
  <si>
    <t>TCE</t>
  </si>
  <si>
    <t>TECHNICAL ENGINEER</t>
  </si>
  <si>
    <t>기술자금</t>
  </si>
  <si>
    <t>TCF</t>
  </si>
  <si>
    <t>TECHNICAL FUND</t>
  </si>
  <si>
    <t>기술지도</t>
  </si>
  <si>
    <t>TCG</t>
  </si>
  <si>
    <t>TECHNOLOGY GUIDANCE</t>
  </si>
  <si>
    <t>기술도입</t>
  </si>
  <si>
    <t>TCI</t>
  </si>
  <si>
    <t>TECHNOLOGY INPORT</t>
  </si>
  <si>
    <t>기술대출</t>
  </si>
  <si>
    <t>TCL</t>
  </si>
  <si>
    <t>TECHNOLOGY LOAN</t>
  </si>
  <si>
    <t>기술완성도</t>
  </si>
  <si>
    <t>TCM</t>
  </si>
  <si>
    <t>TECHNICAL COMPLETION</t>
  </si>
  <si>
    <t>기술제휴</t>
  </si>
  <si>
    <t>TCN</t>
  </si>
  <si>
    <t>TECHNOLOGY CONCORD</t>
  </si>
  <si>
    <t>기술력</t>
  </si>
  <si>
    <t>TCP</t>
  </si>
  <si>
    <t>TECHNICAL POWER</t>
  </si>
  <si>
    <t>기술우대</t>
  </si>
  <si>
    <t>TCR</t>
  </si>
  <si>
    <t>TECHNOLOGY COURTESY</t>
  </si>
  <si>
    <t>기술검토서</t>
  </si>
  <si>
    <t>TCS</t>
  </si>
  <si>
    <t>TECHNOLOGY SHEET</t>
  </si>
  <si>
    <t>기술난이도</t>
  </si>
  <si>
    <t>TCT</t>
  </si>
  <si>
    <t>TECHNOLOGY DIFFICULT DEGREE</t>
  </si>
  <si>
    <t>기술가치</t>
  </si>
  <si>
    <t>TCV</t>
  </si>
  <si>
    <t>TECHNOLOGY VALUE</t>
  </si>
  <si>
    <t>기술성</t>
  </si>
  <si>
    <t>TCY</t>
  </si>
  <si>
    <t xml:space="preserve">TECHNICALITY </t>
  </si>
  <si>
    <t>전전기</t>
  </si>
  <si>
    <t>TDB</t>
  </si>
  <si>
    <t>TWO DAYS BEFORE PERIOD</t>
  </si>
  <si>
    <t>금일</t>
  </si>
  <si>
    <t>TDD</t>
  </si>
  <si>
    <t>THIS DAY</t>
  </si>
  <si>
    <t>전송일</t>
  </si>
  <si>
    <t>TDE</t>
  </si>
  <si>
    <t>TRANSFER DATE</t>
  </si>
  <si>
    <t>기술</t>
  </si>
  <si>
    <t>TEC</t>
  </si>
  <si>
    <t>TECHNOLOGY</t>
  </si>
  <si>
    <t>연락처</t>
  </si>
  <si>
    <t>TEL</t>
  </si>
  <si>
    <t>전화</t>
  </si>
  <si>
    <t>단말</t>
  </si>
  <si>
    <t>TEM</t>
  </si>
  <si>
    <t>TEMINAL</t>
  </si>
  <si>
    <t>팀</t>
  </si>
  <si>
    <t>단말명</t>
  </si>
  <si>
    <t>TEN</t>
  </si>
  <si>
    <t>TEMINAL NAME</t>
  </si>
  <si>
    <t>종평</t>
  </si>
  <si>
    <t>TES</t>
  </si>
  <si>
    <t>기술평가</t>
  </si>
  <si>
    <t>TEV</t>
  </si>
  <si>
    <t>TECHNOLOGY EVALUATION</t>
  </si>
  <si>
    <t>기평</t>
  </si>
  <si>
    <t>검수</t>
  </si>
  <si>
    <t>TFA</t>
  </si>
  <si>
    <t>TESTIFY FOR ACCEPT</t>
  </si>
  <si>
    <t>총보증</t>
  </si>
  <si>
    <t>TGR</t>
  </si>
  <si>
    <t>TOTAL GR</t>
  </si>
  <si>
    <t>일괄</t>
  </si>
  <si>
    <t>TGT</t>
  </si>
  <si>
    <t>TOGETHER</t>
  </si>
  <si>
    <t>퇴결</t>
  </si>
  <si>
    <t>TGY</t>
  </si>
  <si>
    <t>TEIGYEL</t>
  </si>
  <si>
    <t>천불</t>
  </si>
  <si>
    <t>THD</t>
  </si>
  <si>
    <t>THOUSAND DOLLAR</t>
  </si>
  <si>
    <t>천원</t>
  </si>
  <si>
    <t>THW</t>
  </si>
  <si>
    <t>THOUSAND WON</t>
  </si>
  <si>
    <t>외상</t>
  </si>
  <si>
    <t>TIC</t>
  </si>
  <si>
    <t>TICK</t>
  </si>
  <si>
    <t>TI</t>
  </si>
  <si>
    <t>TII</t>
  </si>
  <si>
    <t>시각</t>
  </si>
  <si>
    <t>TIM</t>
  </si>
  <si>
    <t>시간</t>
  </si>
  <si>
    <t>시기</t>
  </si>
  <si>
    <t>총입력</t>
  </si>
  <si>
    <t>TIP</t>
  </si>
  <si>
    <t>TOTAL INPUT</t>
  </si>
  <si>
    <t>통장</t>
  </si>
  <si>
    <t>TJN</t>
  </si>
  <si>
    <t>TONGJANG</t>
  </si>
  <si>
    <t>전화번호</t>
  </si>
  <si>
    <t>TLN</t>
  </si>
  <si>
    <t>TELEPHONE NUMBER</t>
  </si>
  <si>
    <t>총차입</t>
  </si>
  <si>
    <t>TLO</t>
  </si>
  <si>
    <t>TOTAL LOAN</t>
  </si>
  <si>
    <t>팀장</t>
  </si>
  <si>
    <t>TMB</t>
  </si>
  <si>
    <t>TEAM BOSS</t>
  </si>
  <si>
    <t>금월말</t>
  </si>
  <si>
    <t>TME</t>
  </si>
  <si>
    <t>THIS MONTH END</t>
  </si>
  <si>
    <t>금월</t>
  </si>
  <si>
    <t>TMM</t>
  </si>
  <si>
    <t>THIS MONTH</t>
  </si>
  <si>
    <t>팀명</t>
  </si>
  <si>
    <t>TMN</t>
  </si>
  <si>
    <t>TEAM NAME</t>
  </si>
  <si>
    <t>한시</t>
  </si>
  <si>
    <t>TMT</t>
  </si>
  <si>
    <t>TEMPORY TIME</t>
  </si>
  <si>
    <t>실명</t>
  </si>
  <si>
    <t>TNA</t>
  </si>
  <si>
    <t>TRUTH NAME</t>
  </si>
  <si>
    <t>총제조원가</t>
  </si>
  <si>
    <t>TNC</t>
  </si>
  <si>
    <t>TOTAL NET COST</t>
  </si>
  <si>
    <t>추세</t>
  </si>
  <si>
    <t>TND</t>
  </si>
  <si>
    <t>TEND</t>
  </si>
  <si>
    <t>실명제</t>
  </si>
  <si>
    <t>TNP</t>
  </si>
  <si>
    <t>TRUTH NAME POLICY</t>
  </si>
  <si>
    <t>추이</t>
  </si>
  <si>
    <t>TNY</t>
  </si>
  <si>
    <t>TENDENCY</t>
  </si>
  <si>
    <t>TO</t>
  </si>
  <si>
    <t xml:space="preserve">TO </t>
  </si>
  <si>
    <t>응용</t>
  </si>
  <si>
    <t>TOA</t>
  </si>
  <si>
    <t>TO APPLY</t>
  </si>
  <si>
    <t>총자본</t>
  </si>
  <si>
    <t>TOC</t>
  </si>
  <si>
    <t>TOTAL CAPITAL</t>
  </si>
  <si>
    <t>읍면</t>
  </si>
  <si>
    <t>TOM</t>
  </si>
  <si>
    <t>TOWN MYEON</t>
  </si>
  <si>
    <t>총원</t>
  </si>
  <si>
    <t>TON</t>
  </si>
  <si>
    <t>TOTAL</t>
  </si>
  <si>
    <t>까지</t>
  </si>
  <si>
    <t>TOO</t>
  </si>
  <si>
    <t>여행원</t>
  </si>
  <si>
    <t>TOR</t>
  </si>
  <si>
    <t>TOUR</t>
  </si>
  <si>
    <t>읍면동리</t>
  </si>
  <si>
    <t>총</t>
  </si>
  <si>
    <t>TOT</t>
  </si>
  <si>
    <t>총계</t>
  </si>
  <si>
    <t>총액</t>
  </si>
  <si>
    <t>읍면동</t>
  </si>
  <si>
    <t>TOV</t>
  </si>
  <si>
    <t>TOWN MYEON VILLAGE</t>
  </si>
  <si>
    <t>일할</t>
  </si>
  <si>
    <t>TPC</t>
  </si>
  <si>
    <t>TEN PER CENT</t>
  </si>
  <si>
    <t>본인</t>
  </si>
  <si>
    <t>TPH</t>
  </si>
  <si>
    <t>거래액</t>
  </si>
  <si>
    <t>TRA</t>
  </si>
  <si>
    <t>TRANSACTION AMOUNT</t>
  </si>
  <si>
    <t>동향별</t>
  </si>
  <si>
    <t>취급액</t>
  </si>
  <si>
    <t>무역</t>
  </si>
  <si>
    <t>TRD</t>
  </si>
  <si>
    <t>TRADE</t>
  </si>
  <si>
    <t>취급일</t>
  </si>
  <si>
    <t>취급마감</t>
  </si>
  <si>
    <t>TRE</t>
  </si>
  <si>
    <t>TREAT END</t>
  </si>
  <si>
    <t>교통</t>
  </si>
  <si>
    <t>TRF</t>
  </si>
  <si>
    <t>TRAFFIC</t>
  </si>
  <si>
    <t>상표권</t>
  </si>
  <si>
    <t>TRG</t>
  </si>
  <si>
    <t>TRADEMARK RIGHT</t>
  </si>
  <si>
    <t>철도</t>
  </si>
  <si>
    <t>TRI</t>
  </si>
  <si>
    <t>TRAIN</t>
  </si>
  <si>
    <t>기간</t>
  </si>
  <si>
    <t>TRM</t>
  </si>
  <si>
    <t>거래</t>
  </si>
  <si>
    <t>TRN</t>
  </si>
  <si>
    <t>transaction</t>
  </si>
  <si>
    <t>이체</t>
  </si>
  <si>
    <t>TRANSACTION</t>
  </si>
  <si>
    <t>취급자</t>
  </si>
  <si>
    <t>TRR</t>
  </si>
  <si>
    <t>TREATER</t>
  </si>
  <si>
    <t>수탁</t>
  </si>
  <si>
    <t>TRS</t>
  </si>
  <si>
    <t>수탁용</t>
  </si>
  <si>
    <t>위탁</t>
  </si>
  <si>
    <t>취급</t>
  </si>
  <si>
    <t>TRT</t>
  </si>
  <si>
    <t>TREAT</t>
  </si>
  <si>
    <t>실용</t>
  </si>
  <si>
    <t>TRU</t>
  </si>
  <si>
    <t>TRUTH USE</t>
  </si>
  <si>
    <t>검사</t>
  </si>
  <si>
    <t>TSF</t>
  </si>
  <si>
    <t>TESTIFY</t>
  </si>
  <si>
    <t>이첩</t>
  </si>
  <si>
    <t>TSM</t>
  </si>
  <si>
    <t>TRANSMIT</t>
  </si>
  <si>
    <t>검증점</t>
  </si>
  <si>
    <t>TSP</t>
  </si>
  <si>
    <t>TEST POINT</t>
  </si>
  <si>
    <t>검증자</t>
  </si>
  <si>
    <t>TSR</t>
  </si>
  <si>
    <t>역자</t>
  </si>
  <si>
    <t>전도</t>
  </si>
  <si>
    <t>전송자</t>
  </si>
  <si>
    <t>검정</t>
  </si>
  <si>
    <t>TST</t>
  </si>
  <si>
    <t>고사</t>
  </si>
  <si>
    <t>시험</t>
  </si>
  <si>
    <t>통수</t>
  </si>
  <si>
    <t>TSU</t>
  </si>
  <si>
    <t>TONGSU</t>
  </si>
  <si>
    <t>당기전기</t>
  </si>
  <si>
    <t>TTB</t>
  </si>
  <si>
    <t>THIS TERM BEFORE</t>
  </si>
  <si>
    <t>총서</t>
  </si>
  <si>
    <t>당기처분전</t>
  </si>
  <si>
    <t>TTC</t>
  </si>
  <si>
    <t>THIS TERM CHEBUN</t>
  </si>
  <si>
    <t>전송시간</t>
  </si>
  <si>
    <t>TTE</t>
  </si>
  <si>
    <t>TRANSFER TIME</t>
  </si>
  <si>
    <t>당기제품</t>
  </si>
  <si>
    <t>TTG</t>
  </si>
  <si>
    <t>THIS TERM GOODS</t>
  </si>
  <si>
    <t>제목</t>
  </si>
  <si>
    <t>TTL</t>
  </si>
  <si>
    <t>TITLE</t>
  </si>
  <si>
    <t>당기차기</t>
  </si>
  <si>
    <t>TTN</t>
  </si>
  <si>
    <t>THIS TERM NEXT</t>
  </si>
  <si>
    <t>당기총</t>
  </si>
  <si>
    <t>TTS</t>
  </si>
  <si>
    <t>THIS TERM SUM</t>
  </si>
  <si>
    <t>특례</t>
  </si>
  <si>
    <t>TUK</t>
  </si>
  <si>
    <t>TUKRAE</t>
  </si>
  <si>
    <t>금주</t>
  </si>
  <si>
    <t>TWW</t>
  </si>
  <si>
    <t>THIS WEEK</t>
  </si>
  <si>
    <t>세액</t>
  </si>
  <si>
    <t>TXA</t>
  </si>
  <si>
    <t>TAX AMOUNT</t>
  </si>
  <si>
    <t>과세</t>
  </si>
  <si>
    <t>txd</t>
  </si>
  <si>
    <t>TAXED</t>
  </si>
  <si>
    <t>세차</t>
  </si>
  <si>
    <t>TXG</t>
  </si>
  <si>
    <t>TAX GAP</t>
  </si>
  <si>
    <t>세무서</t>
  </si>
  <si>
    <t>TXO</t>
  </si>
  <si>
    <t>TAX OFFICE</t>
  </si>
  <si>
    <t>납세</t>
  </si>
  <si>
    <t>TXP</t>
  </si>
  <si>
    <t>TAX PAY</t>
  </si>
  <si>
    <t>납세자</t>
  </si>
  <si>
    <t>TXR</t>
  </si>
  <si>
    <t>TAX PAYER</t>
  </si>
  <si>
    <t>세율</t>
  </si>
  <si>
    <t>과세표준</t>
  </si>
  <si>
    <t>TXS</t>
  </si>
  <si>
    <t>내역</t>
  </si>
  <si>
    <t>TXT</t>
  </si>
  <si>
    <t>내용</t>
  </si>
  <si>
    <t>본문</t>
  </si>
  <si>
    <t>적요</t>
  </si>
  <si>
    <t>주석</t>
  </si>
  <si>
    <t>특기사항</t>
  </si>
  <si>
    <t>비과세</t>
  </si>
  <si>
    <t>TXX</t>
  </si>
  <si>
    <t>TAXEXEMPT</t>
  </si>
  <si>
    <t>유형</t>
  </si>
  <si>
    <t>TYP</t>
  </si>
  <si>
    <t>형태</t>
  </si>
  <si>
    <t>금년</t>
  </si>
  <si>
    <t>TYY</t>
  </si>
  <si>
    <t>THIS YEAR</t>
  </si>
  <si>
    <t>미수</t>
  </si>
  <si>
    <t>UCA</t>
  </si>
  <si>
    <t>미수금</t>
  </si>
  <si>
    <t>이해</t>
  </si>
  <si>
    <t>UDS</t>
  </si>
  <si>
    <t>UNDERSTAND</t>
  </si>
  <si>
    <t>도급</t>
  </si>
  <si>
    <t>UDT</t>
  </si>
  <si>
    <t>어</t>
  </si>
  <si>
    <t>UHH</t>
  </si>
  <si>
    <t>UH</t>
  </si>
  <si>
    <t>USERID</t>
  </si>
  <si>
    <t>UID</t>
  </si>
  <si>
    <t>USER ID</t>
  </si>
  <si>
    <t>통합</t>
  </si>
  <si>
    <t>UNI</t>
  </si>
  <si>
    <t>UNION</t>
  </si>
  <si>
    <t>연합회</t>
  </si>
  <si>
    <t>UNN</t>
  </si>
  <si>
    <t>단위</t>
  </si>
  <si>
    <t>UNT</t>
  </si>
  <si>
    <t>UNIT</t>
  </si>
  <si>
    <t>대학</t>
  </si>
  <si>
    <t>UNV</t>
  </si>
  <si>
    <t>UNIVERSITY</t>
  </si>
  <si>
    <t>대학교</t>
  </si>
  <si>
    <t>미지급</t>
  </si>
  <si>
    <t>UPA</t>
  </si>
  <si>
    <t>UNPAID</t>
  </si>
  <si>
    <t>미지급금</t>
  </si>
  <si>
    <t>수정점</t>
  </si>
  <si>
    <t>UPB</t>
  </si>
  <si>
    <t>UDATE BRANCH</t>
  </si>
  <si>
    <t>업종코드</t>
  </si>
  <si>
    <t>UPC</t>
  </si>
  <si>
    <t>UPJONG CODE</t>
  </si>
  <si>
    <t>수정일</t>
  </si>
  <si>
    <t>UPD</t>
  </si>
  <si>
    <t>UPDATE DATE</t>
  </si>
  <si>
    <t>UPDATE일자</t>
  </si>
  <si>
    <t>미납</t>
  </si>
  <si>
    <t>UPI</t>
  </si>
  <si>
    <t>업종</t>
  </si>
  <si>
    <t>UPJ</t>
  </si>
  <si>
    <t>UPJONG</t>
  </si>
  <si>
    <t>상한선</t>
  </si>
  <si>
    <t>UPL</t>
  </si>
  <si>
    <t>UPPER LIMIT</t>
  </si>
  <si>
    <t>업무</t>
  </si>
  <si>
    <t>UPM</t>
  </si>
  <si>
    <t>UPMU</t>
  </si>
  <si>
    <t>법인명</t>
  </si>
  <si>
    <t>UPN</t>
  </si>
  <si>
    <t>상위</t>
  </si>
  <si>
    <t>UPP</t>
  </si>
  <si>
    <t>수정자</t>
  </si>
  <si>
    <t>UPR</t>
  </si>
  <si>
    <t>UPDATER</t>
  </si>
  <si>
    <t>업수</t>
  </si>
  <si>
    <t>UPS</t>
  </si>
  <si>
    <t>UPSU</t>
  </si>
  <si>
    <t>수정</t>
  </si>
  <si>
    <t>UPT</t>
  </si>
  <si>
    <t>UPDATE</t>
  </si>
  <si>
    <t>고유</t>
  </si>
  <si>
    <t>UQE</t>
  </si>
  <si>
    <t>UNIQUE</t>
  </si>
  <si>
    <t>URL</t>
  </si>
  <si>
    <t>사용</t>
  </si>
  <si>
    <t>USE</t>
  </si>
  <si>
    <t>활용도</t>
  </si>
  <si>
    <t>용도</t>
  </si>
  <si>
    <t>USG</t>
  </si>
  <si>
    <t>용도별</t>
  </si>
  <si>
    <t>USAGE</t>
  </si>
  <si>
    <t>운용</t>
  </si>
  <si>
    <t>이용</t>
  </si>
  <si>
    <t>사용동력</t>
  </si>
  <si>
    <t>USP</t>
  </si>
  <si>
    <t>USE POWER</t>
  </si>
  <si>
    <t>사용자</t>
  </si>
  <si>
    <t>USR</t>
  </si>
  <si>
    <t>USER</t>
  </si>
  <si>
    <t>이용자</t>
  </si>
  <si>
    <t>유산스</t>
  </si>
  <si>
    <t>USS</t>
  </si>
  <si>
    <t>USANSE</t>
  </si>
  <si>
    <t>부가</t>
  </si>
  <si>
    <t>VAD</t>
  </si>
  <si>
    <t>가치</t>
  </si>
  <si>
    <t>VAL</t>
  </si>
  <si>
    <t>값</t>
  </si>
  <si>
    <t>유효</t>
  </si>
  <si>
    <t>부가세</t>
  </si>
  <si>
    <t>VAT</t>
  </si>
  <si>
    <t>VALUE-ADDED TAX</t>
  </si>
  <si>
    <t>전무</t>
  </si>
  <si>
    <t>VCM</t>
  </si>
  <si>
    <t>VICE CHAIRMAN</t>
  </si>
  <si>
    <t>부지점장</t>
  </si>
  <si>
    <t>VDC</t>
  </si>
  <si>
    <t>VICE DEPART CHIEF</t>
  </si>
  <si>
    <t>선고</t>
  </si>
  <si>
    <t>거래처</t>
  </si>
  <si>
    <t>VEN</t>
  </si>
  <si>
    <t>VENDOR</t>
  </si>
  <si>
    <t>버전</t>
  </si>
  <si>
    <t>VER</t>
  </si>
  <si>
    <t>VERSION</t>
  </si>
  <si>
    <t>부부장</t>
  </si>
  <si>
    <t>VHF</t>
  </si>
  <si>
    <t>경유</t>
  </si>
  <si>
    <t>VIA</t>
  </si>
  <si>
    <t>다변화</t>
  </si>
  <si>
    <t>VIS</t>
  </si>
  <si>
    <t>DIVERSIFICATION</t>
  </si>
  <si>
    <t>검증</t>
  </si>
  <si>
    <t>VLD</t>
  </si>
  <si>
    <t>VALIDATION</t>
  </si>
  <si>
    <t>거래자</t>
  </si>
  <si>
    <t>VND</t>
  </si>
  <si>
    <t>벤처</t>
  </si>
  <si>
    <t>VNT</t>
  </si>
  <si>
    <t>VENTURE</t>
  </si>
  <si>
    <t>내국</t>
  </si>
  <si>
    <t>WAC</t>
  </si>
  <si>
    <t>WITHIN A COUNTRY</t>
  </si>
  <si>
    <t>임금</t>
  </si>
  <si>
    <t>WAG</t>
  </si>
  <si>
    <t>용수</t>
  </si>
  <si>
    <t>WAT</t>
  </si>
  <si>
    <t>WATER</t>
  </si>
  <si>
    <t>방안</t>
  </si>
  <si>
    <t>WAY</t>
  </si>
  <si>
    <t>위</t>
  </si>
  <si>
    <t>WEE</t>
  </si>
  <si>
    <t>악화</t>
  </si>
  <si>
    <t>WEK</t>
  </si>
  <si>
    <t>WEAKEN</t>
  </si>
  <si>
    <t>취약</t>
  </si>
  <si>
    <t>보증서</t>
  </si>
  <si>
    <t>WGT</t>
  </si>
  <si>
    <t>WRITTEN GUARANTEE</t>
  </si>
  <si>
    <t>입고</t>
  </si>
  <si>
    <t>WHS</t>
  </si>
  <si>
    <t>WAREHOUSING</t>
  </si>
  <si>
    <t>이내</t>
  </si>
  <si>
    <t>WIH</t>
  </si>
  <si>
    <t>WITHIN</t>
  </si>
  <si>
    <t>작업일</t>
  </si>
  <si>
    <t>WKD</t>
  </si>
  <si>
    <t>WORK DATE</t>
  </si>
  <si>
    <t>직장</t>
  </si>
  <si>
    <t>WKP</t>
  </si>
  <si>
    <t>WORK PLACE</t>
  </si>
  <si>
    <t>작업자</t>
  </si>
  <si>
    <t>WKR</t>
  </si>
  <si>
    <t>WORKER</t>
  </si>
  <si>
    <t>부녀자</t>
  </si>
  <si>
    <t>WMN</t>
  </si>
  <si>
    <t>WOMEN</t>
  </si>
  <si>
    <t>원화금</t>
  </si>
  <si>
    <t>WOA</t>
  </si>
  <si>
    <t>WONHWA AMOUNT</t>
  </si>
  <si>
    <t>원</t>
  </si>
  <si>
    <t>WON</t>
  </si>
  <si>
    <t>원화</t>
  </si>
  <si>
    <t>조업</t>
  </si>
  <si>
    <t>WOR</t>
  </si>
  <si>
    <t>WORK</t>
  </si>
  <si>
    <t>원심</t>
  </si>
  <si>
    <t>WOS</t>
  </si>
  <si>
    <t>WONSIM</t>
  </si>
  <si>
    <t>주의</t>
  </si>
  <si>
    <t>WOT</t>
  </si>
  <si>
    <t>WATCH OUT</t>
  </si>
  <si>
    <t>작성일</t>
  </si>
  <si>
    <t>WRD</t>
  </si>
  <si>
    <t>WRITE DATE</t>
  </si>
  <si>
    <t>출력일자</t>
  </si>
  <si>
    <t>필기</t>
  </si>
  <si>
    <t>WRE</t>
  </si>
  <si>
    <t>WRITTEN RECORD</t>
  </si>
  <si>
    <t>기록</t>
  </si>
  <si>
    <t>WRI</t>
  </si>
  <si>
    <t>작성</t>
  </si>
  <si>
    <t>근무</t>
  </si>
  <si>
    <t>WRK</t>
  </si>
  <si>
    <t>운전</t>
  </si>
  <si>
    <t>근무처</t>
  </si>
  <si>
    <t>WRP</t>
  </si>
  <si>
    <t>WORK DEPART</t>
  </si>
  <si>
    <t>근속</t>
  </si>
  <si>
    <t>기록자</t>
  </si>
  <si>
    <t>WRR</t>
  </si>
  <si>
    <t>WRITER</t>
  </si>
  <si>
    <t>작성자</t>
  </si>
  <si>
    <t>저자</t>
  </si>
  <si>
    <t>도소매</t>
  </si>
  <si>
    <t>WRS</t>
  </si>
  <si>
    <t>WHOLE AND RETALE SALE</t>
  </si>
  <si>
    <t>회수액</t>
  </si>
  <si>
    <t>WTA</t>
  </si>
  <si>
    <t>WITHDRAWAL AMOUNT</t>
  </si>
  <si>
    <t>일기예보</t>
  </si>
  <si>
    <t>WTF</t>
  </si>
  <si>
    <t>WEATHER FORECAST</t>
  </si>
  <si>
    <t>회수</t>
  </si>
  <si>
    <t>WTH</t>
  </si>
  <si>
    <t>WITHDRAWAL</t>
  </si>
  <si>
    <t>회수점</t>
  </si>
  <si>
    <t>WTP</t>
  </si>
  <si>
    <t>WITHDRAWER POINTER</t>
  </si>
  <si>
    <t>회수자</t>
  </si>
  <si>
    <t>WTR</t>
  </si>
  <si>
    <t xml:space="preserve">WITHDRAWER </t>
  </si>
  <si>
    <t>환차액</t>
  </si>
  <si>
    <t>XDA</t>
  </si>
  <si>
    <t>EXCHANGE DIFFER AMOUNT</t>
  </si>
  <si>
    <t>환차</t>
  </si>
  <si>
    <t>XGP</t>
  </si>
  <si>
    <t>EXCHANGE GAP</t>
  </si>
  <si>
    <t>환율</t>
  </si>
  <si>
    <t>XRT</t>
  </si>
  <si>
    <t>EXCHANGE RATE</t>
  </si>
  <si>
    <t>환율구분</t>
  </si>
  <si>
    <t>XYN</t>
  </si>
  <si>
    <t>EXCHANGE YN</t>
  </si>
  <si>
    <t>년일</t>
  </si>
  <si>
    <t>YAD</t>
  </si>
  <si>
    <t>YEAR AND DAY</t>
  </si>
  <si>
    <t>년평균</t>
  </si>
  <si>
    <t>YAV</t>
  </si>
  <si>
    <t>YEAR AVERAGE</t>
  </si>
  <si>
    <t>연평균</t>
  </si>
  <si>
    <t>연휴</t>
  </si>
  <si>
    <t>YEH</t>
  </si>
  <si>
    <t>YEAR HOLIDAY</t>
  </si>
  <si>
    <t>연도</t>
  </si>
  <si>
    <t>YER</t>
  </si>
  <si>
    <t xml:space="preserve">YEAR </t>
  </si>
  <si>
    <t>약관</t>
  </si>
  <si>
    <t>YKK</t>
  </si>
  <si>
    <t>YAKKAN</t>
  </si>
  <si>
    <t>약명</t>
  </si>
  <si>
    <t>YKN</t>
  </si>
  <si>
    <t>YAK NAME</t>
  </si>
  <si>
    <t>년월일</t>
  </si>
  <si>
    <t>YMD</t>
  </si>
  <si>
    <t>YEAR/MONTH/DAY</t>
  </si>
  <si>
    <t>년월차</t>
  </si>
  <si>
    <t>YMF</t>
  </si>
  <si>
    <t>YEAR MONTH DIFFERENCE</t>
  </si>
  <si>
    <t>여부</t>
  </si>
  <si>
    <t>YN</t>
  </si>
  <si>
    <t>년말</t>
  </si>
  <si>
    <t>YND</t>
  </si>
  <si>
    <t>YEARLY END</t>
  </si>
  <si>
    <t>연수</t>
  </si>
  <si>
    <t>YNM</t>
  </si>
  <si>
    <t>YEAR NUMBER</t>
  </si>
  <si>
    <t>외</t>
  </si>
  <si>
    <t>YOI</t>
  </si>
  <si>
    <t>요양</t>
  </si>
  <si>
    <t>YOY</t>
  </si>
  <si>
    <t>YOYANG</t>
  </si>
  <si>
    <t>유보</t>
  </si>
  <si>
    <t>YUB</t>
  </si>
  <si>
    <t>YUBO</t>
  </si>
  <si>
    <t>연</t>
  </si>
  <si>
    <t>YUN</t>
  </si>
  <si>
    <t>YEUN</t>
  </si>
  <si>
    <t>년도</t>
  </si>
  <si>
    <t>YY</t>
  </si>
  <si>
    <t>1년</t>
  </si>
  <si>
    <t>YY1</t>
  </si>
  <si>
    <t>1 YEAR</t>
  </si>
  <si>
    <t>년차</t>
  </si>
  <si>
    <t>YYF</t>
  </si>
  <si>
    <t>YEAR DIFFERENCE</t>
  </si>
  <si>
    <t>년월</t>
  </si>
  <si>
    <t>YYMM</t>
  </si>
  <si>
    <t>월초</t>
  </si>
  <si>
    <t>YYS</t>
  </si>
  <si>
    <t>YEAR START</t>
  </si>
  <si>
    <t>년</t>
  </si>
  <si>
    <t>YYY</t>
  </si>
  <si>
    <t>YEAR</t>
  </si>
  <si>
    <t>우편</t>
  </si>
  <si>
    <t>ZIP</t>
  </si>
  <si>
    <t>우편번호</t>
  </si>
  <si>
    <t>용어</t>
    <phoneticPr fontId="3" type="noConversion"/>
  </si>
  <si>
    <t>영문약어</t>
    <phoneticPr fontId="3" type="noConversion"/>
  </si>
  <si>
    <t>영문설명</t>
    <phoneticPr fontId="3" type="noConversion"/>
  </si>
  <si>
    <t>2CHA</t>
  </si>
  <si>
    <t>5JUM</t>
  </si>
  <si>
    <t>PRICE</t>
    <phoneticPr fontId="3" type="noConversion"/>
  </si>
  <si>
    <t>AMOUNT</t>
    <phoneticPr fontId="3" type="noConversion"/>
  </si>
  <si>
    <t>VALUE</t>
    <phoneticPr fontId="3" type="noConversion"/>
  </si>
  <si>
    <t>DEPRECIATION</t>
    <phoneticPr fontId="3" type="noConversion"/>
  </si>
  <si>
    <t>DEPRECIATION AMOUNT</t>
    <phoneticPr fontId="3" type="noConversion"/>
  </si>
  <si>
    <t>DECREMENT AMOUNT</t>
    <phoneticPr fontId="3" type="noConversion"/>
  </si>
  <si>
    <t>GUCHI</t>
  </si>
  <si>
    <t>COUNT</t>
    <phoneticPr fontId="3" type="noConversion"/>
  </si>
  <si>
    <t>TEST</t>
    <phoneticPr fontId="3" type="noConversion"/>
  </si>
  <si>
    <t>TESTER</t>
    <phoneticPr fontId="3" type="noConversion"/>
  </si>
  <si>
    <t>settlement of accounts</t>
    <phoneticPr fontId="3" type="noConversion"/>
  </si>
  <si>
    <t>VIA</t>
    <phoneticPr fontId="3" type="noConversion"/>
  </si>
  <si>
    <t>CALCULATION SHEET</t>
    <phoneticPr fontId="3" type="noConversion"/>
  </si>
  <si>
    <t>GEJWA</t>
    <phoneticPr fontId="3" type="noConversion"/>
  </si>
  <si>
    <t>CUSTOMER</t>
    <phoneticPr fontId="3" type="noConversion"/>
  </si>
  <si>
    <t>SUPPLY</t>
    <phoneticPr fontId="3" type="noConversion"/>
  </si>
  <si>
    <t>GENUS</t>
  </si>
  <si>
    <t>GENUS NAME</t>
    <phoneticPr fontId="3" type="noConversion"/>
  </si>
  <si>
    <t>TAX STANDARD</t>
    <phoneticPr fontId="3" type="noConversion"/>
  </si>
  <si>
    <t>GWAN</t>
    <phoneticPr fontId="3" type="noConversion"/>
  </si>
  <si>
    <t>RELATION</t>
    <phoneticPr fontId="3" type="noConversion"/>
  </si>
  <si>
    <t>RELATIVE</t>
    <phoneticPr fontId="3" type="noConversion"/>
  </si>
  <si>
    <t>MANAGEMENT</t>
    <phoneticPr fontId="3" type="noConversion"/>
  </si>
  <si>
    <t>MANAGEMENT CHANGE</t>
    <phoneticPr fontId="3" type="noConversion"/>
  </si>
  <si>
    <t>GRANTED</t>
    <phoneticPr fontId="3" type="noConversion"/>
  </si>
  <si>
    <t>GUBUN</t>
    <phoneticPr fontId="3" type="noConversion"/>
  </si>
  <si>
    <t>AREA</t>
    <phoneticPr fontId="3" type="noConversion"/>
  </si>
  <si>
    <t>NATION</t>
  </si>
  <si>
    <t>RGR</t>
    <phoneticPr fontId="3" type="noConversion"/>
  </si>
  <si>
    <t>CIRCULATION OF MONEY ORGANIZATION</t>
    <phoneticPr fontId="3" type="noConversion"/>
  </si>
  <si>
    <t>GIE</t>
    <phoneticPr fontId="3" type="noConversion"/>
  </si>
  <si>
    <t>TERM</t>
    <phoneticPr fontId="3" type="noConversion"/>
  </si>
  <si>
    <t>AGENCY</t>
    <phoneticPr fontId="3" type="noConversion"/>
  </si>
  <si>
    <t>FUND</t>
    <phoneticPr fontId="3" type="noConversion"/>
  </si>
  <si>
    <t>WRITE</t>
    <phoneticPr fontId="3" type="noConversion"/>
  </si>
  <si>
    <t>END OF TERM</t>
    <phoneticPr fontId="3" type="noConversion"/>
  </si>
  <si>
    <t>BASIS</t>
    <phoneticPr fontId="3" type="noConversion"/>
  </si>
  <si>
    <t>BASE LINE</t>
    <phoneticPr fontId="3" type="noConversion"/>
  </si>
  <si>
    <t>BASIC</t>
    <phoneticPr fontId="3" type="noConversion"/>
  </si>
  <si>
    <t>ETC</t>
    <phoneticPr fontId="3" type="noConversion"/>
  </si>
  <si>
    <t>DATE</t>
    <phoneticPr fontId="3" type="noConversion"/>
  </si>
  <si>
    <t>TEXT</t>
    <phoneticPr fontId="3" type="noConversion"/>
  </si>
  <si>
    <t>YEAR</t>
    <phoneticPr fontId="3" type="noConversion"/>
  </si>
  <si>
    <t>YEAR/MONTH</t>
    <phoneticPr fontId="3" type="noConversion"/>
  </si>
  <si>
    <t>NUGE</t>
    <phoneticPr fontId="3" type="noConversion"/>
  </si>
  <si>
    <t>ONE COMPANY</t>
  </si>
  <si>
    <t>DAMDANG</t>
    <phoneticPr fontId="3" type="noConversion"/>
  </si>
  <si>
    <t>DAMDANGJA</t>
    <phoneticPr fontId="3" type="noConversion"/>
  </si>
  <si>
    <t>party discipline</t>
  </si>
  <si>
    <t>CURRENT ACCOUNT</t>
    <phoneticPr fontId="3" type="noConversion"/>
  </si>
  <si>
    <t>BEGINNING</t>
    <phoneticPr fontId="3" type="noConversion"/>
  </si>
  <si>
    <t>DAE</t>
    <phoneticPr fontId="3" type="noConversion"/>
  </si>
  <si>
    <t>DAEBYUN</t>
    <phoneticPr fontId="3" type="noConversion"/>
  </si>
  <si>
    <t>DAEBYUN JUGE</t>
    <phoneticPr fontId="3" type="noConversion"/>
  </si>
  <si>
    <t>PLAN OF COUNTERMOVE</t>
    <phoneticPr fontId="3" type="noConversion"/>
  </si>
  <si>
    <t>DAECHE</t>
    <phoneticPr fontId="3" type="noConversion"/>
  </si>
  <si>
    <t>under taking</t>
    <phoneticPr fontId="3" type="noConversion"/>
  </si>
  <si>
    <t>RANK</t>
    <phoneticPr fontId="3" type="noConversion"/>
  </si>
  <si>
    <t>RATE</t>
    <phoneticPr fontId="3" type="noConversion"/>
  </si>
  <si>
    <t>END WORK</t>
    <phoneticPr fontId="3" type="noConversion"/>
  </si>
  <si>
    <t>expiration of term</t>
    <phoneticPr fontId="3" type="noConversion"/>
  </si>
  <si>
    <t>SALE</t>
    <phoneticPr fontId="3" type="noConversion"/>
  </si>
  <si>
    <t>NAME</t>
    <phoneticPr fontId="3" type="noConversion"/>
  </si>
  <si>
    <t>COMMAND</t>
    <phoneticPr fontId="3" type="noConversion"/>
  </si>
  <si>
    <t>MOK</t>
    <phoneticPr fontId="3" type="noConversion"/>
  </si>
  <si>
    <t>OBJECT</t>
    <phoneticPr fontId="3" type="noConversion"/>
  </si>
  <si>
    <t>GOODS</t>
    <phoneticPr fontId="3" type="noConversion"/>
  </si>
  <si>
    <t>ARTICLES</t>
  </si>
  <si>
    <t>MEE</t>
    <phoneticPr fontId="3" type="noConversion"/>
  </si>
  <si>
    <t>uncollected AMOUNT</t>
    <phoneticPr fontId="3" type="noConversion"/>
  </si>
  <si>
    <t>START POINT DATE</t>
    <phoneticPr fontId="3" type="noConversion"/>
  </si>
  <si>
    <t>OFFICIAL ORDER</t>
  </si>
  <si>
    <t>OCCUR</t>
  </si>
  <si>
    <t>DEPARTMENT</t>
    <phoneticPr fontId="3" type="noConversion"/>
  </si>
  <si>
    <t>PROPosal JA</t>
    <phoneticPr fontId="3" type="noConversion"/>
  </si>
  <si>
    <t>ISSUE</t>
    <phoneticPr fontId="3" type="noConversion"/>
  </si>
  <si>
    <t>METHOD</t>
    <phoneticPr fontId="3" type="noConversion"/>
  </si>
  <si>
    <t>BAEJUNG</t>
    <phoneticPr fontId="3" type="noConversion"/>
  </si>
  <si>
    <t>BAEJUNG NUGE</t>
    <phoneticPr fontId="3" type="noConversion"/>
  </si>
  <si>
    <t>NUMBER</t>
    <phoneticPr fontId="3" type="noConversion"/>
  </si>
  <si>
    <t>BUPIN</t>
    <phoneticPr fontId="3" type="noConversion"/>
  </si>
  <si>
    <t>BUPIN NAME</t>
    <phoneticPr fontId="3" type="noConversion"/>
  </si>
  <si>
    <t>BUPIN CARD</t>
    <phoneticPr fontId="3" type="noConversion"/>
  </si>
  <si>
    <t>THE PERSON HIMSELF</t>
  </si>
  <si>
    <t>ORIGINAL DOMICILE</t>
  </si>
  <si>
    <t>부양</t>
  </si>
  <si>
    <t>소유물</t>
  </si>
  <si>
    <t>INSPECTION</t>
  </si>
  <si>
    <t>SEIZURE</t>
  </si>
  <si>
    <t>FIRST OF ALL</t>
  </si>
  <si>
    <t>MONTHLY DEFINE</t>
  </si>
  <si>
    <t>INCREASE</t>
  </si>
  <si>
    <t>MOVE IN</t>
  </si>
  <si>
    <t>QUALIFICATIN</t>
  </si>
  <si>
    <t>잔액계</t>
  </si>
  <si>
    <t>JANGOEJA</t>
  </si>
  <si>
    <t>ARRANGE DAY</t>
  </si>
  <si>
    <t>제공</t>
  </si>
  <si>
    <t>진척</t>
  </si>
  <si>
    <t>OBLIGATORY RIGHT</t>
  </si>
  <si>
    <t>RETIREMENT</t>
  </si>
  <si>
    <t>피</t>
  </si>
  <si>
    <t>SCHOOLING</t>
  </si>
  <si>
    <t>RELEASE</t>
  </si>
  <si>
    <t>BSPL</t>
  </si>
  <si>
    <t>IR52</t>
  </si>
  <si>
    <t>IR5</t>
  </si>
  <si>
    <t>대여</t>
    <phoneticPr fontId="1" type="noConversion"/>
  </si>
  <si>
    <t>이름5</t>
    <phoneticPr fontId="1" type="noConversion"/>
  </si>
  <si>
    <t>이름7</t>
    <phoneticPr fontId="1" type="noConversion"/>
  </si>
  <si>
    <t>이름8</t>
    <phoneticPr fontId="1" type="noConversion"/>
  </si>
  <si>
    <t>이름6</t>
    <phoneticPr fontId="1" type="noConversion"/>
  </si>
  <si>
    <t>물품</t>
    <phoneticPr fontId="1" type="noConversion"/>
  </si>
  <si>
    <t>용어명</t>
    <phoneticPr fontId="1" type="noConversion"/>
  </si>
  <si>
    <t>영문축약</t>
    <phoneticPr fontId="1" type="noConversion"/>
  </si>
  <si>
    <t>등록일자</t>
    <phoneticPr fontId="1" type="noConversion"/>
  </si>
  <si>
    <t>오늘</t>
    <phoneticPr fontId="1" type="noConversion"/>
  </si>
  <si>
    <t>순번</t>
    <phoneticPr fontId="1" type="noConversion"/>
  </si>
  <si>
    <t>중요</t>
    <phoneticPr fontId="1" type="noConversion"/>
  </si>
  <si>
    <t>일반</t>
    <phoneticPr fontId="1" type="noConversion"/>
  </si>
  <si>
    <t>리스물품</t>
    <phoneticPr fontId="1" type="noConversion"/>
  </si>
  <si>
    <t>자산</t>
    <phoneticPr fontId="1" type="noConversion"/>
  </si>
  <si>
    <t>구분</t>
    <phoneticPr fontId="1" type="noConversion"/>
  </si>
  <si>
    <t>자산</t>
    <phoneticPr fontId="1" type="noConversion"/>
  </si>
  <si>
    <t>ASSET</t>
    <phoneticPr fontId="1" type="noConversion"/>
  </si>
  <si>
    <t>자산구분</t>
    <phoneticPr fontId="1" type="noConversion"/>
  </si>
  <si>
    <t>-</t>
    <phoneticPr fontId="1" type="noConversion"/>
  </si>
  <si>
    <t>설명</t>
    <phoneticPr fontId="1" type="noConversion"/>
  </si>
  <si>
    <t>인사</t>
    <phoneticPr fontId="1" type="noConversion"/>
  </si>
  <si>
    <t>HMA145AA</t>
    <phoneticPr fontId="1" type="noConversion"/>
  </si>
  <si>
    <t>근무경력관리</t>
  </si>
  <si>
    <t>프로그램</t>
    <phoneticPr fontId="1" type="noConversion"/>
  </si>
  <si>
    <t>▶▶▶▶</t>
    <phoneticPr fontId="1" type="noConversion"/>
  </si>
  <si>
    <t>리스물품관리</t>
  </si>
  <si>
    <t>AMA601AA</t>
  </si>
  <si>
    <t>리스물품 자산에서 조회되게.</t>
    <phoneticPr fontId="1" type="noConversion"/>
  </si>
  <si>
    <t>작업번호</t>
    <phoneticPr fontId="1" type="noConversion"/>
  </si>
  <si>
    <t>형상관리 자동화 기능 구현. ( 개발 서버 적용 )</t>
  </si>
  <si>
    <t>-</t>
    <phoneticPr fontId="1" type="noConversion"/>
  </si>
  <si>
    <t>리포트 서버 인코딩 에러 조치</t>
  </si>
  <si>
    <t>HMA620AS</t>
  </si>
  <si>
    <t>AMA210AS</t>
  </si>
  <si>
    <t>AMA280AS</t>
  </si>
  <si>
    <t>AMA290AS</t>
  </si>
  <si>
    <t>차량운반구대장 조회 조건 추가
   - 리스물품 ( 리스포함,리스제외)</t>
    <phoneticPr fontId="1" type="noConversion"/>
  </si>
  <si>
    <t>공기구비품대장 조회 조건 추가
   - 리스물품 ( 리스포함,리스제외)</t>
    <phoneticPr fontId="1" type="noConversion"/>
  </si>
  <si>
    <t>부외자산대장   조회 조건 추가
   - 리스물품 ( 리스포함,리스제외)</t>
    <phoneticPr fontId="1" type="noConversion"/>
  </si>
  <si>
    <t>인사카드</t>
  </si>
  <si>
    <t>HMA010RP1</t>
  </si>
  <si>
    <t>인사카드(HMA010RP1.rex) 사진 출력</t>
  </si>
  <si>
    <t>svn 셋팅.</t>
  </si>
  <si>
    <t>로컬환경 및 개발서버 셋팅</t>
    <phoneticPr fontId="1" type="noConversion"/>
  </si>
  <si>
    <t>신규구분</t>
    <phoneticPr fontId="1" type="noConversion"/>
  </si>
  <si>
    <t>작업일수</t>
    <phoneticPr fontId="1" type="noConversion"/>
  </si>
  <si>
    <t># 순번조정기능 추가
- 근무경력관리 ( HMA145AA )                     
    - 순번조정기능 추가                         
        -&gt; 추가버튼 옆에 위로, 아래로 버튼 추가 
    - hma.xml 조회 &amp; 수정 쿼리 수정.            
        - Hma145aa_getSearchResult              
        - Hma145aa_updateData</t>
    <phoneticPr fontId="1" type="noConversion"/>
  </si>
  <si>
    <t xml:space="preserve">- 등록항목 추가 : 자산구분코드(AMA300TB.AST_MGI)
- 신규 추가시 수량만큼의 리스트물품을 자동으로 생성되게.
   -&gt; hrdmis.am.ama.Ama210as.java
- 조회조건 추가
  1. 자산구분
  2. 물품명
</t>
    <phoneticPr fontId="1" type="noConversion"/>
  </si>
  <si>
    <t>그룹</t>
    <phoneticPr fontId="1" type="noConversion"/>
  </si>
  <si>
    <t>리스물품관리</t>
    <phoneticPr fontId="1" type="noConversion"/>
  </si>
  <si>
    <t>개인별근무기간조회</t>
  </si>
  <si>
    <t>각종조회</t>
    <phoneticPr fontId="1" type="noConversion"/>
  </si>
  <si>
    <t xml:space="preserve"># 검색기간 조회조건 오류 ( Hmb470as_getSearchResult )    
  변경전 : ELSE SF_FIND_OFO_DAT(B.JKN, B.OFO_DAT, B.SQN)  
  ▼▼▼▼▼▼▼▼▼▼▼▼▼▼▼▼▼▼▼▼▼▼▼▼▼                   
  변경후 : ELSE :END_DAT                                  </t>
    <phoneticPr fontId="1" type="noConversion"/>
  </si>
  <si>
    <t>DataBase</t>
    <phoneticPr fontId="1" type="noConversion"/>
  </si>
  <si>
    <t>함수</t>
    <phoneticPr fontId="1" type="noConversion"/>
  </si>
  <si>
    <t>MAX,MIN함수에대한 RETURN 이 4000자리로 반환되어 발생하는 에러.</t>
  </si>
  <si>
    <t>업무기능분해도 작성.</t>
    <phoneticPr fontId="1" type="noConversion"/>
  </si>
  <si>
    <t>HMB470AS</t>
    <phoneticPr fontId="1" type="noConversion"/>
  </si>
  <si>
    <t>-</t>
    <phoneticPr fontId="1" type="noConversion"/>
  </si>
  <si>
    <t>프로그램사양서,
화면레이아웃,
보고서레이아웃 작성</t>
    <phoneticPr fontId="1" type="noConversion"/>
  </si>
  <si>
    <t>PMA156AS</t>
    <phoneticPr fontId="1" type="noConversion"/>
  </si>
  <si>
    <t>급여현황</t>
    <phoneticPr fontId="1" type="noConversion"/>
  </si>
  <si>
    <t>인사</t>
    <phoneticPr fontId="1" type="noConversion"/>
  </si>
  <si>
    <t>HMA011AS</t>
  </si>
  <si>
    <t>HMA030AA</t>
    <phoneticPr fontId="1" type="noConversion"/>
  </si>
  <si>
    <t>HMA090AA</t>
    <phoneticPr fontId="1" type="noConversion"/>
  </si>
  <si>
    <t>보훈/장애관리</t>
  </si>
  <si>
    <t>학력/전공관리</t>
  </si>
  <si>
    <t>인사일괄조회</t>
    <phoneticPr fontId="1" type="noConversion"/>
  </si>
  <si>
    <t>SFR-005-08-01</t>
    <phoneticPr fontId="1" type="noConversion"/>
  </si>
  <si>
    <t>SFR-005-02-06</t>
    <phoneticPr fontId="1" type="noConversion"/>
  </si>
  <si>
    <t>SFR-005-02-02</t>
    <phoneticPr fontId="1" type="noConversion"/>
  </si>
  <si>
    <t>SFR-005-02-03</t>
    <phoneticPr fontId="1" type="noConversion"/>
  </si>
  <si>
    <t>-</t>
    <phoneticPr fontId="1" type="noConversion"/>
  </si>
  <si>
    <t>요구사항아이디</t>
    <phoneticPr fontId="1" type="noConversion"/>
  </si>
  <si>
    <t>SFR-012-14-00</t>
    <phoneticPr fontId="3" type="noConversion"/>
  </si>
  <si>
    <t>SFR-012-01-02</t>
    <phoneticPr fontId="3" type="noConversion"/>
  </si>
  <si>
    <t>SFR-012-01-03</t>
  </si>
  <si>
    <t>SFR-012-01-00</t>
    <phoneticPr fontId="3" type="noConversion"/>
  </si>
  <si>
    <t>PMA156AS</t>
    <phoneticPr fontId="1" type="noConversion"/>
  </si>
  <si>
    <t>급여대장(대표)</t>
    <phoneticPr fontId="1" type="noConversion"/>
  </si>
  <si>
    <t>SFR-012-01-01</t>
    <phoneticPr fontId="3" type="noConversion"/>
  </si>
  <si>
    <t>급여현황</t>
    <phoneticPr fontId="1" type="noConversion"/>
  </si>
  <si>
    <t>인사기록관리</t>
  </si>
  <si>
    <t>단계</t>
    <phoneticPr fontId="1" type="noConversion"/>
  </si>
  <si>
    <t>급여대장(대표)</t>
    <phoneticPr fontId="1" type="noConversion"/>
  </si>
  <si>
    <t>급여대장(대표) 출력구분 ‘기관별’ 을 ‘개인별’로 수정 하고, 데이터는 한줄로 표현한다.
---&gt;&gt;
소득내역, 공제내역 헤더가 현재 4줄로 되어있어 보기가 불편함--&gt; 한줄로 표시되게 수정.
성명, 등급 , 가족은 헤더에서 일렬로 표시되게 수정.</t>
    <phoneticPr fontId="1" type="noConversion"/>
  </si>
  <si>
    <t>SFR-005-02-04</t>
  </si>
  <si>
    <t>Yes</t>
  </si>
  <si>
    <t>업무</t>
    <phoneticPr fontId="1" type="noConversion"/>
  </si>
  <si>
    <t>No</t>
    <phoneticPr fontId="1" type="noConversion"/>
  </si>
  <si>
    <t>신규</t>
    <phoneticPr fontId="1" type="noConversion"/>
  </si>
  <si>
    <t>수정</t>
    <phoneticPr fontId="1" type="noConversion"/>
  </si>
  <si>
    <t>수정</t>
    <phoneticPr fontId="1" type="noConversion"/>
  </si>
  <si>
    <t>인사일괄조회 화면 순서 변경 기능 요청함. &lt;&lt;-- 완료.</t>
    <phoneticPr fontId="1" type="noConversion"/>
  </si>
  <si>
    <t>G. 보훈/장애관리 화면 보훈처 인정여부  칼럼 추가 요청</t>
    <phoneticPr fontId="1" type="noConversion"/>
  </si>
  <si>
    <t>HMA290AA</t>
  </si>
  <si>
    <t>제증명신청/발급관리</t>
  </si>
  <si>
    <t>SFR-005-03-01</t>
  </si>
  <si>
    <t>하</t>
    <phoneticPr fontId="1" type="noConversion"/>
  </si>
  <si>
    <t>난이도</t>
    <phoneticPr fontId="1" type="noConversion"/>
  </si>
  <si>
    <t>A. 제증명 증명서번호 체계변경
   년도(4)-순번(3)  -&gt; 년도(4)-기관코드(3)-순번(3)</t>
    <phoneticPr fontId="1" type="noConversion"/>
  </si>
  <si>
    <t>중</t>
    <phoneticPr fontId="1" type="noConversion"/>
  </si>
  <si>
    <t>하</t>
    <phoneticPr fontId="1" type="noConversion"/>
  </si>
  <si>
    <t>상</t>
    <phoneticPr fontId="1" type="noConversion"/>
  </si>
  <si>
    <t>인사일괄조회 출력 양식 다양화 요청함. &lt;&lt;- 미완료</t>
    <phoneticPr fontId="1" type="noConversion"/>
  </si>
  <si>
    <t>No</t>
  </si>
  <si>
    <t>SFR-007-03-03</t>
  </si>
  <si>
    <t>SFR-007-03-04</t>
  </si>
  <si>
    <t>SFR-005-02-07</t>
  </si>
  <si>
    <t>SFR-005-02-05</t>
  </si>
  <si>
    <t>E. 학력관리 화면 비수도권지역인재, 고졸여부 추가 요청.</t>
    <phoneticPr fontId="1" type="noConversion"/>
  </si>
  <si>
    <t>사양서</t>
    <phoneticPr fontId="1" type="noConversion"/>
  </si>
  <si>
    <t>HMA600AA</t>
  </si>
  <si>
    <t>인사데이터권한</t>
  </si>
  <si>
    <t>SFR-005-07-01</t>
  </si>
  <si>
    <t>각종코드관리</t>
  </si>
  <si>
    <t>A. 인사데이터권한 화면  데이터 사용권한에 권역 추가 요청</t>
    <phoneticPr fontId="1" type="noConversion"/>
  </si>
  <si>
    <t>SFR-006-02-02</t>
  </si>
  <si>
    <t>B. 출장신청 및 복명 입력시 마일리지등록도 가능 하도록 요청함.</t>
  </si>
  <si>
    <t>복무 신청 및 결재</t>
  </si>
  <si>
    <t>PMH205AA</t>
    <phoneticPr fontId="1" type="noConversion"/>
  </si>
  <si>
    <t>복무</t>
    <phoneticPr fontId="1" type="noConversion"/>
  </si>
  <si>
    <t>변경내역</t>
  </si>
  <si>
    <t>SFR-007-02-05</t>
  </si>
  <si>
    <t>사번 및 주민등록번호 보이도록</t>
  </si>
  <si>
    <t>PMA070AA</t>
  </si>
  <si>
    <t>급여작업</t>
  </si>
  <si>
    <t>PMA380AA</t>
  </si>
  <si>
    <t>PMA090AA</t>
  </si>
  <si>
    <t>PMA095AA</t>
  </si>
  <si>
    <t>PMA105AA</t>
  </si>
  <si>
    <t>PMA115AA</t>
  </si>
  <si>
    <t>PMA108AA</t>
  </si>
  <si>
    <t>PMA115AS</t>
  </si>
  <si>
    <t>PMA120AA</t>
  </si>
  <si>
    <t>PMA122AA</t>
  </si>
  <si>
    <t>PMA130AA</t>
  </si>
  <si>
    <t>PMA145AA</t>
  </si>
  <si>
    <t xml:space="preserve">급여변동사항관리          </t>
  </si>
  <si>
    <t xml:space="preserve">비급여대상자리스트        </t>
  </si>
  <si>
    <t xml:space="preserve">개인별지급관리            </t>
  </si>
  <si>
    <t>일자별개인별시간외수당관리</t>
  </si>
  <si>
    <t xml:space="preserve">개인별공제관리            </t>
  </si>
  <si>
    <t xml:space="preserve">성금관리                  </t>
  </si>
  <si>
    <t>PM02</t>
  </si>
  <si>
    <t>AM01</t>
  </si>
  <si>
    <t>구축물분류</t>
  </si>
  <si>
    <t>AM02</t>
  </si>
  <si>
    <t xml:space="preserve">차량운반구분류           </t>
  </si>
  <si>
    <t>AM03</t>
  </si>
  <si>
    <t>소유자구분</t>
  </si>
  <si>
    <t>AM04</t>
  </si>
  <si>
    <t>도서분류</t>
  </si>
  <si>
    <t>AM05</t>
  </si>
  <si>
    <t>조경분류</t>
  </si>
  <si>
    <t>AM06</t>
  </si>
  <si>
    <t>취득원인</t>
  </si>
  <si>
    <t>AM07</t>
  </si>
  <si>
    <t>AM08</t>
  </si>
  <si>
    <t>즙</t>
  </si>
  <si>
    <t>AM09</t>
  </si>
  <si>
    <t>조</t>
  </si>
  <si>
    <t>AM10</t>
  </si>
  <si>
    <t>관할등기소</t>
  </si>
  <si>
    <t>AM11</t>
  </si>
  <si>
    <t>등기종별</t>
  </si>
  <si>
    <t>AM12</t>
  </si>
  <si>
    <t>지목분류</t>
  </si>
  <si>
    <t>AM13</t>
  </si>
  <si>
    <t>불용처리요구</t>
  </si>
  <si>
    <t>AM14</t>
  </si>
  <si>
    <t>자산상태</t>
  </si>
  <si>
    <t>AM15</t>
  </si>
  <si>
    <t>단위코드</t>
  </si>
  <si>
    <t>AM16</t>
  </si>
  <si>
    <t>장비용도기준</t>
  </si>
  <si>
    <t>AM17</t>
  </si>
  <si>
    <t>변동구분</t>
  </si>
  <si>
    <t>AM18</t>
  </si>
  <si>
    <t>화폐단위</t>
  </si>
  <si>
    <t>AM19</t>
  </si>
  <si>
    <t>전화분류</t>
  </si>
  <si>
    <t>AM20</t>
  </si>
  <si>
    <t>자산구분</t>
  </si>
  <si>
    <t>AM21</t>
  </si>
  <si>
    <t>용도구분</t>
  </si>
  <si>
    <t>AM22</t>
  </si>
  <si>
    <t>전화구분</t>
  </si>
  <si>
    <t>AM23</t>
  </si>
  <si>
    <t>건물동별구분</t>
  </si>
  <si>
    <t>AM24</t>
  </si>
  <si>
    <t>차량검사종별</t>
  </si>
  <si>
    <t>AM25</t>
  </si>
  <si>
    <t>보험종류</t>
  </si>
  <si>
    <t>AM28</t>
  </si>
  <si>
    <t>연료종류</t>
  </si>
  <si>
    <t>AM30</t>
  </si>
  <si>
    <t>장비공과</t>
  </si>
  <si>
    <t>AM31</t>
  </si>
  <si>
    <t>장비직종</t>
  </si>
  <si>
    <t>AM32</t>
  </si>
  <si>
    <t>실코드</t>
  </si>
  <si>
    <t>AM33</t>
  </si>
  <si>
    <t>기능대학구분</t>
  </si>
  <si>
    <t>AM34</t>
  </si>
  <si>
    <t>상각법</t>
  </si>
  <si>
    <t>AM35</t>
  </si>
  <si>
    <t>차량연료</t>
  </si>
  <si>
    <t>AM98</t>
  </si>
  <si>
    <t>계약유형</t>
  </si>
  <si>
    <t>AM99</t>
  </si>
  <si>
    <t>기관코드</t>
  </si>
  <si>
    <t>CM01</t>
  </si>
  <si>
    <t>업무구분</t>
  </si>
  <si>
    <t>CM02</t>
  </si>
  <si>
    <t>권한구분</t>
  </si>
  <si>
    <t>CM03</t>
  </si>
  <si>
    <t>프로그램구분</t>
  </si>
  <si>
    <t>FA01</t>
  </si>
  <si>
    <t>예치금거래구분</t>
  </si>
  <si>
    <t>FA02</t>
  </si>
  <si>
    <t>예치기관</t>
  </si>
  <si>
    <t>FA03</t>
  </si>
  <si>
    <t>예금종류</t>
  </si>
  <si>
    <t>FA04</t>
  </si>
  <si>
    <t>예치목적구분</t>
  </si>
  <si>
    <t>FA05</t>
  </si>
  <si>
    <t>예산구분</t>
  </si>
  <si>
    <t>FA06</t>
  </si>
  <si>
    <t>운임종별</t>
  </si>
  <si>
    <t>FA07</t>
  </si>
  <si>
    <t>세부구분</t>
  </si>
  <si>
    <t>FA08</t>
  </si>
  <si>
    <t>지출원인행위구분</t>
  </si>
  <si>
    <t>FA09</t>
  </si>
  <si>
    <t>예산관리자</t>
  </si>
  <si>
    <t>FA10</t>
  </si>
  <si>
    <t>예산재원구분</t>
  </si>
  <si>
    <t>FA11</t>
  </si>
  <si>
    <t>증빙구분</t>
  </si>
  <si>
    <t>FA12</t>
  </si>
  <si>
    <t>제품특성</t>
  </si>
  <si>
    <t>FA13</t>
  </si>
  <si>
    <t>계약방법</t>
  </si>
  <si>
    <t>FA14</t>
  </si>
  <si>
    <t>기업구분</t>
  </si>
  <si>
    <t>FA20</t>
  </si>
  <si>
    <t>세무서코드</t>
  </si>
  <si>
    <t>FA21</t>
  </si>
  <si>
    <t>예산통제구분</t>
  </si>
  <si>
    <t>FA22</t>
  </si>
  <si>
    <t>FA23</t>
  </si>
  <si>
    <t>연수업체업종</t>
  </si>
  <si>
    <t>FA24</t>
  </si>
  <si>
    <t>단기적응훈련기관</t>
  </si>
  <si>
    <t>FA26</t>
  </si>
  <si>
    <t>단기적응학력</t>
  </si>
  <si>
    <t>FA27</t>
  </si>
  <si>
    <t>연수취업우편번호</t>
  </si>
  <si>
    <t>FA28</t>
  </si>
  <si>
    <t>계약분류</t>
  </si>
  <si>
    <t>FA29</t>
  </si>
  <si>
    <t>세금계산서구분</t>
  </si>
  <si>
    <t>FA30</t>
  </si>
  <si>
    <t>계약절차</t>
  </si>
  <si>
    <t>FA31</t>
  </si>
  <si>
    <t>용역구분</t>
  </si>
  <si>
    <t>FA87</t>
  </si>
  <si>
    <t>HM01</t>
  </si>
  <si>
    <t>비정규직직급</t>
  </si>
  <si>
    <t>HM03</t>
  </si>
  <si>
    <t>학력코드</t>
  </si>
  <si>
    <t>HM04</t>
  </si>
  <si>
    <t>전공코드</t>
  </si>
  <si>
    <t>HM05</t>
  </si>
  <si>
    <t>외국어구분</t>
  </si>
  <si>
    <t>HM06</t>
  </si>
  <si>
    <t>장애유형</t>
  </si>
  <si>
    <t>HM07</t>
  </si>
  <si>
    <t>근무처(입사이전)</t>
  </si>
  <si>
    <t>HM08</t>
  </si>
  <si>
    <t>직위코드</t>
  </si>
  <si>
    <t>HM09</t>
  </si>
  <si>
    <t>발령구분</t>
  </si>
  <si>
    <t>HM10</t>
  </si>
  <si>
    <t>전공과목코드</t>
  </si>
  <si>
    <t>HM11</t>
  </si>
  <si>
    <t>비정규직담당업무</t>
  </si>
  <si>
    <t>HM12</t>
  </si>
  <si>
    <t>보훈대상구분</t>
  </si>
  <si>
    <t>HM13</t>
  </si>
  <si>
    <t>보직구분</t>
  </si>
  <si>
    <t>HM14</t>
  </si>
  <si>
    <t>담당업무</t>
  </si>
  <si>
    <t>HM15</t>
  </si>
  <si>
    <t>채용구분</t>
  </si>
  <si>
    <t>HM16</t>
  </si>
  <si>
    <t>교육과정</t>
  </si>
  <si>
    <t>HM17</t>
  </si>
  <si>
    <t>외국인초청훈련과정</t>
  </si>
  <si>
    <t>HM19</t>
  </si>
  <si>
    <t>국가명</t>
  </si>
  <si>
    <t>HM20</t>
  </si>
  <si>
    <t>훈련실시기관</t>
  </si>
  <si>
    <t>HM21</t>
  </si>
  <si>
    <t>연수과정</t>
  </si>
  <si>
    <t>HM22</t>
  </si>
  <si>
    <t>해외연수목적</t>
  </si>
  <si>
    <t>HM23</t>
  </si>
  <si>
    <t>비용부담(재원)</t>
  </si>
  <si>
    <t>HM24</t>
  </si>
  <si>
    <t>합격여부(어학시험)</t>
  </si>
  <si>
    <t>HM25</t>
  </si>
  <si>
    <t>사용언어</t>
  </si>
  <si>
    <t>HM26</t>
  </si>
  <si>
    <t>학위코드</t>
  </si>
  <si>
    <t>HM27</t>
  </si>
  <si>
    <t>외국어시험</t>
  </si>
  <si>
    <t>HM28</t>
  </si>
  <si>
    <t>교사면허등급</t>
  </si>
  <si>
    <t>HM29</t>
  </si>
  <si>
    <t>징계그룹</t>
  </si>
  <si>
    <t>HM30</t>
  </si>
  <si>
    <t>과정(담당교과)</t>
  </si>
  <si>
    <t>HM31</t>
  </si>
  <si>
    <t>포상세부구분</t>
  </si>
  <si>
    <t>HM32</t>
  </si>
  <si>
    <t>포상구분</t>
  </si>
  <si>
    <t>HM33</t>
  </si>
  <si>
    <t>징계(처분)구분</t>
  </si>
  <si>
    <t>HM34</t>
  </si>
  <si>
    <t>군별구분</t>
  </si>
  <si>
    <t>HM35</t>
  </si>
  <si>
    <t>병역구분</t>
  </si>
  <si>
    <t>HM37</t>
  </si>
  <si>
    <t>계급구분</t>
  </si>
  <si>
    <t>HM38</t>
  </si>
  <si>
    <t>전역구분</t>
  </si>
  <si>
    <t>HM39</t>
  </si>
  <si>
    <t>비취인가등급</t>
  </si>
  <si>
    <t>HM40</t>
  </si>
  <si>
    <t>감사구분</t>
  </si>
  <si>
    <t>HM41</t>
  </si>
  <si>
    <t>비위유형(1)</t>
  </si>
  <si>
    <t>HM42</t>
  </si>
  <si>
    <t>비위유형(2)</t>
  </si>
  <si>
    <t>HM43</t>
  </si>
  <si>
    <t>직급(감사실용)</t>
  </si>
  <si>
    <t>HM44</t>
  </si>
  <si>
    <t>부서개편구분</t>
  </si>
  <si>
    <t>HM45</t>
  </si>
  <si>
    <t>기관구분</t>
  </si>
  <si>
    <t>HM46</t>
  </si>
  <si>
    <t>지역코드</t>
  </si>
  <si>
    <t>HM47</t>
  </si>
  <si>
    <t>개편구분</t>
  </si>
  <si>
    <t>HM48</t>
  </si>
  <si>
    <t>임용분야</t>
  </si>
  <si>
    <t>HM49</t>
  </si>
  <si>
    <t>재퇴직구분</t>
  </si>
  <si>
    <t>HM50</t>
  </si>
  <si>
    <t>노조비대상직렬</t>
  </si>
  <si>
    <t>HM51</t>
  </si>
  <si>
    <t>노조비대상직급</t>
  </si>
  <si>
    <t>HM52</t>
  </si>
  <si>
    <t>노조비대상직위</t>
  </si>
  <si>
    <t>HM53</t>
  </si>
  <si>
    <t>노조비대상부서</t>
  </si>
  <si>
    <t>HM54</t>
  </si>
  <si>
    <t>예비군소속</t>
  </si>
  <si>
    <t>HM55</t>
  </si>
  <si>
    <t>특수직종구분</t>
  </si>
  <si>
    <t>HM56</t>
  </si>
  <si>
    <t>승급구분</t>
  </si>
  <si>
    <t>HM57</t>
  </si>
  <si>
    <t>당연인가대상직위</t>
  </si>
  <si>
    <t>HM58</t>
  </si>
  <si>
    <t>정현원직급코드</t>
  </si>
  <si>
    <t>HM59</t>
  </si>
  <si>
    <t>정현원직렬코드</t>
  </si>
  <si>
    <t>HM70</t>
  </si>
  <si>
    <t>입사지역코드</t>
  </si>
  <si>
    <t>HM90</t>
  </si>
  <si>
    <t>인사파일기관유형</t>
  </si>
  <si>
    <t>HM91</t>
  </si>
  <si>
    <t>인사파일기관코드</t>
  </si>
  <si>
    <t>HM96</t>
  </si>
  <si>
    <t>근무상황기록부종별그룹</t>
  </si>
  <si>
    <t>HM97</t>
  </si>
  <si>
    <t>호봉코드</t>
  </si>
  <si>
    <t>KM01</t>
  </si>
  <si>
    <t>KM02</t>
  </si>
  <si>
    <t>직종</t>
  </si>
  <si>
    <t>KM03</t>
  </si>
  <si>
    <t>교원연수구분</t>
  </si>
  <si>
    <t>PG01</t>
  </si>
  <si>
    <t>봉사활동코드</t>
  </si>
  <si>
    <t>PG02</t>
  </si>
  <si>
    <t>기차차종</t>
  </si>
  <si>
    <t>PL01</t>
  </si>
  <si>
    <t>소속계열</t>
  </si>
  <si>
    <t>PL02</t>
  </si>
  <si>
    <t>관리구분</t>
  </si>
  <si>
    <t>PL03</t>
  </si>
  <si>
    <t>직무분야</t>
  </si>
  <si>
    <t>PL04</t>
  </si>
  <si>
    <t>참여분야</t>
  </si>
  <si>
    <t>PL05</t>
  </si>
  <si>
    <t>수행역할</t>
  </si>
  <si>
    <t>PL06</t>
  </si>
  <si>
    <t>보안등급</t>
  </si>
  <si>
    <t>PL07</t>
  </si>
  <si>
    <t>PL08</t>
  </si>
  <si>
    <t>성향</t>
  </si>
  <si>
    <t>PL09</t>
  </si>
  <si>
    <t>PL10</t>
  </si>
  <si>
    <t>통역필요유무</t>
  </si>
  <si>
    <t>PL11</t>
  </si>
  <si>
    <t>회화수행능력</t>
  </si>
  <si>
    <t>PL12</t>
  </si>
  <si>
    <t>PL13</t>
  </si>
  <si>
    <t>위원상태</t>
  </si>
  <si>
    <t>PL15</t>
  </si>
  <si>
    <t>PL16</t>
  </si>
  <si>
    <t>교과목</t>
  </si>
  <si>
    <t>PM01</t>
  </si>
  <si>
    <t>급여작업구분</t>
  </si>
  <si>
    <t>지급구분</t>
  </si>
  <si>
    <t>PM03</t>
  </si>
  <si>
    <t>PM04</t>
  </si>
  <si>
    <t>입금은행</t>
  </si>
  <si>
    <t>PM05</t>
  </si>
  <si>
    <t>지급종류</t>
  </si>
  <si>
    <t>PM06</t>
  </si>
  <si>
    <t>가족관계</t>
  </si>
  <si>
    <t>PM07</t>
  </si>
  <si>
    <t>공제별계좌구분</t>
  </si>
  <si>
    <t>PM08</t>
  </si>
  <si>
    <t>연말정산의료비관계(2004년도)</t>
  </si>
  <si>
    <t>PM09</t>
  </si>
  <si>
    <t>연말정산기부금유형</t>
  </si>
  <si>
    <t>PM10</t>
  </si>
  <si>
    <t>연말정산기부금코드</t>
  </si>
  <si>
    <t>PM11</t>
  </si>
  <si>
    <t>연말정산의료비관계(2005년도)</t>
  </si>
  <si>
    <t>PM12</t>
  </si>
  <si>
    <t>연말정산퇴거사유</t>
  </si>
  <si>
    <t>PM13</t>
  </si>
  <si>
    <t xml:space="preserve">2006년기관코드변경(사무소에서 지사로,인천사무소는 </t>
  </si>
  <si>
    <t>PM15</t>
  </si>
  <si>
    <t>기부금내용</t>
  </si>
  <si>
    <t>PM16</t>
  </si>
  <si>
    <t>의료증빙코드</t>
  </si>
  <si>
    <t>PM20</t>
  </si>
  <si>
    <t>출력용지급구분</t>
  </si>
  <si>
    <t>PM30</t>
  </si>
  <si>
    <t>연금 저축 관련 금융기관코드</t>
  </si>
  <si>
    <t>PM31</t>
  </si>
  <si>
    <t>2010년 의료증빙코드</t>
  </si>
  <si>
    <t>PM50</t>
  </si>
  <si>
    <t>2010년 거주지국코드</t>
  </si>
  <si>
    <t>PM60</t>
  </si>
  <si>
    <t>마일리지_누적등급</t>
  </si>
  <si>
    <t>PM61</t>
  </si>
  <si>
    <t>마일리지_항공사</t>
  </si>
  <si>
    <t>PM62</t>
  </si>
  <si>
    <t>마일리지_사용방법</t>
  </si>
  <si>
    <t>PM63</t>
  </si>
  <si>
    <t>마일리지_만료기한</t>
  </si>
  <si>
    <t>CD_GU</t>
    <phoneticPr fontId="1" type="noConversion"/>
  </si>
  <si>
    <t>CD_NM</t>
    <phoneticPr fontId="1" type="noConversion"/>
  </si>
  <si>
    <t>top</t>
  </si>
  <si>
    <t>CD_GU</t>
    <phoneticPr fontId="1" type="noConversion"/>
  </si>
  <si>
    <t>CD_NO</t>
    <phoneticPr fontId="1" type="noConversion"/>
  </si>
  <si>
    <t>CD_NM</t>
    <phoneticPr fontId="1" type="noConversion"/>
  </si>
  <si>
    <t>재직자</t>
  </si>
  <si>
    <t>비상근</t>
  </si>
  <si>
    <t>이관자</t>
  </si>
  <si>
    <t>퇴직자</t>
  </si>
  <si>
    <t>GU_NM</t>
    <phoneticPr fontId="1" type="noConversion"/>
  </si>
  <si>
    <t>특별성과급</t>
  </si>
  <si>
    <t>업무추진비</t>
  </si>
  <si>
    <t>가계지원비</t>
  </si>
  <si>
    <t>능력급</t>
  </si>
  <si>
    <t>자체성과급</t>
  </si>
  <si>
    <t>연월차수당</t>
  </si>
  <si>
    <t>명절휴가비</t>
  </si>
  <si>
    <t>시간외수당</t>
  </si>
  <si>
    <t>인센티브추가금</t>
  </si>
  <si>
    <t>Y</t>
  </si>
  <si>
    <t>급여기초작업</t>
  </si>
  <si>
    <t>지급입력마감</t>
  </si>
  <si>
    <t>공제입력마감</t>
  </si>
  <si>
    <t>급여계산작업</t>
  </si>
  <si>
    <t>PMA005TB</t>
  </si>
  <si>
    <t>보수등급재획정표</t>
  </si>
  <si>
    <t>PMA008TB</t>
  </si>
  <si>
    <t>연봉제 적용 개인별 연봉표</t>
  </si>
  <si>
    <t>PMA009TB</t>
  </si>
  <si>
    <t>연봉제 적용 개인별 연봉표 이력</t>
  </si>
  <si>
    <t>PMA010TB</t>
  </si>
  <si>
    <t>연봉표</t>
  </si>
  <si>
    <t>PMA011TB</t>
  </si>
  <si>
    <t>연봉표이력</t>
  </si>
  <si>
    <t>PMA015TB</t>
  </si>
  <si>
    <t>PMA020TB</t>
  </si>
  <si>
    <t>PMA021TB</t>
  </si>
  <si>
    <t>지급이력</t>
  </si>
  <si>
    <t>PMA022TB</t>
  </si>
  <si>
    <t>개인별직책수당</t>
  </si>
  <si>
    <t>PMA023TB</t>
  </si>
  <si>
    <t>성과연봉</t>
  </si>
  <si>
    <t>PMA025TB</t>
  </si>
  <si>
    <t>능력급지급기준</t>
  </si>
  <si>
    <t>PMA030TB</t>
  </si>
  <si>
    <t>PMA040TB</t>
  </si>
  <si>
    <t>의보/연금</t>
  </si>
  <si>
    <t>PMA050TB</t>
  </si>
  <si>
    <t>세율기준표</t>
  </si>
  <si>
    <t>PMA060TB</t>
  </si>
  <si>
    <t>소득세액공제율표</t>
  </si>
  <si>
    <t>PMA065TB</t>
  </si>
  <si>
    <t>기관별 기부처(기부금명세서)관리</t>
  </si>
  <si>
    <t>PMA070TB</t>
  </si>
  <si>
    <t>은행계좌</t>
  </si>
  <si>
    <t>PMA075TB</t>
  </si>
  <si>
    <t>기관별공제별은행계좌관리</t>
  </si>
  <si>
    <t>PMA080TB</t>
  </si>
  <si>
    <t>기관정보</t>
  </si>
  <si>
    <t>PMA090TB</t>
  </si>
  <si>
    <t>급여작업현황</t>
  </si>
  <si>
    <t>PMA100TB</t>
  </si>
  <si>
    <t>급여기본사항</t>
  </si>
  <si>
    <t>PMA105TB</t>
  </si>
  <si>
    <t>급여변동내역</t>
  </si>
  <si>
    <t>PMA110TB</t>
  </si>
  <si>
    <t>급여기본사항이력</t>
  </si>
  <si>
    <t>PMA120TB</t>
  </si>
  <si>
    <t>개인별능력급지급기준</t>
  </si>
  <si>
    <t>PMA130TB</t>
  </si>
  <si>
    <t>급여가족사항</t>
  </si>
  <si>
    <t>PMA140TB</t>
  </si>
  <si>
    <t>차량운영지원비</t>
  </si>
  <si>
    <t>PMA150TB</t>
  </si>
  <si>
    <t>월지급내역</t>
  </si>
  <si>
    <t>PMA160TB</t>
  </si>
  <si>
    <t>월공제내역</t>
  </si>
  <si>
    <t>PMA161TB</t>
  </si>
  <si>
    <t>월공제내역백업(근로/기타소득의 실행을 하기전의 PMA160TB의 갑근세, 주민세, 고용보험을 갖고 있는다)</t>
  </si>
  <si>
    <t>PMA170TB</t>
  </si>
  <si>
    <t>월별개인별시간외수당관리</t>
  </si>
  <si>
    <t>PMA175TB</t>
  </si>
  <si>
    <t>일자별개인별시간외근무명령부관리</t>
  </si>
  <si>
    <t>PMA180TB</t>
  </si>
  <si>
    <t>월근태내역</t>
  </si>
  <si>
    <t>PMA190TB</t>
  </si>
  <si>
    <t>기부금지급명세서</t>
  </si>
  <si>
    <t>PMA200TB</t>
  </si>
  <si>
    <t>월지급사항</t>
  </si>
  <si>
    <t>PMA210TB</t>
  </si>
  <si>
    <t>월지급변동내역</t>
  </si>
  <si>
    <t>PMA220TB</t>
  </si>
  <si>
    <t>인상연봉표</t>
  </si>
  <si>
    <t>PMA230TB</t>
  </si>
  <si>
    <t>인상지급</t>
  </si>
  <si>
    <t>PMA250TB</t>
  </si>
  <si>
    <t>연봉자기본사항</t>
  </si>
  <si>
    <t>PMA350TB</t>
  </si>
  <si>
    <t>금융결재원화일</t>
  </si>
  <si>
    <t>PMA370TB</t>
  </si>
  <si>
    <t>개인연봉산정내역</t>
  </si>
  <si>
    <t>PMA380TB</t>
  </si>
  <si>
    <t>추정 근로소득 원천징수 및 건강보험 등급</t>
  </si>
  <si>
    <t>PMA440TB</t>
  </si>
  <si>
    <t>급여의 각종 증명서 발급 이력 관리</t>
  </si>
  <si>
    <t>PMA500TB</t>
  </si>
  <si>
    <t>출산장려비 신청서</t>
  </si>
  <si>
    <t>PMA510TB</t>
  </si>
  <si>
    <t>자녀학비보조금 신청서</t>
  </si>
  <si>
    <t>PMA520TB</t>
  </si>
  <si>
    <t>부양가족 신청서</t>
  </si>
  <si>
    <t>PMA530TB</t>
  </si>
  <si>
    <t>학자금 대부신청서</t>
  </si>
  <si>
    <t>PMA535TB</t>
  </si>
  <si>
    <t>학자금대부신청 대학생자녀</t>
  </si>
  <si>
    <t>PMA540TB</t>
  </si>
  <si>
    <t>주택자금 대부신청서</t>
  </si>
  <si>
    <t>PMA550TB</t>
  </si>
  <si>
    <t>퇴직급여충당금 대부신청서</t>
  </si>
  <si>
    <t>PMA900TB</t>
  </si>
  <si>
    <t>급여공통자료저장</t>
  </si>
  <si>
    <t>PMA901TB</t>
  </si>
  <si>
    <t>근무현황및지급내역</t>
  </si>
  <si>
    <t>PMA902TB</t>
  </si>
  <si>
    <t>기준급 산출내역</t>
  </si>
  <si>
    <t>PMA910TB</t>
  </si>
  <si>
    <t>퇴직연금_업로드</t>
  </si>
  <si>
    <t>PMA_JEONHWAN</t>
  </si>
  <si>
    <t>정규직전환자들 중 인건비사용하는 직원들 정보(사업비 사용하지 않음)</t>
  </si>
  <si>
    <t>TABLE_NAME</t>
    <phoneticPr fontId="1" type="noConversion"/>
  </si>
  <si>
    <t>COMMENTS</t>
    <phoneticPr fontId="1" type="noConversion"/>
  </si>
  <si>
    <t>PMT_YM</t>
  </si>
  <si>
    <t>CHAR(6 BYTE)</t>
  </si>
  <si>
    <t>지급년월</t>
  </si>
  <si>
    <t>PMT_GB</t>
  </si>
  <si>
    <t>VARCHAR2(2 BYTE)</t>
  </si>
  <si>
    <t>지급구분(PM02)</t>
  </si>
  <si>
    <t>PMT_STS</t>
  </si>
  <si>
    <t>CHAR(1 BYTE)</t>
  </si>
  <si>
    <t>지급상태(1:정상, 2:소급분)</t>
  </si>
  <si>
    <t>VARCHAR2(7 BYTE)</t>
  </si>
  <si>
    <t>COMMENT</t>
    <phoneticPr fontId="1" type="noConversion"/>
  </si>
  <si>
    <t>COLUMN_NAME</t>
    <phoneticPr fontId="1" type="noConversion"/>
  </si>
  <si>
    <t>TYPE</t>
    <phoneticPr fontId="1" type="noConversion"/>
  </si>
  <si>
    <t>NULL</t>
    <phoneticPr fontId="1" type="noConversion"/>
  </si>
  <si>
    <t>순서</t>
    <phoneticPr fontId="1" type="noConversion"/>
  </si>
  <si>
    <t>COLMUN_COMMENTS</t>
    <phoneticPr fontId="1" type="noConversion"/>
  </si>
  <si>
    <t>PK</t>
    <phoneticPr fontId="1" type="noConversion"/>
  </si>
  <si>
    <t>기본급여(연봉월액)</t>
  </si>
  <si>
    <t>가족수당</t>
  </si>
  <si>
    <t>강사수당</t>
  </si>
  <si>
    <t>직책수당(직무급)</t>
  </si>
  <si>
    <t>연구수당</t>
  </si>
  <si>
    <t>교직수당</t>
  </si>
  <si>
    <t>전산수당</t>
  </si>
  <si>
    <t>편집수당</t>
  </si>
  <si>
    <t>발간수당</t>
  </si>
  <si>
    <t>운전수당</t>
  </si>
  <si>
    <t>출납수당</t>
  </si>
  <si>
    <t>시설관리수당</t>
  </si>
  <si>
    <t>장기근속수당</t>
  </si>
  <si>
    <t>자녀학비보조금</t>
  </si>
  <si>
    <t>가계보조비</t>
  </si>
  <si>
    <t>중식보조비</t>
  </si>
  <si>
    <t>교통보조비</t>
  </si>
  <si>
    <t>감사수당</t>
  </si>
  <si>
    <t>행정관리수당</t>
  </si>
  <si>
    <t>담임수당</t>
  </si>
  <si>
    <t>야간강의수당</t>
  </si>
  <si>
    <t>일숙직수당</t>
  </si>
  <si>
    <t>중식지원비</t>
  </si>
  <si>
    <t>교과운영지원비</t>
  </si>
  <si>
    <t>야간담임수당</t>
  </si>
  <si>
    <t>벽지수당</t>
  </si>
  <si>
    <t>기술자격수당</t>
  </si>
  <si>
    <t>주문식훈련주간</t>
  </si>
  <si>
    <t>주문식훈련야간</t>
  </si>
  <si>
    <t>실업자훈련주간</t>
  </si>
  <si>
    <t>실업자훈련야간</t>
  </si>
  <si>
    <t>실업자담임수당</t>
  </si>
  <si>
    <t>근로소득</t>
  </si>
  <si>
    <t>주택대부인정이자</t>
  </si>
  <si>
    <t>외국인강의수당</t>
  </si>
  <si>
    <t>일(외)행정관리수당</t>
  </si>
  <si>
    <t>일(외)교과운영(연구)지원비</t>
  </si>
  <si>
    <t>일(외)(전임초과)강의수당</t>
  </si>
  <si>
    <t>일(외)담임수당</t>
  </si>
  <si>
    <t>외국 사감수당</t>
  </si>
  <si>
    <t>능력 행정관리수당</t>
  </si>
  <si>
    <t>능력 교과운영지원비</t>
  </si>
  <si>
    <t>능력 (전임초과)강의수당</t>
  </si>
  <si>
    <t>능력 담임수당</t>
  </si>
  <si>
    <t>산전후휴가급여</t>
  </si>
  <si>
    <t>산전후휴가정산</t>
  </si>
  <si>
    <t>교통지원비</t>
  </si>
  <si>
    <t>초과지급액</t>
  </si>
  <si>
    <t>근로비과세</t>
  </si>
  <si>
    <t>복지카드</t>
  </si>
  <si>
    <t>출산장려비</t>
  </si>
  <si>
    <t>대학원교육비지원</t>
  </si>
  <si>
    <t>생일상품권</t>
  </si>
  <si>
    <t>어학교육비지원</t>
  </si>
  <si>
    <t>해외근무보조비</t>
  </si>
  <si>
    <t>건강증진보조비</t>
  </si>
  <si>
    <t>N</t>
  </si>
  <si>
    <t>인정상여</t>
  </si>
  <si>
    <t>고용보험에서지급(인정상여)</t>
  </si>
  <si>
    <t>공단본부에서지급</t>
  </si>
  <si>
    <t>RLT_CD</t>
  </si>
  <si>
    <t>관계코드(PM06)</t>
  </si>
  <si>
    <t>JUM_NO</t>
  </si>
  <si>
    <t>VARCHAR2(14 BYTE)</t>
  </si>
  <si>
    <t>주민등록번호</t>
  </si>
  <si>
    <t>모</t>
  </si>
  <si>
    <t>남편</t>
  </si>
  <si>
    <t>형제자매</t>
  </si>
  <si>
    <t>형</t>
  </si>
  <si>
    <t>제</t>
  </si>
  <si>
    <t>매</t>
  </si>
  <si>
    <t>조부</t>
  </si>
  <si>
    <t>조모</t>
  </si>
  <si>
    <t>장인</t>
  </si>
  <si>
    <t>장모</t>
  </si>
  <si>
    <t>시부</t>
  </si>
  <si>
    <t>시모</t>
  </si>
  <si>
    <t>사위</t>
  </si>
  <si>
    <t>며느리</t>
  </si>
  <si>
    <t>손자</t>
  </si>
  <si>
    <t>손녀</t>
  </si>
  <si>
    <t>O_CD</t>
  </si>
  <si>
    <t>VARCHAR2(3 BYTE)</t>
  </si>
  <si>
    <t>WRK_GB</t>
  </si>
  <si>
    <t>작업구분(PM01)</t>
  </si>
  <si>
    <t>PMT_GB</t>
    <phoneticPr fontId="1" type="noConversion"/>
  </si>
  <si>
    <t>임원</t>
  </si>
  <si>
    <t>일반직</t>
  </si>
  <si>
    <t>전산직</t>
  </si>
  <si>
    <t>연구직</t>
  </si>
  <si>
    <t>교사직</t>
  </si>
  <si>
    <t>업무직</t>
  </si>
  <si>
    <t>JIK_CD</t>
  </si>
  <si>
    <t>GRD_CD</t>
  </si>
  <si>
    <t>별정직(갑)</t>
  </si>
  <si>
    <t>별정직(을)</t>
  </si>
  <si>
    <t>1급</t>
  </si>
  <si>
    <t>1급(교사,수석)</t>
  </si>
  <si>
    <t>1급(수석)</t>
  </si>
  <si>
    <t>1급(교사)</t>
  </si>
  <si>
    <t>1급(수석,전산1)</t>
  </si>
  <si>
    <t>2급(교사)</t>
  </si>
  <si>
    <t>2급(책임)</t>
  </si>
  <si>
    <t>2급(책임,전산2)</t>
  </si>
  <si>
    <t>3급</t>
  </si>
  <si>
    <t>3급(선임)</t>
  </si>
  <si>
    <t>4·5급</t>
  </si>
  <si>
    <t>4·5급(원)</t>
  </si>
  <si>
    <t>1급(일1)</t>
  </si>
  <si>
    <t>수석</t>
  </si>
  <si>
    <t>수석(일1)</t>
  </si>
  <si>
    <t>수석(일1,일2)</t>
  </si>
  <si>
    <t>책임(일2,교사)</t>
  </si>
  <si>
    <t>책임(일2)</t>
  </si>
  <si>
    <t>업무직(갑)</t>
  </si>
  <si>
    <t>업무직(을)</t>
  </si>
  <si>
    <t>PMA110TB</t>
    <phoneticPr fontId="1" type="noConversion"/>
  </si>
  <si>
    <t>비상근이사</t>
  </si>
  <si>
    <t>비상임이사</t>
  </si>
  <si>
    <t>본부장</t>
  </si>
  <si>
    <t>운영이사</t>
  </si>
  <si>
    <t>인력개발이사</t>
  </si>
  <si>
    <t>자격검정이사</t>
  </si>
  <si>
    <t>센타원장</t>
  </si>
  <si>
    <t>중고원장</t>
  </si>
  <si>
    <t>지역본부장</t>
  </si>
  <si>
    <t>국장</t>
  </si>
  <si>
    <t>처장</t>
  </si>
  <si>
    <t>능력개발과장</t>
  </si>
  <si>
    <t>교무과장</t>
  </si>
  <si>
    <t>학생과장</t>
  </si>
  <si>
    <t>연구개발과장</t>
  </si>
  <si>
    <t>기능개발과장</t>
  </si>
  <si>
    <t>생활지도과장</t>
  </si>
  <si>
    <t>생활지도부장</t>
  </si>
  <si>
    <t>교무부장</t>
  </si>
  <si>
    <t>실장</t>
  </si>
  <si>
    <t>반장</t>
  </si>
  <si>
    <t>주임</t>
  </si>
  <si>
    <t>생활지도팀장</t>
  </si>
  <si>
    <t>교무팀장</t>
  </si>
  <si>
    <t>산학협력팀장</t>
  </si>
  <si>
    <t>산학협력부장</t>
  </si>
  <si>
    <t>공과장</t>
  </si>
  <si>
    <t>수석연구원</t>
  </si>
  <si>
    <t>책임연구원</t>
  </si>
  <si>
    <t>선임연구원</t>
  </si>
  <si>
    <t>연구원</t>
  </si>
  <si>
    <t>수석전문위원</t>
  </si>
  <si>
    <t>책임전문위원</t>
  </si>
  <si>
    <t>선임전문위원</t>
  </si>
  <si>
    <t>전문위원</t>
  </si>
  <si>
    <t>지사장</t>
  </si>
  <si>
    <t>단장</t>
  </si>
  <si>
    <t>부단장</t>
  </si>
  <si>
    <t>학장</t>
  </si>
  <si>
    <t>교학처장</t>
  </si>
  <si>
    <t>훈련부장</t>
  </si>
  <si>
    <t>능력개발처장</t>
  </si>
  <si>
    <t>시설관리주임</t>
  </si>
  <si>
    <t>양호사</t>
  </si>
  <si>
    <t>영양사</t>
  </si>
  <si>
    <t>운전원</t>
  </si>
  <si>
    <t>경비주임</t>
  </si>
  <si>
    <t>조리사</t>
  </si>
  <si>
    <t>업무관리원</t>
  </si>
  <si>
    <t>업무관리</t>
  </si>
  <si>
    <t>전기안전</t>
  </si>
  <si>
    <t>시설관리원</t>
  </si>
  <si>
    <t>경비원</t>
  </si>
  <si>
    <t>조리원</t>
  </si>
  <si>
    <t>보직없음</t>
  </si>
  <si>
    <t>해외주재원</t>
  </si>
  <si>
    <t>비상계획관</t>
  </si>
  <si>
    <t>차장대우</t>
  </si>
  <si>
    <t>공인노무사</t>
  </si>
  <si>
    <t>정보보안전문가</t>
  </si>
  <si>
    <t>JKW_CD</t>
  </si>
  <si>
    <t>WRK_GB</t>
    <phoneticPr fontId="1" type="noConversion"/>
  </si>
  <si>
    <t>DEPOFO_DAT</t>
  </si>
  <si>
    <t>CHAR(8 BYTE)</t>
  </si>
  <si>
    <t>부서발령일</t>
  </si>
  <si>
    <t>GRDOFO_DAT</t>
  </si>
  <si>
    <t>직급발령일</t>
  </si>
  <si>
    <t>JKWOFO_DAT</t>
  </si>
  <si>
    <t>직위발령일</t>
  </si>
  <si>
    <t>PMT_KND</t>
  </si>
  <si>
    <t>지급종류(PM05)</t>
  </si>
  <si>
    <t>PMT_CD</t>
  </si>
  <si>
    <t>VARCHAR2(4 BYTE)</t>
  </si>
  <si>
    <t>지급코드</t>
  </si>
  <si>
    <t>PMF010TB</t>
  </si>
  <si>
    <t>계약직지급</t>
  </si>
  <si>
    <t>PMF020TB</t>
  </si>
  <si>
    <t>계약직공제</t>
  </si>
  <si>
    <t>PMF030TB</t>
  </si>
  <si>
    <t>기관별산재보험료율</t>
  </si>
  <si>
    <t>PMF100TB</t>
  </si>
  <si>
    <t>계약직급여기본사항</t>
  </si>
  <si>
    <t>PMF110TB</t>
  </si>
  <si>
    <t>PMA</t>
    <phoneticPr fontId="1" type="noConversion"/>
  </si>
  <si>
    <t>ANN_AMT</t>
  </si>
  <si>
    <t>NUMBER(9,0)</t>
  </si>
  <si>
    <t>연봉금액</t>
  </si>
  <si>
    <t>ANN_YN</t>
  </si>
  <si>
    <t>VARCHAR2(1 BYTE)</t>
  </si>
  <si>
    <t>연봉여부</t>
  </si>
  <si>
    <t>HMA</t>
    <phoneticPr fontId="1" type="noConversion"/>
  </si>
  <si>
    <t>징계(경고)사항</t>
  </si>
  <si>
    <t>HMA360TB</t>
  </si>
  <si>
    <t>VARCHAR2(10 BYTE)</t>
  </si>
  <si>
    <t>직렬코드</t>
  </si>
  <si>
    <t>직급코드</t>
  </si>
  <si>
    <t>NUMBER(3,0)</t>
  </si>
  <si>
    <t>BAS_ASL</t>
  </si>
  <si>
    <t>NUMBER(10,0)</t>
  </si>
  <si>
    <t>기본연봉</t>
  </si>
  <si>
    <t>CBSL_AMT</t>
  </si>
  <si>
    <t>능력급기준금액</t>
  </si>
  <si>
    <t>&lt;-- 직급 ( grd_cd ) 입력됨.</t>
    <phoneticPr fontId="1" type="noConversion"/>
  </si>
  <si>
    <t>PMA022TB</t>
    <phoneticPr fontId="1" type="noConversion"/>
  </si>
  <si>
    <t>01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</si>
  <si>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</si>
  <si>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</si>
  <si>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</si>
  <si>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</si>
  <si>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</si>
  <si>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</si>
  <si>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</si>
  <si>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</si>
  <si>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</si>
  <si>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</si>
  <si>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</si>
  <si>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</si>
  <si>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</si>
  <si>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</si>
  <si>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</si>
  <si>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</si>
  <si>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</si>
  <si>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</si>
  <si>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</si>
  <si>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</si>
  <si>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</si>
  <si>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</si>
  <si>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</si>
  <si>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</si>
  <si>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</si>
  <si>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</si>
  <si>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</si>
  <si>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</si>
  <si>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</si>
  <si>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</si>
  <si>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</si>
  <si>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</si>
  <si>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</si>
  <si>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</si>
  <si>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</si>
  <si>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</si>
  <si>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</si>
  <si>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</si>
  <si>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</si>
  <si>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</si>
  <si>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</si>
  <si>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</si>
  <si>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</si>
  <si>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</si>
  <si>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</si>
  <si>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</si>
  <si>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</si>
  <si>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</si>
  <si>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</si>
  <si>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</si>
  <si>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</si>
  <si>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</si>
  <si>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</si>
  <si>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</si>
  <si>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</si>
  <si>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</si>
  <si>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</si>
  <si>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61</t>
  </si>
  <si>
    <t>62</t>
  </si>
  <si>
    <t>71</t>
  </si>
  <si>
    <t>72</t>
  </si>
  <si>
    <t>81</t>
  </si>
  <si>
    <t>82</t>
  </si>
  <si>
    <t>83</t>
  </si>
  <si>
    <t>84</t>
  </si>
  <si>
    <t>1000</t>
  </si>
  <si>
    <t>1500</t>
  </si>
  <si>
    <t>2000</t>
  </si>
  <si>
    <t>2500</t>
  </si>
  <si>
    <t>4000</t>
  </si>
  <si>
    <t>6000</t>
  </si>
  <si>
    <t>6500</t>
  </si>
  <si>
    <t>1285</t>
  </si>
  <si>
    <t>1290</t>
  </si>
  <si>
    <t>1310</t>
  </si>
  <si>
    <t>1311</t>
  </si>
  <si>
    <t>1312</t>
  </si>
  <si>
    <t>1313</t>
  </si>
  <si>
    <t>1314</t>
  </si>
  <si>
    <t>1320</t>
  </si>
  <si>
    <t>1321</t>
  </si>
  <si>
    <t>1322</t>
  </si>
  <si>
    <t>1323</t>
  </si>
  <si>
    <t>1330</t>
  </si>
  <si>
    <t>1331</t>
  </si>
  <si>
    <t>1340</t>
  </si>
  <si>
    <t>1341</t>
  </si>
  <si>
    <t>1410</t>
  </si>
  <si>
    <t>1420</t>
  </si>
  <si>
    <t>1430</t>
  </si>
  <si>
    <t>1440</t>
  </si>
  <si>
    <t>1450</t>
  </si>
  <si>
    <t>1720</t>
  </si>
  <si>
    <t>1721</t>
  </si>
  <si>
    <t>1722</t>
  </si>
  <si>
    <t>1730</t>
  </si>
  <si>
    <t>1731</t>
  </si>
  <si>
    <t>1732</t>
  </si>
  <si>
    <t>1740</t>
  </si>
  <si>
    <t>1741</t>
  </si>
  <si>
    <t>1750</t>
  </si>
  <si>
    <t>2460</t>
  </si>
  <si>
    <t>2600</t>
  </si>
  <si>
    <t>2700</t>
  </si>
  <si>
    <t>1100</t>
  </si>
  <si>
    <t>1130</t>
  </si>
  <si>
    <t>1132</t>
  </si>
  <si>
    <t>1140</t>
  </si>
  <si>
    <t>1145</t>
  </si>
  <si>
    <t>1150</t>
  </si>
  <si>
    <t>1180</t>
  </si>
  <si>
    <t>1204</t>
  </si>
  <si>
    <t>1206</t>
  </si>
  <si>
    <t>1207</t>
  </si>
  <si>
    <t>1208</t>
  </si>
  <si>
    <t>1209</t>
  </si>
  <si>
    <t>1210</t>
  </si>
  <si>
    <t>1220</t>
  </si>
  <si>
    <t>1230</t>
  </si>
  <si>
    <t>1235</t>
  </si>
  <si>
    <t>1237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</si>
  <si>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</si>
  <si>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</si>
  <si>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</si>
  <si>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</si>
  <si>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</si>
  <si>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</si>
  <si>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</si>
  <si>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</si>
  <si>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</si>
  <si>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</si>
  <si>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</si>
  <si>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</si>
  <si>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</si>
  <si>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</si>
  <si>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1256</t>
  </si>
  <si>
    <t>1259</t>
  </si>
  <si>
    <t>1260</t>
  </si>
  <si>
    <t>1270</t>
  </si>
  <si>
    <t>1300</t>
  </si>
  <si>
    <t>1600</t>
  </si>
  <si>
    <t>1700</t>
  </si>
  <si>
    <t>1800</t>
  </si>
  <si>
    <t>1810</t>
  </si>
  <si>
    <t>3100</t>
  </si>
  <si>
    <t>3300</t>
  </si>
  <si>
    <t>3310</t>
  </si>
  <si>
    <t>6100</t>
  </si>
  <si>
    <t>6200</t>
  </si>
  <si>
    <t>6300</t>
  </si>
  <si>
    <t>6400</t>
  </si>
  <si>
    <t>6600</t>
  </si>
  <si>
    <t>6610</t>
  </si>
  <si>
    <t>6620</t>
  </si>
  <si>
    <t>6630</t>
  </si>
  <si>
    <t>6700</t>
  </si>
  <si>
    <t>6800</t>
  </si>
  <si>
    <t>6900</t>
  </si>
  <si>
    <t>7000</t>
  </si>
  <si>
    <t>7100</t>
  </si>
  <si>
    <t>7200</t>
  </si>
  <si>
    <t>7300</t>
  </si>
  <si>
    <t>7400</t>
  </si>
  <si>
    <t>7500</t>
  </si>
  <si>
    <t>7600</t>
  </si>
  <si>
    <t>7700</t>
  </si>
  <si>
    <t>7800</t>
  </si>
  <si>
    <t>RMV_CD</t>
  </si>
  <si>
    <t>공제코드</t>
  </si>
  <si>
    <t>VARCHAR2(50 BYTE)</t>
  </si>
  <si>
    <t>MW_GB</t>
  </si>
  <si>
    <t>성별(1:남자, 2:여자)</t>
  </si>
  <si>
    <t>O_NM</t>
  </si>
  <si>
    <t>VARCHAR2(40 BYTE)</t>
  </si>
  <si>
    <t>DEPT_CD</t>
  </si>
  <si>
    <t>부서코드</t>
  </si>
  <si>
    <t>SOSOK</t>
  </si>
  <si>
    <t>VARCHAR2(80 BYTE)</t>
  </si>
  <si>
    <t>JIK_NM</t>
  </si>
  <si>
    <t>VARCHAR2(20 BYTE)</t>
  </si>
  <si>
    <t>직렬명</t>
  </si>
  <si>
    <t>GRD_NM</t>
  </si>
  <si>
    <t>직급명</t>
  </si>
  <si>
    <t>JKW_NM</t>
  </si>
  <si>
    <t>직위명</t>
  </si>
  <si>
    <t>OCC_NM</t>
  </si>
  <si>
    <t>직종(계약직:예산구분+예산과목코드)</t>
  </si>
  <si>
    <t>HOB_DAT</t>
  </si>
  <si>
    <t>호봉승급일</t>
  </si>
  <si>
    <t>HOBN_DAT</t>
  </si>
  <si>
    <t>차기호봉승급일</t>
  </si>
  <si>
    <t>EMP_DAT</t>
  </si>
  <si>
    <t>최초임용일자</t>
  </si>
  <si>
    <t>RTCEMP_DAT</t>
  </si>
  <si>
    <t>퇴직계산임용일</t>
  </si>
  <si>
    <t>YMCEMP_DAT</t>
  </si>
  <si>
    <t>연월차계산임용일</t>
  </si>
  <si>
    <t>SUSPE_GB</t>
  </si>
  <si>
    <t>휴직구분(1:무급, 2:유급, 3:질병휴직)</t>
  </si>
  <si>
    <t>SUSPE_DAT</t>
  </si>
  <si>
    <t>휴직일</t>
  </si>
  <si>
    <t>RET_DAT</t>
  </si>
  <si>
    <t>복직일</t>
  </si>
  <si>
    <t>RTI_CD</t>
  </si>
  <si>
    <t>재퇴직구분(1:재직자, 2:비상근, 3:이관자, 4:퇴직자)</t>
  </si>
  <si>
    <t>RTI_DAT</t>
  </si>
  <si>
    <t>퇴직일자</t>
  </si>
  <si>
    <t>FML_CNT</t>
  </si>
  <si>
    <t>NUMBER(1,0)</t>
  </si>
  <si>
    <t>가족수당수</t>
  </si>
  <si>
    <t>CPE_CNT</t>
  </si>
  <si>
    <t>배우자수</t>
  </si>
  <si>
    <t>SPT20_CNT</t>
  </si>
  <si>
    <t>부양가족수(20)</t>
  </si>
  <si>
    <t>SPT60_CNT</t>
  </si>
  <si>
    <t>부양가족수(60)</t>
  </si>
  <si>
    <t>RSF_CNT</t>
  </si>
  <si>
    <t>경로우대자수</t>
  </si>
  <si>
    <t>JGJ_CNT</t>
  </si>
  <si>
    <t>장애자수</t>
  </si>
  <si>
    <t>WMN_CNT</t>
  </si>
  <si>
    <t>부녀자수</t>
  </si>
  <si>
    <t>BRG_CNT</t>
  </si>
  <si>
    <t>자녀양육수</t>
  </si>
  <si>
    <t>MES_NO</t>
  </si>
  <si>
    <t>VARCHAR2(12 BYTE)</t>
  </si>
  <si>
    <t>의료보험번호(200710부터 전환자 예산코드)</t>
  </si>
  <si>
    <t>MES_RNK</t>
  </si>
  <si>
    <t>의료보험등급(200710부터 전환자 예산구분)</t>
  </si>
  <si>
    <t>NTN_RNK</t>
  </si>
  <si>
    <t>국민연금등급</t>
  </si>
  <si>
    <t>PMT_RAT</t>
  </si>
  <si>
    <t>지급율</t>
  </si>
  <si>
    <t>LEC_TIM</t>
  </si>
  <si>
    <t>강의시간</t>
  </si>
  <si>
    <t>KAB_TAX</t>
  </si>
  <si>
    <t>갑근세</t>
  </si>
  <si>
    <t>REX_TAX</t>
  </si>
  <si>
    <t>TSS_AMT</t>
  </si>
  <si>
    <t>비과세금액</t>
  </si>
  <si>
    <t>MMOUT_TAX</t>
  </si>
  <si>
    <t>월산출세액</t>
  </si>
  <si>
    <t>WETAX_RMV</t>
  </si>
  <si>
    <t>근로소득세액공제</t>
  </si>
  <si>
    <t>ERNRMV_AMT</t>
  </si>
  <si>
    <t>소득공제액</t>
  </si>
  <si>
    <t>RMVTOT_AMT</t>
  </si>
  <si>
    <t>공제합계</t>
  </si>
  <si>
    <t>ERNTOT_AMT</t>
  </si>
  <si>
    <t>소득합계</t>
  </si>
  <si>
    <t>PMT_AMT</t>
  </si>
  <si>
    <t>RPI_AMT</t>
  </si>
  <si>
    <t>계좌입금액</t>
  </si>
  <si>
    <t>BSL_PAM</t>
  </si>
  <si>
    <t>기본급여</t>
  </si>
  <si>
    <t>WAG_AMT</t>
  </si>
  <si>
    <t>통상임금</t>
  </si>
  <si>
    <t>PMT_DAT</t>
  </si>
  <si>
    <t>지급일자</t>
  </si>
  <si>
    <t>RPI_GB</t>
  </si>
  <si>
    <t>입금구분</t>
  </si>
  <si>
    <t>GEJ_NO</t>
  </si>
  <si>
    <t>계좌번호</t>
  </si>
  <si>
    <t>REC_NM</t>
  </si>
  <si>
    <t>수령인</t>
  </si>
  <si>
    <t>OBLSZR_YN</t>
  </si>
  <si>
    <t>채권압류여부</t>
  </si>
  <si>
    <t>NOJ_YN</t>
  </si>
  <si>
    <t>노조가입여부</t>
  </si>
  <si>
    <t>ABS_CNT</t>
  </si>
  <si>
    <t>NUMBER(2,0)</t>
  </si>
  <si>
    <t>결근일수</t>
  </si>
  <si>
    <t>FOA_RNK</t>
  </si>
  <si>
    <t>우선순위</t>
  </si>
  <si>
    <t>INP_NM</t>
  </si>
  <si>
    <t>INP_DAT</t>
  </si>
  <si>
    <t>UP_NM</t>
  </si>
  <si>
    <t>UP_DAT</t>
  </si>
  <si>
    <t>MCH_GRANT</t>
  </si>
  <si>
    <t>매칭그렌트여부</t>
  </si>
  <si>
    <t>MCH_AMT</t>
  </si>
  <si>
    <t>매칭금액</t>
  </si>
  <si>
    <t>MED_AMT</t>
  </si>
  <si>
    <t>의료보험보수월액</t>
  </si>
  <si>
    <t>NTN_AMT</t>
  </si>
  <si>
    <t>국민연금기준소득월액</t>
  </si>
  <si>
    <t>MED_YN</t>
  </si>
  <si>
    <t>건강보험장기요양보험료감면대상여부</t>
  </si>
  <si>
    <t>RMV_NM</t>
  </si>
  <si>
    <t>공제명</t>
  </si>
  <si>
    <t>RMV_AMT</t>
  </si>
  <si>
    <t>공제금액</t>
  </si>
  <si>
    <t>OUT_SQN</t>
  </si>
  <si>
    <t>출력순서</t>
  </si>
  <si>
    <t>VARCHAR2(200 BYTE)</t>
  </si>
  <si>
    <t>RTI_CD</t>
    <phoneticPr fontId="1" type="noConversion"/>
  </si>
  <si>
    <t>COL_NAME</t>
    <phoneticPr fontId="1" type="noConversion"/>
  </si>
  <si>
    <t>PMA040TB</t>
    <phoneticPr fontId="1" type="noConversion"/>
  </si>
  <si>
    <t>O_GB</t>
  </si>
  <si>
    <t>기관구분(HM45)</t>
  </si>
  <si>
    <t>ARA_CD</t>
  </si>
  <si>
    <t>지역코드(HM46)</t>
  </si>
  <si>
    <t>O_SNM</t>
  </si>
  <si>
    <t>기관약어</t>
  </si>
  <si>
    <t>JW_SQN</t>
  </si>
  <si>
    <t>정현원우선순위</t>
  </si>
  <si>
    <t>GIB</t>
  </si>
  <si>
    <t>급지</t>
  </si>
  <si>
    <t>USE_YN</t>
  </si>
  <si>
    <t>사용여부</t>
  </si>
  <si>
    <t>HMA030TB</t>
  </si>
  <si>
    <t>기관유형</t>
  </si>
  <si>
    <t>HMA040TB</t>
  </si>
  <si>
    <t>HMA050TB</t>
  </si>
  <si>
    <t>담당이사</t>
  </si>
  <si>
    <t>HMA060TB</t>
  </si>
  <si>
    <t>실국</t>
  </si>
  <si>
    <t>HMA070TB</t>
  </si>
  <si>
    <t>부팀</t>
  </si>
  <si>
    <t>HMA080TB</t>
  </si>
  <si>
    <t>HMA081TB</t>
  </si>
  <si>
    <t>부서코드이력</t>
  </si>
  <si>
    <t>HMA090TB</t>
  </si>
  <si>
    <t>직렬</t>
  </si>
  <si>
    <t>HMA100TB</t>
  </si>
  <si>
    <t>HMA110TB</t>
  </si>
  <si>
    <t>HMA200TB</t>
  </si>
  <si>
    <t>인사기본사항</t>
  </si>
  <si>
    <t>HMA205TB</t>
  </si>
  <si>
    <t>파견자관리_인사기본사항</t>
  </si>
  <si>
    <t>HMA210TB</t>
  </si>
  <si>
    <t>사진</t>
  </si>
  <si>
    <t>HMA220TB</t>
  </si>
  <si>
    <t>학력사항</t>
  </si>
  <si>
    <t>HMA230TB</t>
  </si>
  <si>
    <t>일반자격면허사항</t>
  </si>
  <si>
    <t>HMA240TB</t>
  </si>
  <si>
    <t>교사면허</t>
  </si>
  <si>
    <t>HMA250TB</t>
  </si>
  <si>
    <t>외국어사항</t>
  </si>
  <si>
    <t>HMA255TB</t>
  </si>
  <si>
    <t>HMA260TB</t>
  </si>
  <si>
    <t>입사이전경력</t>
  </si>
  <si>
    <t>HMA270TB</t>
  </si>
  <si>
    <t>공익근무요원</t>
  </si>
  <si>
    <t>HMA280TB</t>
  </si>
  <si>
    <t>병역사항</t>
  </si>
  <si>
    <t>HMA290TB</t>
  </si>
  <si>
    <t>단체가입사항</t>
  </si>
  <si>
    <t>HMA300TB</t>
  </si>
  <si>
    <t>결혼사항</t>
  </si>
  <si>
    <t>HMA310TB</t>
  </si>
  <si>
    <t>종교기호</t>
  </si>
  <si>
    <t>HMA320TB</t>
  </si>
  <si>
    <t>개인근무경력사항</t>
  </si>
  <si>
    <t>HMA321TB</t>
  </si>
  <si>
    <t>근무경력임시발령</t>
  </si>
  <si>
    <t>HMA322TB</t>
  </si>
  <si>
    <t>근무경력임시(가상)발령</t>
  </si>
  <si>
    <t>HMA325TB</t>
  </si>
  <si>
    <t>개인근무경력사항이력</t>
  </si>
  <si>
    <t>HMA326TB</t>
  </si>
  <si>
    <t>현부서발령일관리</t>
  </si>
  <si>
    <t>HMA330TB</t>
  </si>
  <si>
    <t>승급강급기록</t>
  </si>
  <si>
    <t>HMA350TB</t>
  </si>
  <si>
    <t>포상사항</t>
  </si>
  <si>
    <t>HMA380TB</t>
  </si>
  <si>
    <t>휴직기록</t>
  </si>
  <si>
    <t>HMA390TB</t>
  </si>
  <si>
    <t>신체사항</t>
  </si>
  <si>
    <t>HMA400TB</t>
  </si>
  <si>
    <t>파견기록</t>
  </si>
  <si>
    <t>HMA410TB</t>
  </si>
  <si>
    <t>가족사항</t>
  </si>
  <si>
    <t>HMA420TB</t>
  </si>
  <si>
    <t>보훈</t>
  </si>
  <si>
    <t>HMA430TB</t>
  </si>
  <si>
    <t>장애</t>
  </si>
  <si>
    <t>HMA440TB</t>
  </si>
  <si>
    <t>비정규직</t>
  </si>
  <si>
    <t>HMA450TB</t>
  </si>
  <si>
    <t>비정규직관리</t>
  </si>
  <si>
    <t>HMA460TB</t>
  </si>
  <si>
    <t>제증명신청발급사항</t>
  </si>
  <si>
    <t>HMA470TB</t>
  </si>
  <si>
    <t>제증명출력</t>
  </si>
  <si>
    <t>HMA480TB</t>
  </si>
  <si>
    <t>고충처리기록</t>
  </si>
  <si>
    <t>HMA490TB</t>
  </si>
  <si>
    <t>부부직원</t>
  </si>
  <si>
    <t>HMA500TB</t>
  </si>
  <si>
    <t>특수관리대상</t>
  </si>
  <si>
    <t>HMA520TB</t>
  </si>
  <si>
    <t>정원표</t>
  </si>
  <si>
    <t>HMA530TB</t>
  </si>
  <si>
    <t>정현원표</t>
  </si>
  <si>
    <t>HMA550TB</t>
  </si>
  <si>
    <t>학교코드</t>
  </si>
  <si>
    <t>HMA600TB</t>
  </si>
  <si>
    <t>인사정보 접근권한</t>
  </si>
  <si>
    <t>HMA610TB</t>
  </si>
  <si>
    <t>부서맵핑정보</t>
  </si>
  <si>
    <t>HMA615TB</t>
  </si>
  <si>
    <t>부서맵핑코드상세</t>
  </si>
  <si>
    <t>HMA720TB</t>
  </si>
  <si>
    <t>신분증관리</t>
  </si>
  <si>
    <t>HMA900TB</t>
  </si>
  <si>
    <t>파견자관리</t>
  </si>
  <si>
    <t>HMA910TB</t>
  </si>
  <si>
    <t>장기휴가자 관리</t>
  </si>
  <si>
    <t>OFO_GB</t>
  </si>
  <si>
    <t>OFO_DAT</t>
  </si>
  <si>
    <t>발령일자</t>
  </si>
  <si>
    <t>OFO_GR</t>
  </si>
  <si>
    <t>발령그룹</t>
  </si>
  <si>
    <t>OFOGB_NM</t>
  </si>
  <si>
    <t>발령구분명</t>
  </si>
  <si>
    <t>WRKO_CD</t>
  </si>
  <si>
    <t>작업기관(본부)코드</t>
  </si>
  <si>
    <t>OFOAO_CD</t>
  </si>
  <si>
    <t>발령상위기관코드</t>
  </si>
  <si>
    <t>OFOO_CD</t>
  </si>
  <si>
    <t>발령기관코드</t>
  </si>
  <si>
    <t>OFO_NO</t>
  </si>
  <si>
    <t>발령번호</t>
  </si>
  <si>
    <t>DOCIMP_DAT</t>
  </si>
  <si>
    <t>문서시행일자</t>
  </si>
  <si>
    <t>VARCHAR2(30 BYTE)</t>
  </si>
  <si>
    <t>ETCJKW_CD</t>
  </si>
  <si>
    <t>보직코드(HM13)</t>
  </si>
  <si>
    <t>ETCJKW_NM</t>
  </si>
  <si>
    <t>보직명</t>
  </si>
  <si>
    <t>DDJ_UPM_CD</t>
  </si>
  <si>
    <t>담당업무코드(HM14)</t>
  </si>
  <si>
    <t>DDJ_UPM</t>
  </si>
  <si>
    <t>순번(근무경력이력)</t>
  </si>
  <si>
    <t>FILE_ID</t>
  </si>
  <si>
    <t>파일ID</t>
  </si>
  <si>
    <t>발령구분(HM09)</t>
    <phoneticPr fontId="1" type="noConversion"/>
  </si>
  <si>
    <t>1010</t>
  </si>
  <si>
    <t>임시</t>
  </si>
  <si>
    <t>임용처리</t>
  </si>
  <si>
    <t>1020</t>
  </si>
  <si>
    <t>수습</t>
  </si>
  <si>
    <t>1030</t>
  </si>
  <si>
    <t>정규</t>
  </si>
  <si>
    <t>승진</t>
  </si>
  <si>
    <t>승진전보처리</t>
  </si>
  <si>
    <t>1110</t>
  </si>
  <si>
    <t>승진전보</t>
  </si>
  <si>
    <t>자체</t>
  </si>
  <si>
    <t>경력사항</t>
  </si>
  <si>
    <t>1160</t>
  </si>
  <si>
    <t>자체임용</t>
  </si>
  <si>
    <t>1170</t>
  </si>
  <si>
    <t>자체전보</t>
  </si>
  <si>
    <t>1200</t>
  </si>
  <si>
    <t>임용</t>
  </si>
  <si>
    <t>임용취소</t>
  </si>
  <si>
    <t>퇴직처리</t>
  </si>
  <si>
    <t>1400</t>
  </si>
  <si>
    <t>전직전보</t>
  </si>
  <si>
    <t>전보</t>
  </si>
  <si>
    <t>1550</t>
  </si>
  <si>
    <t>전보2</t>
  </si>
  <si>
    <t>1570</t>
  </si>
  <si>
    <t>직무지정</t>
  </si>
  <si>
    <t>겸임</t>
  </si>
  <si>
    <t>1605</t>
  </si>
  <si>
    <t>겸임연장</t>
  </si>
  <si>
    <t>1610</t>
  </si>
  <si>
    <t>겸임해지</t>
  </si>
  <si>
    <t>1650</t>
  </si>
  <si>
    <t>공로연수</t>
  </si>
  <si>
    <t>1710</t>
  </si>
  <si>
    <t>파견연장</t>
  </si>
  <si>
    <t>파견해지</t>
  </si>
  <si>
    <t>해외파견</t>
  </si>
  <si>
    <t>1820</t>
  </si>
  <si>
    <t>해외출장</t>
  </si>
  <si>
    <t>1900</t>
  </si>
  <si>
    <t>2100</t>
  </si>
  <si>
    <t>2110</t>
  </si>
  <si>
    <t>복직</t>
  </si>
  <si>
    <t>2200</t>
  </si>
  <si>
    <t>직위해제</t>
  </si>
  <si>
    <t>2210</t>
  </si>
  <si>
    <t>직위해제해지</t>
  </si>
  <si>
    <t>2215</t>
  </si>
  <si>
    <t>처분말소</t>
  </si>
  <si>
    <t>2410</t>
  </si>
  <si>
    <t>징계면직</t>
  </si>
  <si>
    <t>2420</t>
  </si>
  <si>
    <t>의원면직</t>
  </si>
  <si>
    <t>2425</t>
  </si>
  <si>
    <t>명예퇴직</t>
  </si>
  <si>
    <t>2427</t>
  </si>
  <si>
    <t>조기퇴직</t>
  </si>
  <si>
    <t>2430</t>
  </si>
  <si>
    <t>정년퇴직</t>
  </si>
  <si>
    <t>2435</t>
  </si>
  <si>
    <t>이관퇴직</t>
  </si>
  <si>
    <t>이관처리</t>
  </si>
  <si>
    <t>2440</t>
  </si>
  <si>
    <t>사망</t>
  </si>
  <si>
    <t>2445</t>
  </si>
  <si>
    <t>해임</t>
  </si>
  <si>
    <t>2450</t>
  </si>
  <si>
    <t>임기만료</t>
  </si>
  <si>
    <t>직권면직</t>
  </si>
  <si>
    <t>2470</t>
  </si>
  <si>
    <t>계약기간만료</t>
  </si>
  <si>
    <t>3000</t>
  </si>
  <si>
    <t>직무대리</t>
  </si>
  <si>
    <t>3010</t>
  </si>
  <si>
    <t>직무대리해지</t>
  </si>
  <si>
    <t>3050</t>
  </si>
  <si>
    <t>직무대행</t>
  </si>
  <si>
    <t>3060</t>
  </si>
  <si>
    <t>직무대행해지</t>
  </si>
  <si>
    <t>근무지시</t>
  </si>
  <si>
    <t>3110</t>
  </si>
  <si>
    <t>근무지시해지</t>
  </si>
  <si>
    <t>3200</t>
  </si>
  <si>
    <t>직명변경</t>
  </si>
  <si>
    <t>3400</t>
  </si>
  <si>
    <t>임기연장</t>
  </si>
  <si>
    <t>3500</t>
  </si>
  <si>
    <t>직제변경</t>
  </si>
  <si>
    <t>3600</t>
  </si>
  <si>
    <t>공단통폐합</t>
  </si>
  <si>
    <t>3700</t>
  </si>
  <si>
    <t>포상</t>
  </si>
  <si>
    <t>3800</t>
  </si>
  <si>
    <t>퇴직재임용</t>
  </si>
  <si>
    <t>3900</t>
  </si>
  <si>
    <t>당연퇴직</t>
  </si>
  <si>
    <t>3910</t>
  </si>
  <si>
    <t>보직해임</t>
  </si>
  <si>
    <t>3915</t>
  </si>
  <si>
    <t>보직임용</t>
  </si>
  <si>
    <t>3920</t>
  </si>
  <si>
    <t>휴직연장</t>
  </si>
  <si>
    <t>재임용</t>
  </si>
  <si>
    <t>4100</t>
  </si>
  <si>
    <t>직종변경</t>
  </si>
  <si>
    <t>4200</t>
  </si>
  <si>
    <t>규정개정</t>
  </si>
  <si>
    <t>4300</t>
  </si>
  <si>
    <t>직위해제사유변경</t>
  </si>
  <si>
    <t>4400</t>
  </si>
  <si>
    <t>계약임용</t>
  </si>
  <si>
    <t>4500</t>
  </si>
  <si>
    <t>4510</t>
  </si>
  <si>
    <t>정직기간종료</t>
  </si>
  <si>
    <t>4600</t>
  </si>
  <si>
    <t>근무연장</t>
  </si>
  <si>
    <t>4700</t>
  </si>
  <si>
    <t>강등</t>
  </si>
  <si>
    <t>4710</t>
  </si>
  <si>
    <t>강등기간종료</t>
  </si>
  <si>
    <t>AMT_GB</t>
  </si>
  <si>
    <t>업무추진비구분(1:직책, 2:직급)</t>
  </si>
  <si>
    <t>PMT1_AMT</t>
  </si>
  <si>
    <t>2급지금액</t>
  </si>
  <si>
    <t>SFR-005-04-02</t>
  </si>
  <si>
    <t>SFR-005-04-04</t>
  </si>
  <si>
    <t>SFR-005-04-01</t>
  </si>
  <si>
    <t>HMA950AA</t>
  </si>
  <si>
    <t>인사발령처리</t>
  </si>
  <si>
    <t>인사</t>
    <phoneticPr fontId="1" type="noConversion"/>
  </si>
  <si>
    <t>EMPSTR_DAT</t>
  </si>
  <si>
    <t>임용시작일자</t>
  </si>
  <si>
    <t>EMPEND_DAT</t>
  </si>
  <si>
    <t>임용끝일자</t>
  </si>
  <si>
    <t>재퇴직구분 (1:재직자, 2:비상근, 3:이관자, 4:퇴직자)</t>
  </si>
  <si>
    <t>OFO_YN</t>
  </si>
  <si>
    <t>'N'</t>
  </si>
  <si>
    <t>발령여부(Y:발령,N:발령예정)</t>
  </si>
  <si>
    <t>휴직구분(1:무급, 2:공무상장애휴직, 3:질병휴직)</t>
  </si>
  <si>
    <t>STR_DAT</t>
  </si>
  <si>
    <t>기간(시작)</t>
  </si>
  <si>
    <t>END_DAT</t>
  </si>
  <si>
    <t>기간(끝)</t>
  </si>
  <si>
    <t>PFRET_DAT</t>
  </si>
  <si>
    <t>복귀일</t>
  </si>
  <si>
    <t>PFSOSOK</t>
  </si>
  <si>
    <t>복귀소속</t>
  </si>
  <si>
    <t>PAJIK_CD</t>
  </si>
  <si>
    <t>파견직렬코드</t>
  </si>
  <si>
    <t>PAJIK_NM</t>
  </si>
  <si>
    <t>파견직렬명</t>
  </si>
  <si>
    <t>PAGRD_CD</t>
  </si>
  <si>
    <t>파견직급코드</t>
  </si>
  <si>
    <t>PAGRD_NM</t>
  </si>
  <si>
    <t>파견직급명</t>
  </si>
  <si>
    <t>PAJKW_CD</t>
  </si>
  <si>
    <t>파견직위코드</t>
  </si>
  <si>
    <t>PAJKW_NM</t>
  </si>
  <si>
    <t>파견직위명</t>
  </si>
  <si>
    <t>PAETCJKW_CD</t>
  </si>
  <si>
    <t>파견보직코드</t>
  </si>
  <si>
    <t>PAETCJKW_NM</t>
  </si>
  <si>
    <t>파견보직명</t>
  </si>
  <si>
    <t>PADEPT_CD</t>
  </si>
  <si>
    <t>파견부서코드</t>
  </si>
  <si>
    <t>PASOSOK</t>
  </si>
  <si>
    <t>파견소속</t>
  </si>
  <si>
    <t>발령구분(HM09)</t>
    <phoneticPr fontId="1" type="noConversion"/>
  </si>
  <si>
    <t>직위코드(HM08)</t>
    <phoneticPr fontId="1" type="noConversion"/>
  </si>
  <si>
    <t>수정</t>
    <phoneticPr fontId="1" type="noConversion"/>
  </si>
  <si>
    <t>발령일</t>
  </si>
  <si>
    <t>기관임용일</t>
  </si>
  <si>
    <t>BONOFO_DAT</t>
  </si>
  <si>
    <t>본부임용일</t>
  </si>
  <si>
    <t>KUKOFO_DAT</t>
  </si>
  <si>
    <t>국/실임용일</t>
  </si>
  <si>
    <t>NEWDEPOFO_DAT</t>
  </si>
  <si>
    <t>부서발령일(부/팀)</t>
  </si>
  <si>
    <t>CHG_TXT</t>
  </si>
  <si>
    <t>VARCHAR2(100 BYTE)</t>
  </si>
  <si>
    <t>일자</t>
    <phoneticPr fontId="3" type="noConversion"/>
  </si>
  <si>
    <t>명칭</t>
    <phoneticPr fontId="3" type="noConversion"/>
  </si>
  <si>
    <t>추석연휴</t>
    <phoneticPr fontId="3" type="noConversion"/>
  </si>
  <si>
    <t>시작일자
(계획)</t>
    <phoneticPr fontId="1" type="noConversion"/>
  </si>
  <si>
    <t>종료일자
(계획)</t>
    <phoneticPr fontId="1" type="noConversion"/>
  </si>
  <si>
    <t>개인근무경력사항이력</t>
    <phoneticPr fontId="1" type="noConversion"/>
  </si>
  <si>
    <t>RET_GB</t>
  </si>
  <si>
    <t>복직구분(N:휴직, Y:복직, D:휴직연장)</t>
  </si>
  <si>
    <t>기간(까지)</t>
  </si>
  <si>
    <t>VARCHAR2(120 BYTE)</t>
  </si>
  <si>
    <t>휴직이유</t>
  </si>
  <si>
    <t>명령번호</t>
  </si>
  <si>
    <t>NUMBER(5,0)</t>
  </si>
  <si>
    <t>기간(일수)</t>
  </si>
  <si>
    <t>복직소속</t>
  </si>
  <si>
    <t>당시소속</t>
  </si>
  <si>
    <t>당시직급</t>
  </si>
  <si>
    <t>당시직종</t>
  </si>
  <si>
    <t>당시직위</t>
  </si>
  <si>
    <t>이전휴직구분</t>
  </si>
  <si>
    <t>이전휴직일</t>
  </si>
  <si>
    <t>이전복직일</t>
  </si>
  <si>
    <t>발령구분(HM09)</t>
  </si>
  <si>
    <t>휴직상세</t>
  </si>
  <si>
    <t>SUSPE_CAU</t>
  </si>
  <si>
    <t>CMD_NO</t>
  </si>
  <si>
    <t>AFSOSOK</t>
  </si>
  <si>
    <t>AFRET_DAT</t>
  </si>
  <si>
    <t>BFSOSOK</t>
  </si>
  <si>
    <t>BFGRD_NM</t>
  </si>
  <si>
    <t>BFOCC_NM</t>
  </si>
  <si>
    <t>BFJKW_NM</t>
  </si>
  <si>
    <t>BFSUSPE_GB</t>
  </si>
  <si>
    <t>BFSUSPE_DAT</t>
  </si>
  <si>
    <t>BFRET_DAT</t>
  </si>
  <si>
    <t>SUSPE_DT</t>
  </si>
  <si>
    <t>휴직</t>
    <phoneticPr fontId="1" type="noConversion"/>
  </si>
  <si>
    <t>상세</t>
    <phoneticPr fontId="1" type="noConversion"/>
  </si>
  <si>
    <t>QUERY</t>
    <phoneticPr fontId="1" type="noConversion"/>
  </si>
  <si>
    <t>QRY</t>
    <phoneticPr fontId="1" type="noConversion"/>
  </si>
  <si>
    <t>조회</t>
    <phoneticPr fontId="1" type="noConversion"/>
  </si>
  <si>
    <t>PME280AS</t>
  </si>
  <si>
    <t>기관별학자금상환현황</t>
  </si>
  <si>
    <t>RSCK100AA</t>
  </si>
  <si>
    <t>자유게시판</t>
  </si>
  <si>
    <t>FAB010AS</t>
  </si>
  <si>
    <t>회계구분선택</t>
  </si>
  <si>
    <t>FAN615AA</t>
  </si>
  <si>
    <t>결의서지급확정현황</t>
  </si>
  <si>
    <t>FAN060AA</t>
  </si>
  <si>
    <t>업체/외부인원관리</t>
  </si>
  <si>
    <t>FAB290AS</t>
  </si>
  <si>
    <t>증빙자료현황</t>
  </si>
  <si>
    <t>FAB296AA</t>
  </si>
  <si>
    <t>근로소득마감관리</t>
  </si>
  <si>
    <t>FAB172AS</t>
  </si>
  <si>
    <t>지출원인행위부현황</t>
  </si>
  <si>
    <t>FAB182AS</t>
  </si>
  <si>
    <t>예산통제현황</t>
  </si>
  <si>
    <t>FAB300AS</t>
  </si>
  <si>
    <t>분개표현황</t>
  </si>
  <si>
    <t>FAB330AS</t>
  </si>
  <si>
    <t>총계정원장</t>
  </si>
  <si>
    <t>FAB320AS</t>
  </si>
  <si>
    <t>보조원장</t>
  </si>
  <si>
    <t>FAB530AS</t>
  </si>
  <si>
    <t>합계잔액시산표</t>
  </si>
  <si>
    <t>FAB540AS</t>
  </si>
  <si>
    <t>대차대조표</t>
  </si>
  <si>
    <t>FAB550AS</t>
  </si>
  <si>
    <t>손익계산서</t>
  </si>
  <si>
    <t>FAB570AS</t>
  </si>
  <si>
    <t>원천납부세액명세서</t>
  </si>
  <si>
    <t>FAB400AA</t>
  </si>
  <si>
    <t>수입금송금입력</t>
  </si>
  <si>
    <t>FAB410AS</t>
  </si>
  <si>
    <t>수입금송금현황</t>
  </si>
  <si>
    <t>RSCA103AU</t>
  </si>
  <si>
    <t>사용자패스워드변경</t>
  </si>
  <si>
    <t>COM002AA</t>
  </si>
  <si>
    <t>공통코드관리</t>
  </si>
  <si>
    <t>PMA270AS</t>
  </si>
  <si>
    <t>차량운영지원비명세서현황</t>
  </si>
  <si>
    <t>PMA075AA</t>
  </si>
  <si>
    <t>기관별공제별계좌관리</t>
  </si>
  <si>
    <t>AMA992AA</t>
  </si>
  <si>
    <t>월별노트북PC구매현황</t>
  </si>
  <si>
    <t>AMA990AA</t>
  </si>
  <si>
    <t>월별PC구매현황</t>
  </si>
  <si>
    <t>AMA991AA</t>
  </si>
  <si>
    <t>월별프린터구매현황</t>
  </si>
  <si>
    <t>AMA560AS</t>
  </si>
  <si>
    <t>조회페이지</t>
  </si>
  <si>
    <t>AMA950AS</t>
  </si>
  <si>
    <t>자산변동이력</t>
  </si>
  <si>
    <t>AMA398AS</t>
  </si>
  <si>
    <t>자산반납</t>
  </si>
  <si>
    <t>AMA490AS</t>
  </si>
  <si>
    <t>국유재산목록현황</t>
  </si>
  <si>
    <t>AMA251AS</t>
  </si>
  <si>
    <t>물품자산현황</t>
  </si>
  <si>
    <t>AMA520AS</t>
  </si>
  <si>
    <t>자산취득현황(신규)</t>
  </si>
  <si>
    <t>AMA525AS</t>
  </si>
  <si>
    <t>자산취득현황(관리전환)</t>
  </si>
  <si>
    <t>AMA999AS</t>
  </si>
  <si>
    <t>전산장비총괄표</t>
  </si>
  <si>
    <t>FAA232AS</t>
  </si>
  <si>
    <t>사고이월확인여부</t>
  </si>
  <si>
    <t>FAC631AA</t>
  </si>
  <si>
    <t>유무형자산증감명세서</t>
  </si>
  <si>
    <t>FAC641AA</t>
  </si>
  <si>
    <t>감가상각액증감명세서</t>
  </si>
  <si>
    <t>FAC530AS</t>
  </si>
  <si>
    <t>수정후합계잔액시산표</t>
  </si>
  <si>
    <t>FAC540AS</t>
  </si>
  <si>
    <t>수정후대차대조표</t>
  </si>
  <si>
    <t>FAC550AS</t>
  </si>
  <si>
    <t>수정후손익계산서</t>
  </si>
  <si>
    <t>FAC560AS</t>
  </si>
  <si>
    <t>결손금처리계산서</t>
  </si>
  <si>
    <t>수정후대차대조표(세무)</t>
  </si>
  <si>
    <t>수정후손익계산서(세무)</t>
  </si>
  <si>
    <t>수정후합계잔액시산표(세무)</t>
  </si>
  <si>
    <t>FAC517AA</t>
  </si>
  <si>
    <t>결산정리(특별관리기금)</t>
  </si>
  <si>
    <t>FAB180AS</t>
  </si>
  <si>
    <t>예산통제부</t>
  </si>
  <si>
    <t>HMB490AS</t>
  </si>
  <si>
    <t>발령전후 대조표</t>
  </si>
  <si>
    <t>FAC621AA</t>
  </si>
  <si>
    <t>선수금명세서</t>
  </si>
  <si>
    <t>PMH157AS</t>
  </si>
  <si>
    <t>출장신청결재</t>
  </si>
  <si>
    <t>FAA031AB</t>
  </si>
  <si>
    <t>예산편성작업확정</t>
  </si>
  <si>
    <t>FAC601AA</t>
  </si>
  <si>
    <t>기타투자자산명세서</t>
  </si>
  <si>
    <t>FAC611AA</t>
  </si>
  <si>
    <t>예치금명세서</t>
  </si>
  <si>
    <t>FAC153AA</t>
  </si>
  <si>
    <t>유가증권(단기)명세서</t>
  </si>
  <si>
    <t>PMA910AA</t>
  </si>
  <si>
    <t>퇴직연금자료 업로그</t>
  </si>
  <si>
    <t>FAB270AA</t>
  </si>
  <si>
    <t>원천징수세액납부</t>
  </si>
  <si>
    <t>AMA590AS</t>
  </si>
  <si>
    <t>결산정리</t>
  </si>
  <si>
    <t>HMW130AS</t>
  </si>
  <si>
    <t>년근무상황기록현황</t>
  </si>
  <si>
    <t>HMB360AS</t>
  </si>
  <si>
    <t>승진현황</t>
  </si>
  <si>
    <t>HMB410AS</t>
  </si>
  <si>
    <t>지방인재현황</t>
  </si>
  <si>
    <t>PMH180AS</t>
  </si>
  <si>
    <t>시간외근무명령부등록</t>
  </si>
  <si>
    <t>HMB460AS</t>
  </si>
  <si>
    <t>순환전보대상자조회</t>
  </si>
  <si>
    <t>HMB470AS</t>
  </si>
  <si>
    <t>HMB500AS</t>
  </si>
  <si>
    <t>개인별 발령전후 현황</t>
  </si>
  <si>
    <t>FAA820AA</t>
  </si>
  <si>
    <t>고용부위탁사업 예산</t>
  </si>
  <si>
    <t>FAB213AS</t>
  </si>
  <si>
    <t>일마감현황</t>
  </si>
  <si>
    <t>FAN630AA</t>
  </si>
  <si>
    <t>결의서지급확정권한설정</t>
  </si>
  <si>
    <t>PMA901AA</t>
  </si>
  <si>
    <t>퇴직연금자료 업로드</t>
  </si>
  <si>
    <t>FAA213AS</t>
  </si>
  <si>
    <t>기관별익월예산집행내역</t>
  </si>
  <si>
    <t>FAA995AS</t>
  </si>
  <si>
    <t>금융자산(예금)현황</t>
  </si>
  <si>
    <t>PMH225AS</t>
  </si>
  <si>
    <t>유연근무 결재</t>
  </si>
  <si>
    <t>월별일자별개인별시간외수당관리</t>
  </si>
  <si>
    <t>HMG020AS</t>
  </si>
  <si>
    <t>감사현황</t>
  </si>
  <si>
    <t>HMG030AS</t>
  </si>
  <si>
    <t>감사통계</t>
  </si>
  <si>
    <t>공기구비품관리</t>
  </si>
  <si>
    <t>부외자산관리</t>
  </si>
  <si>
    <t>HMA026AA</t>
  </si>
  <si>
    <t>생일자 현황</t>
  </si>
  <si>
    <t>PMH158AS</t>
  </si>
  <si>
    <t>출장복명결재</t>
  </si>
  <si>
    <t>PMH185AS</t>
  </si>
  <si>
    <t>시간외근무명령부확인</t>
  </si>
  <si>
    <t>POOL200</t>
  </si>
  <si>
    <t>인력POOL분류코드관리</t>
  </si>
  <si>
    <t>HMA900AA</t>
  </si>
  <si>
    <t>HMB420AS</t>
  </si>
  <si>
    <t>남여현황</t>
  </si>
  <si>
    <t>HMA910AA</t>
  </si>
  <si>
    <t>출산휴가자관리</t>
  </si>
  <si>
    <t>PMA159AS</t>
  </si>
  <si>
    <t>2011년 성과연봉 정산</t>
  </si>
  <si>
    <t>FAA980AS</t>
  </si>
  <si>
    <t>재원별통합예산집행현황</t>
  </si>
  <si>
    <t>PMH190AS</t>
  </si>
  <si>
    <t>최종퇴청시간등록</t>
  </si>
  <si>
    <t>FAA990AS</t>
  </si>
  <si>
    <t>수입실적구분관리</t>
  </si>
  <si>
    <t>FAB350AS</t>
  </si>
  <si>
    <t>확정분개일자별입금현황</t>
  </si>
  <si>
    <t>PMA275AS</t>
  </si>
  <si>
    <t>직무급지급명세서</t>
  </si>
  <si>
    <t>PMA370AA</t>
  </si>
  <si>
    <t>개인연봉모의산정</t>
  </si>
  <si>
    <t>FAA550AS</t>
  </si>
  <si>
    <t>예산사업별집행현황</t>
  </si>
  <si>
    <t>HMG010AA</t>
  </si>
  <si>
    <t>감사기본코드관리</t>
  </si>
  <si>
    <t>FAA240AA</t>
  </si>
  <si>
    <t>계약서,결의서이월작업</t>
  </si>
  <si>
    <t>FAA400AS</t>
  </si>
  <si>
    <t>예산과목별명세서</t>
  </si>
  <si>
    <t>FAA404AS</t>
  </si>
  <si>
    <t>예산사업별명세서</t>
  </si>
  <si>
    <t>FAA403AS</t>
  </si>
  <si>
    <t>예산과목세목별명세서</t>
  </si>
  <si>
    <t>FAA405AS</t>
  </si>
  <si>
    <t>예산각목명세서출력</t>
  </si>
  <si>
    <t>FAA184AS</t>
  </si>
  <si>
    <t>예산내역조회(기관)</t>
  </si>
  <si>
    <t>FAA901AS</t>
  </si>
  <si>
    <t>예산편성현황(전체)</t>
  </si>
  <si>
    <t>FAA902AS</t>
  </si>
  <si>
    <t>예산총괄현황</t>
  </si>
  <si>
    <t>FAB100AS</t>
  </si>
  <si>
    <t>결의서신청현황조회</t>
  </si>
  <si>
    <t>PMH127AA</t>
  </si>
  <si>
    <t>근무상황기록부확인</t>
  </si>
  <si>
    <t>PMH182AS</t>
  </si>
  <si>
    <t>시간외근무명령부</t>
  </si>
  <si>
    <t>POOL800</t>
  </si>
  <si>
    <t>인력POOL개인별참여실적조회</t>
  </si>
  <si>
    <t>POOL900</t>
  </si>
  <si>
    <t>인력POOL개인별참여현황조회</t>
  </si>
  <si>
    <t>PMH170AS</t>
  </si>
  <si>
    <t>년월직원복무현황</t>
  </si>
  <si>
    <t>HMA610AA</t>
  </si>
  <si>
    <t>부서맵핑관리</t>
  </si>
  <si>
    <t>HMB510AS</t>
  </si>
  <si>
    <t>기관별 전입전출 현황</t>
  </si>
  <si>
    <t>HMF171AA</t>
  </si>
  <si>
    <t>비취인가 대장관리</t>
  </si>
  <si>
    <t>FAN600AS</t>
  </si>
  <si>
    <t>법인카드사용현황</t>
  </si>
  <si>
    <t>FAA570AS</t>
  </si>
  <si>
    <t>불용예산현황</t>
  </si>
  <si>
    <t>FAA991AS</t>
  </si>
  <si>
    <t>수입실적</t>
  </si>
  <si>
    <t>FAA015AA</t>
  </si>
  <si>
    <t>부서별예산코드관리</t>
  </si>
  <si>
    <t>PMA065AA</t>
  </si>
  <si>
    <t>기관별기부처관리</t>
  </si>
  <si>
    <t>PMA095AS</t>
  </si>
  <si>
    <t>인사변동사항조회</t>
  </si>
  <si>
    <t>급여변동사항관리</t>
  </si>
  <si>
    <t>PMA100AA</t>
  </si>
  <si>
    <t>가족사항관리</t>
  </si>
  <si>
    <t>PMA110AA</t>
  </si>
  <si>
    <t>비급여대상자리스트</t>
  </si>
  <si>
    <t>PMH001AA</t>
  </si>
  <si>
    <t>기초코드관리</t>
  </si>
  <si>
    <t>PMA140AA</t>
  </si>
  <si>
    <t>PMA157AS</t>
  </si>
  <si>
    <t>개인연봉산출내역</t>
  </si>
  <si>
    <t>PMA195AS</t>
  </si>
  <si>
    <t>급여공제내역출력</t>
  </si>
  <si>
    <t>PMA400AS</t>
  </si>
  <si>
    <t>기관별공제내역별현황</t>
  </si>
  <si>
    <t>PMA450AS</t>
  </si>
  <si>
    <t>예산과목별소요예산내역</t>
  </si>
  <si>
    <t>PMA500AA</t>
  </si>
  <si>
    <t>부양가족신고서</t>
  </si>
  <si>
    <t>PMA510AA</t>
  </si>
  <si>
    <t>자녀학비조보금신청서</t>
  </si>
  <si>
    <t>PMA520AA</t>
  </si>
  <si>
    <t>출산장려비지급신청서</t>
  </si>
  <si>
    <t>PMA230AS</t>
  </si>
  <si>
    <t>갑근세원천징수부</t>
  </si>
  <si>
    <t>PMA440AS</t>
  </si>
  <si>
    <t>증명서발행이력현황</t>
  </si>
  <si>
    <t>PMA260AS</t>
  </si>
  <si>
    <t>인건비집행총괄표</t>
  </si>
  <si>
    <t>PMA390AS</t>
  </si>
  <si>
    <t>노동조합비현황</t>
  </si>
  <si>
    <t>PMC330AS</t>
  </si>
  <si>
    <t>기타소득원천징수영수증출력</t>
  </si>
  <si>
    <t>PMF710AA</t>
  </si>
  <si>
    <t>일용근로소득지급조서</t>
  </si>
  <si>
    <t>PMF720AS</t>
  </si>
  <si>
    <t>일용근로원천징수영수증출력</t>
  </si>
  <si>
    <t>PMC050AS</t>
  </si>
  <si>
    <t>영수증/징수부출력</t>
  </si>
  <si>
    <t>PMC055AS</t>
  </si>
  <si>
    <t>연말정산내역조회</t>
  </si>
  <si>
    <t>PMC200AA</t>
  </si>
  <si>
    <t>근로소득지급조서</t>
  </si>
  <si>
    <t>PMC210AA</t>
  </si>
  <si>
    <t>퇴직소득지급조서</t>
  </si>
  <si>
    <t>PMC220AA</t>
  </si>
  <si>
    <t>기타소득지급조서</t>
  </si>
  <si>
    <t>PMC230AA</t>
  </si>
  <si>
    <t>국민연금소득신고</t>
  </si>
  <si>
    <t>PMC240AA</t>
  </si>
  <si>
    <t>건강보험소득신고</t>
  </si>
  <si>
    <t>PMC250AS</t>
  </si>
  <si>
    <t>고용산재소득신고</t>
  </si>
  <si>
    <t>PMC260AS</t>
  </si>
  <si>
    <t>기타소득신고</t>
  </si>
  <si>
    <t>PMB050AA</t>
  </si>
  <si>
    <t>퇴직자연차관리</t>
  </si>
  <si>
    <t>PMD030AA</t>
  </si>
  <si>
    <t>계산작업</t>
  </si>
  <si>
    <t>PMD040AS</t>
  </si>
  <si>
    <t>산출내역및영수증출력</t>
  </si>
  <si>
    <t>PMD050AS</t>
  </si>
  <si>
    <t>지급내역</t>
  </si>
  <si>
    <t>PMD210AA</t>
  </si>
  <si>
    <t>퇴직충당금기초작업</t>
  </si>
  <si>
    <t>PMD220AA</t>
  </si>
  <si>
    <t>퇴직충당금수정작업</t>
  </si>
  <si>
    <t>PMD230AA</t>
  </si>
  <si>
    <t>퇴직충당금계산작업</t>
  </si>
  <si>
    <t>PMD240AS</t>
  </si>
  <si>
    <t>퇴직충당금명세서</t>
  </si>
  <si>
    <t>PME300AS</t>
  </si>
  <si>
    <t>대부보증한도조회</t>
  </si>
  <si>
    <t>PMA910AS</t>
  </si>
  <si>
    <t>확정기여형(DB)</t>
  </si>
  <si>
    <t>AMK700AS</t>
  </si>
  <si>
    <t>구매실적 관리</t>
  </si>
  <si>
    <t>PMF110AA</t>
  </si>
  <si>
    <t>PMF050AA</t>
  </si>
  <si>
    <t>기관별산재보험공제율</t>
  </si>
  <si>
    <t>PMF230AS</t>
  </si>
  <si>
    <t>급여대장</t>
  </si>
  <si>
    <t>PMF390AS</t>
  </si>
  <si>
    <t>PMF240AS</t>
  </si>
  <si>
    <t>개인별퇴직급여충당금</t>
  </si>
  <si>
    <t>PMF500AS</t>
  </si>
  <si>
    <t>PMF290AA</t>
  </si>
  <si>
    <t>PMF400AA</t>
  </si>
  <si>
    <t>중간정산대상자생성</t>
  </si>
  <si>
    <t>PMF410AA</t>
  </si>
  <si>
    <t>기초작업</t>
  </si>
  <si>
    <t>PMF420AA</t>
  </si>
  <si>
    <t>수정작업</t>
  </si>
  <si>
    <t>PMF430AA</t>
  </si>
  <si>
    <t>PMF440AS</t>
  </si>
  <si>
    <t>PMF450AS</t>
  </si>
  <si>
    <t>PMF305AA</t>
  </si>
  <si>
    <t>정산대상자생성</t>
  </si>
  <si>
    <t>PMF310AA</t>
  </si>
  <si>
    <t>계약직소득공제신고서작성</t>
  </si>
  <si>
    <t>PMF345AA</t>
  </si>
  <si>
    <t>연말정산금액조회</t>
  </si>
  <si>
    <t>PMF350AS</t>
  </si>
  <si>
    <t>PMF360AS</t>
  </si>
  <si>
    <t>AMA901AS</t>
  </si>
  <si>
    <t>자산현황집계</t>
  </si>
  <si>
    <t>AMA902AS</t>
  </si>
  <si>
    <t>자산별총액집계</t>
  </si>
  <si>
    <t>AMA900AA</t>
  </si>
  <si>
    <t>범용조회화면</t>
  </si>
  <si>
    <t>AMA550AS</t>
  </si>
  <si>
    <t>전산장비보유현황</t>
  </si>
  <si>
    <t>AMA540AS</t>
  </si>
  <si>
    <t>감가상각비내역현황</t>
  </si>
  <si>
    <t>AMA570AS</t>
  </si>
  <si>
    <t>기관별감가상각내역</t>
  </si>
  <si>
    <t>FAA300AA</t>
  </si>
  <si>
    <t>절감목표설정(총괄)</t>
  </si>
  <si>
    <t>FAA310AA</t>
  </si>
  <si>
    <t>예산절감작업(총괄)</t>
  </si>
  <si>
    <t>FAA320AA</t>
  </si>
  <si>
    <t>예산절감작업(기관)</t>
  </si>
  <si>
    <t>FAA330AS</t>
  </si>
  <si>
    <t>예산절감현황</t>
  </si>
  <si>
    <t>FAA140AS</t>
  </si>
  <si>
    <t>예산전용</t>
  </si>
  <si>
    <t>FAA212AS</t>
  </si>
  <si>
    <t>기관별익월자금내역</t>
  </si>
  <si>
    <t>FAA211AA</t>
  </si>
  <si>
    <t>익월자금소요액</t>
  </si>
  <si>
    <t>PMH120AA</t>
  </si>
  <si>
    <t>근무상황기록부등록</t>
  </si>
  <si>
    <t>PMH110AA</t>
  </si>
  <si>
    <t>종별기준일수관리</t>
  </si>
  <si>
    <t>PMH122AS</t>
  </si>
  <si>
    <t>근무상황기록부등록현황</t>
  </si>
  <si>
    <t>PMH125AS</t>
  </si>
  <si>
    <t>PMH150AA</t>
  </si>
  <si>
    <t>출장신청 및 복명</t>
  </si>
  <si>
    <t>PMH152AS</t>
  </si>
  <si>
    <t>출장기록부등록현황</t>
  </si>
  <si>
    <t>POOL100</t>
  </si>
  <si>
    <t>인력POOL기초코드관리</t>
  </si>
  <si>
    <t>예산사업별 집행현황 명세서</t>
  </si>
  <si>
    <t>FAN161AS</t>
  </si>
  <si>
    <t>징수(환수) 현황</t>
  </si>
  <si>
    <t>개인별은행계좌관리</t>
  </si>
  <si>
    <t>PMH300AS</t>
  </si>
  <si>
    <t>여권및항공사회원번호관리</t>
  </si>
  <si>
    <t>FAB011AA</t>
  </si>
  <si>
    <t>계정과목관리</t>
  </si>
  <si>
    <t>AMA813AS</t>
  </si>
  <si>
    <t>재물조사누락검사</t>
  </si>
  <si>
    <t>AMA009AA</t>
  </si>
  <si>
    <t>조달청물품목록관리</t>
  </si>
  <si>
    <t>AMA815AS</t>
  </si>
  <si>
    <t>바코드/목록표발행</t>
  </si>
  <si>
    <t>AMA817AA</t>
  </si>
  <si>
    <t>재물조사결과</t>
  </si>
  <si>
    <t>AMA819AS</t>
  </si>
  <si>
    <t>총괄현황</t>
  </si>
  <si>
    <t>AMA811AA</t>
  </si>
  <si>
    <t>재물조사등록(XP)</t>
  </si>
  <si>
    <t>AMA820AS</t>
  </si>
  <si>
    <t>불용신청내역</t>
  </si>
  <si>
    <t>AMA823AS</t>
  </si>
  <si>
    <t>부족/불용품목록</t>
  </si>
  <si>
    <t>AMA825AS</t>
  </si>
  <si>
    <t>과목별활용현황</t>
  </si>
  <si>
    <t>POOL_SEA</t>
  </si>
  <si>
    <t>취업교육강사조회</t>
  </si>
  <si>
    <t>FAH900AA</t>
  </si>
  <si>
    <t>단기적응훈련</t>
  </si>
  <si>
    <t>FAH910AA</t>
  </si>
  <si>
    <t>코드등록</t>
  </si>
  <si>
    <t>FAH910AS</t>
  </si>
  <si>
    <t>과정별현황</t>
  </si>
  <si>
    <t>FAH920AS</t>
  </si>
  <si>
    <t>직종별현황</t>
  </si>
  <si>
    <t>FAH930AS</t>
  </si>
  <si>
    <t>훈련기관별현황</t>
  </si>
  <si>
    <t>FAH940AS</t>
  </si>
  <si>
    <t>연령별현황</t>
  </si>
  <si>
    <t>FAH950AS</t>
  </si>
  <si>
    <t>학력별현황</t>
  </si>
  <si>
    <t>FAH960AS</t>
  </si>
  <si>
    <t>기관별현황</t>
  </si>
  <si>
    <t>FAH970AS</t>
  </si>
  <si>
    <t>과정별직종별현황</t>
  </si>
  <si>
    <t>FAH980AS</t>
  </si>
  <si>
    <t>기관별훈련기관별현황</t>
  </si>
  <si>
    <t>FAH990AS</t>
  </si>
  <si>
    <t>훈련기관별직종별현황</t>
  </si>
  <si>
    <t>RSCK110AA</t>
  </si>
  <si>
    <t>운영공지사항</t>
  </si>
  <si>
    <t>AMA003AA</t>
  </si>
  <si>
    <t>자산대표코드관리</t>
  </si>
  <si>
    <t>HMB300AS</t>
  </si>
  <si>
    <t>HMB440AS</t>
  </si>
  <si>
    <t>파견자현황</t>
  </si>
  <si>
    <t>HMF141AA</t>
  </si>
  <si>
    <t>인가신청 및 등록관리</t>
  </si>
  <si>
    <t>FAA532AS</t>
  </si>
  <si>
    <t>고용부위탁사업 예산집행현황</t>
  </si>
  <si>
    <t>PMH192AS</t>
  </si>
  <si>
    <t>최종퇴청시간현황</t>
  </si>
  <si>
    <t>PMC010AA</t>
  </si>
  <si>
    <t>소득공제신고서작성</t>
  </si>
  <si>
    <t>PMA150AS</t>
  </si>
  <si>
    <t>개인급여명세서</t>
  </si>
  <si>
    <t>PMA156AS</t>
  </si>
  <si>
    <t>급여대장(대표)</t>
  </si>
  <si>
    <t>PMA265AS</t>
  </si>
  <si>
    <t>인건비집행총괄표2</t>
  </si>
  <si>
    <t>AMA401AS</t>
  </si>
  <si>
    <t>자산불용결정신청서현황</t>
  </si>
  <si>
    <t>POOL1100</t>
  </si>
  <si>
    <t>인력POOL분야별참여현황조회</t>
  </si>
  <si>
    <t>PMA154AS</t>
  </si>
  <si>
    <t>2009년도 인센티브 관리</t>
  </si>
  <si>
    <t>HMB350AS</t>
  </si>
  <si>
    <t>정년퇴직(예정)자현황</t>
  </si>
  <si>
    <t>PMH200AA</t>
  </si>
  <si>
    <t>항공마일리지관리</t>
  </si>
  <si>
    <t>FAA531AS</t>
  </si>
  <si>
    <t>예산집행실적</t>
  </si>
  <si>
    <t>FAN100AS</t>
  </si>
  <si>
    <t>결의서(통합자금)</t>
  </si>
  <si>
    <t>PMA530AA</t>
  </si>
  <si>
    <t>2011년 특별성과급 관리</t>
  </si>
  <si>
    <t>HMA285AA</t>
  </si>
  <si>
    <t>개인사진등록</t>
  </si>
  <si>
    <t>HMA470RP2</t>
  </si>
  <si>
    <t>신분증출력</t>
  </si>
  <si>
    <t>POOL300</t>
  </si>
  <si>
    <t>인력POOL등록</t>
  </si>
  <si>
    <t>POOL_NEW</t>
  </si>
  <si>
    <t>외국인취업교육강사</t>
  </si>
  <si>
    <t>HMB320AS</t>
  </si>
  <si>
    <t>근속년수(최초임용일기준)현황</t>
  </si>
  <si>
    <t>PMA176AA</t>
  </si>
  <si>
    <t>통합자금화일생성</t>
  </si>
  <si>
    <t>PMH222AS</t>
  </si>
  <si>
    <t>유연근무 기록부</t>
  </si>
  <si>
    <t>생일자현황</t>
  </si>
  <si>
    <t>FAB260AS</t>
  </si>
  <si>
    <t>일용근로월별현황</t>
  </si>
  <si>
    <t>AMA300AS</t>
  </si>
  <si>
    <t>소프트웨어관리</t>
  </si>
  <si>
    <t>HMA990AA</t>
  </si>
  <si>
    <t>테스트테스트</t>
  </si>
  <si>
    <t xml:space="preserve">임용일계산 조회 </t>
  </si>
  <si>
    <t>FAB012AA</t>
  </si>
  <si>
    <t>회계계정코드관리_t</t>
  </si>
  <si>
    <t>COM901AA</t>
  </si>
  <si>
    <t>팀별기본권한관리</t>
  </si>
  <si>
    <t>COM902AA</t>
  </si>
  <si>
    <t>시스템별권한그룹관리</t>
  </si>
  <si>
    <t>COM903AA</t>
  </si>
  <si>
    <t>권한관리(사용자/그룹별)</t>
  </si>
  <si>
    <t>FAC423AA</t>
  </si>
  <si>
    <t>비용명세서</t>
  </si>
  <si>
    <t>FAC424AA</t>
  </si>
  <si>
    <t>FAC501AA</t>
  </si>
  <si>
    <t>결산정리사항</t>
  </si>
  <si>
    <t>FAC511AA</t>
  </si>
  <si>
    <t>기말정리사항</t>
  </si>
  <si>
    <t>FAB340AS</t>
  </si>
  <si>
    <t>지출부조회</t>
  </si>
  <si>
    <t>FAB173AS</t>
  </si>
  <si>
    <t>일자별 원인행위부 조회</t>
  </si>
  <si>
    <t>POOL600</t>
  </si>
  <si>
    <t>인력POOL조회</t>
  </si>
  <si>
    <t>HMB330AS</t>
  </si>
  <si>
    <t>당해직급 근속년수현황</t>
  </si>
  <si>
    <t>PMA999AA</t>
  </si>
  <si>
    <t>SALARY TEST</t>
  </si>
  <si>
    <t>PMH220AS</t>
  </si>
  <si>
    <t>유연근무 신청</t>
  </si>
  <si>
    <t>AMA001AA</t>
  </si>
  <si>
    <t>자산장비대표코드관리</t>
  </si>
  <si>
    <t>우편번호관리</t>
  </si>
  <si>
    <t>AMA005AA</t>
  </si>
  <si>
    <t>상각률표관리</t>
  </si>
  <si>
    <t>AMA006AA</t>
  </si>
  <si>
    <t>자산유의어관리</t>
  </si>
  <si>
    <t>AMA010AA</t>
  </si>
  <si>
    <t>결의서자산취득조서작성</t>
  </si>
  <si>
    <t>AMA012AA</t>
  </si>
  <si>
    <t>계약서자산취득조서작성</t>
  </si>
  <si>
    <t>AMA014AS</t>
  </si>
  <si>
    <t>신규취득자산수정</t>
  </si>
  <si>
    <t>AMA040AB</t>
  </si>
  <si>
    <t>감가상각비계산</t>
  </si>
  <si>
    <t>AMA050AS</t>
  </si>
  <si>
    <t>관세물품현황</t>
  </si>
  <si>
    <t>AMA100AS</t>
  </si>
  <si>
    <t>토지대장현황</t>
  </si>
  <si>
    <t>AMA110AS</t>
  </si>
  <si>
    <t>토지가격개정산출내역현황</t>
  </si>
  <si>
    <t>AMA115AS</t>
  </si>
  <si>
    <t>토지평가명세서현황</t>
  </si>
  <si>
    <t>AMA060AS</t>
  </si>
  <si>
    <t>자산사진등록</t>
  </si>
  <si>
    <t>AMA140AS</t>
  </si>
  <si>
    <t>건물대장현황</t>
  </si>
  <si>
    <t>AMA157AS</t>
  </si>
  <si>
    <t>건물가격개정산출내역현황</t>
  </si>
  <si>
    <t>AMA117AS</t>
  </si>
  <si>
    <t>소유자별토지현황</t>
  </si>
  <si>
    <t>AMA119AS</t>
  </si>
  <si>
    <t>공유토지사용현황</t>
  </si>
  <si>
    <t>AMA121AS</t>
  </si>
  <si>
    <t>보유토지명세서</t>
  </si>
  <si>
    <t>AMA123AS</t>
  </si>
  <si>
    <t>토지자산현황</t>
  </si>
  <si>
    <t>AMA161AS</t>
  </si>
  <si>
    <t>소유자별건물현황</t>
  </si>
  <si>
    <t>AMA163AS</t>
  </si>
  <si>
    <t>건물자산현황</t>
  </si>
  <si>
    <t>AMA170AS</t>
  </si>
  <si>
    <t>AMA173AS</t>
  </si>
  <si>
    <t>임대현황관리</t>
  </si>
  <si>
    <t>AMA180AS</t>
  </si>
  <si>
    <t>구축물대장현황</t>
  </si>
  <si>
    <t>AMA181AA</t>
  </si>
  <si>
    <t>자산대장(구축물)데이터수정용</t>
  </si>
  <si>
    <t>AMA190AS</t>
  </si>
  <si>
    <t>구축물가격개정조서</t>
  </si>
  <si>
    <t>AMA191AS</t>
  </si>
  <si>
    <t>구축물가격산출내역</t>
  </si>
  <si>
    <t>AMA192AS</t>
  </si>
  <si>
    <t>구축물자산현황</t>
  </si>
  <si>
    <t>차량운반구관리</t>
  </si>
  <si>
    <t>AMA220AS</t>
  </si>
  <si>
    <t>차량운반구보유현황</t>
  </si>
  <si>
    <t>AMA223AS</t>
  </si>
  <si>
    <t>차량운반구자산현황(총괄/기관별)</t>
  </si>
  <si>
    <t>AMA225AS</t>
  </si>
  <si>
    <t>차량운반구관리대장현황</t>
  </si>
  <si>
    <t>AMA231AS</t>
  </si>
  <si>
    <t>보험현황</t>
  </si>
  <si>
    <t>AMA240AS</t>
  </si>
  <si>
    <t>기계장치현황</t>
  </si>
  <si>
    <t>AMA241AA</t>
  </si>
  <si>
    <t>자산대장(기계..공기구..부외..소프트..)데이터수정용</t>
  </si>
  <si>
    <t>AMA246AS</t>
  </si>
  <si>
    <t>중요물품관리</t>
  </si>
  <si>
    <t>공기구비품</t>
  </si>
  <si>
    <t>부외자산</t>
  </si>
  <si>
    <t>소프트웨어</t>
  </si>
  <si>
    <t>AMA310AS</t>
  </si>
  <si>
    <t>도서대장관리</t>
  </si>
  <si>
    <t>AMA320AS</t>
  </si>
  <si>
    <t>조경관리</t>
  </si>
  <si>
    <t>AMA330AS</t>
  </si>
  <si>
    <t>전화가입권관리</t>
  </si>
  <si>
    <t>AMA334AA</t>
  </si>
  <si>
    <t>전화(핸드폰)현황관리</t>
  </si>
  <si>
    <t>AMA340AS</t>
  </si>
  <si>
    <t>재고자산소모품관리</t>
  </si>
  <si>
    <t>AMA343AA</t>
  </si>
  <si>
    <t>공과별과정관리</t>
  </si>
  <si>
    <t>AMA350AA</t>
  </si>
  <si>
    <t>불용요청</t>
  </si>
  <si>
    <t>AMA353AA</t>
  </si>
  <si>
    <t>자산소요</t>
  </si>
  <si>
    <t>AMA356AA</t>
  </si>
  <si>
    <t>불용자산심의</t>
  </si>
  <si>
    <t>AMA358AA</t>
  </si>
  <si>
    <t>불용자산처분</t>
  </si>
  <si>
    <t>AMA360AS</t>
  </si>
  <si>
    <t>자산과목대체내역현황</t>
  </si>
  <si>
    <t>AMA380AS</t>
  </si>
  <si>
    <t>자산관리전환내역현황</t>
  </si>
  <si>
    <t>AMA384AA</t>
  </si>
  <si>
    <t>AMA386AA</t>
  </si>
  <si>
    <t>관리전환심의</t>
  </si>
  <si>
    <t>AMA388AA</t>
  </si>
  <si>
    <t>관리전환처리</t>
  </si>
  <si>
    <t>AMA390AS</t>
  </si>
  <si>
    <t>자산사용전환요구서현황</t>
  </si>
  <si>
    <t>AMA392AA</t>
  </si>
  <si>
    <t>자산사용전환요구관리</t>
  </si>
  <si>
    <t>AMA400AS</t>
  </si>
  <si>
    <t>불용자산처분조서현황</t>
  </si>
  <si>
    <t>AMA403AS</t>
  </si>
  <si>
    <t>불용처분결과보고서현황</t>
  </si>
  <si>
    <t>AMA404AS</t>
  </si>
  <si>
    <t>자산불용신청(총괄)현황</t>
  </si>
  <si>
    <t>AMA405AS</t>
  </si>
  <si>
    <t>자산불용결정내역(총괄)</t>
  </si>
  <si>
    <t>AMA407AS</t>
  </si>
  <si>
    <t>불용대상품점검결과</t>
  </si>
  <si>
    <t>AMA410AS</t>
  </si>
  <si>
    <t>자산불용신청내역(총괄)현황</t>
  </si>
  <si>
    <t>AMA413AS</t>
  </si>
  <si>
    <t>자산과목별불용결정내역현황</t>
  </si>
  <si>
    <t>AMA415AS</t>
  </si>
  <si>
    <t>불용품내역</t>
  </si>
  <si>
    <t>AMA420AS</t>
  </si>
  <si>
    <t>초과품목록현황</t>
  </si>
  <si>
    <t>FAA022AA</t>
  </si>
  <si>
    <t>재배정업무담당자관리</t>
  </si>
  <si>
    <t>AMA423AS</t>
  </si>
  <si>
    <t>기준년도자산변동(증감)현황</t>
  </si>
  <si>
    <t>FAA560AS</t>
  </si>
  <si>
    <t>세부구분별지출현황</t>
  </si>
  <si>
    <t>HMB340AS</t>
  </si>
  <si>
    <t>채용현황</t>
  </si>
  <si>
    <t>HMA470AA</t>
  </si>
  <si>
    <t>HMB400AS</t>
  </si>
  <si>
    <t>이공계현황</t>
  </si>
  <si>
    <t>AMA530AS</t>
  </si>
  <si>
    <t>감가상각비내역(총괄)</t>
  </si>
  <si>
    <t>HMB480AS</t>
  </si>
  <si>
    <t>팀별인원현황</t>
  </si>
  <si>
    <t>AMA397AS</t>
  </si>
  <si>
    <t>자산사용전환현황</t>
  </si>
  <si>
    <t>HMF161AA</t>
  </si>
  <si>
    <t>해제신청 및 등록관리</t>
  </si>
  <si>
    <t>AMA430AA</t>
  </si>
  <si>
    <t>착오정정</t>
  </si>
  <si>
    <t>AMA435AA</t>
  </si>
  <si>
    <t>무상대부</t>
  </si>
  <si>
    <t>AMA440AA</t>
  </si>
  <si>
    <t>과목대체</t>
  </si>
  <si>
    <t>AMK010AS</t>
  </si>
  <si>
    <t>계약서신청현황</t>
  </si>
  <si>
    <t>AMK100AS</t>
  </si>
  <si>
    <t>구매요구서현황</t>
  </si>
  <si>
    <t>AMK160AS</t>
  </si>
  <si>
    <t>계약서검수/준공현황</t>
  </si>
  <si>
    <t>PMA010AA</t>
  </si>
  <si>
    <t>연봉표관리</t>
  </si>
  <si>
    <t>PMA001AA</t>
  </si>
  <si>
    <t>PMA015AA</t>
  </si>
  <si>
    <t>업무추진비관리</t>
  </si>
  <si>
    <t>PMA020AA</t>
  </si>
  <si>
    <t>기준외급여관리</t>
  </si>
  <si>
    <t>PMA050AA</t>
  </si>
  <si>
    <t>소득세기본세율표관리</t>
  </si>
  <si>
    <t>PMA060AA</t>
  </si>
  <si>
    <t>연말정산소득공제관리</t>
  </si>
  <si>
    <t>급여대상자관리</t>
  </si>
  <si>
    <t>PMA030AA</t>
  </si>
  <si>
    <t>기관별공제관리</t>
  </si>
  <si>
    <t>PMA085AA</t>
  </si>
  <si>
    <t>기관별정보관리</t>
  </si>
  <si>
    <t>신규임용등록관리</t>
  </si>
  <si>
    <t>개인별능력급지급율관리</t>
  </si>
  <si>
    <t>개인별지급관리</t>
  </si>
  <si>
    <t>개인별공제관리</t>
  </si>
  <si>
    <t>성금관리</t>
  </si>
  <si>
    <t>PMA155AS</t>
  </si>
  <si>
    <t>급여대장현황</t>
  </si>
  <si>
    <t>개인별급여지급명세서</t>
  </si>
  <si>
    <t>PMA160AS</t>
  </si>
  <si>
    <t>개인별계좌이체명세서</t>
  </si>
  <si>
    <t>PMA175AA</t>
  </si>
  <si>
    <t>금융결재원화일생성</t>
  </si>
  <si>
    <t>PMA180AS</t>
  </si>
  <si>
    <t>전월대비급여변동내역</t>
  </si>
  <si>
    <t>PMA190AS</t>
  </si>
  <si>
    <t>시간외수당지급명세표현황</t>
  </si>
  <si>
    <t>PMA210AS</t>
  </si>
  <si>
    <t>업무추진비명세서현황</t>
  </si>
  <si>
    <t>PMA220AS</t>
  </si>
  <si>
    <t>원천징수증명서</t>
  </si>
  <si>
    <t>HMA010AA</t>
  </si>
  <si>
    <t>인사기본사항등록/조회</t>
  </si>
  <si>
    <t>FAA020AA</t>
  </si>
  <si>
    <t>예산코드관리</t>
  </si>
  <si>
    <t>FAA023AA</t>
  </si>
  <si>
    <t>기본코드관리</t>
  </si>
  <si>
    <t>FAA025AA</t>
  </si>
  <si>
    <t>수입예산코드관리</t>
  </si>
  <si>
    <t>FAA030AB</t>
  </si>
  <si>
    <t>차기예산편성작업</t>
  </si>
  <si>
    <t>FAA521AS</t>
  </si>
  <si>
    <t>예산집행실적집계</t>
  </si>
  <si>
    <t>FAA050AA</t>
  </si>
  <si>
    <t>수입예산내역입력</t>
  </si>
  <si>
    <t>FAA060AA</t>
  </si>
  <si>
    <t>예산분석코드관리</t>
  </si>
  <si>
    <t>FAA101AA</t>
  </si>
  <si>
    <t>산하기관별예산편성관리</t>
  </si>
  <si>
    <t>HMA020AA</t>
  </si>
  <si>
    <t>주소관리</t>
  </si>
  <si>
    <t>FAA105AA</t>
  </si>
  <si>
    <t>기관별예산상세편성</t>
  </si>
  <si>
    <t>HMA030AA</t>
  </si>
  <si>
    <t>HMA040AA</t>
  </si>
  <si>
    <t>자격관리</t>
  </si>
  <si>
    <t>FAA120AA</t>
  </si>
  <si>
    <t>예산추경</t>
  </si>
  <si>
    <t>HMA080AA</t>
  </si>
  <si>
    <t>입사이전경력관리</t>
  </si>
  <si>
    <t>HMA090AA</t>
  </si>
  <si>
    <t>FAA130AA</t>
  </si>
  <si>
    <t>예산교부관리</t>
  </si>
  <si>
    <t>HMA100AA</t>
  </si>
  <si>
    <t>병역관리</t>
  </si>
  <si>
    <t>HMA110AA</t>
  </si>
  <si>
    <t>단체가입관리</t>
  </si>
  <si>
    <t>FAA150AS</t>
  </si>
  <si>
    <t>자금배정(정기)현황</t>
  </si>
  <si>
    <t>HMA120AA</t>
  </si>
  <si>
    <t>가족/혼인관리</t>
  </si>
  <si>
    <t>HMA130AA</t>
  </si>
  <si>
    <t>종교/기호/신체관리</t>
  </si>
  <si>
    <t>HMA145AA</t>
  </si>
  <si>
    <t>HMA150AS</t>
  </si>
  <si>
    <t>교육/연수/해외출장조회</t>
  </si>
  <si>
    <t>FAA173AS</t>
  </si>
  <si>
    <t>예산관리자별배정현황</t>
  </si>
  <si>
    <t>HMA160AA</t>
  </si>
  <si>
    <t>승급/강급조회</t>
  </si>
  <si>
    <t>HMA170AA</t>
  </si>
  <si>
    <t>포상기록관리</t>
  </si>
  <si>
    <t>HMA920AA</t>
  </si>
  <si>
    <t>직원보수획정관리</t>
  </si>
  <si>
    <t>HMA200AA</t>
  </si>
  <si>
    <t>휴직관리</t>
  </si>
  <si>
    <t>FAA166AS</t>
  </si>
  <si>
    <t>FAA168AS</t>
  </si>
  <si>
    <t>HMA210AA</t>
  </si>
  <si>
    <t>파견관리</t>
  </si>
  <si>
    <t>계약직-공제내역입력</t>
  </si>
  <si>
    <t>FAA170AS</t>
  </si>
  <si>
    <t>FAA171AS</t>
  </si>
  <si>
    <t>FAA010AB</t>
  </si>
  <si>
    <t>차기년도예산과목코드생성</t>
  </si>
  <si>
    <t>FAA175AS</t>
  </si>
  <si>
    <t>POOL1000</t>
  </si>
  <si>
    <t>인력POOL분야별참여실적조회</t>
  </si>
  <si>
    <t>POOL400</t>
  </si>
  <si>
    <t>인력POOL참여실적등록</t>
  </si>
  <si>
    <t>HMB430AS</t>
  </si>
  <si>
    <t>정현원현황</t>
  </si>
  <si>
    <t>HMA290AA</t>
    <phoneticPr fontId="1" type="noConversion"/>
  </si>
  <si>
    <t>_</t>
    <phoneticPr fontId="1" type="noConversion"/>
  </si>
  <si>
    <t>_</t>
    <phoneticPr fontId="1" type="noConversion"/>
  </si>
  <si>
    <t>대상자</t>
    <phoneticPr fontId="1" type="noConversion"/>
  </si>
  <si>
    <t>승급</t>
    <phoneticPr fontId="1" type="noConversion"/>
  </si>
  <si>
    <t>사용자ID</t>
  </si>
  <si>
    <t>CNM</t>
  </si>
  <si>
    <t>성명_한자</t>
  </si>
  <si>
    <t>성명_영문</t>
  </si>
  <si>
    <t>BDY_GB</t>
  </si>
  <si>
    <t>구분(1:양력,2:음력)</t>
  </si>
  <si>
    <t>실제생년월일</t>
  </si>
  <si>
    <t>BON_ARA</t>
  </si>
  <si>
    <t>출생지역</t>
  </si>
  <si>
    <t>FORG</t>
  </si>
  <si>
    <t>본관</t>
  </si>
  <si>
    <t>ZIP_NO</t>
  </si>
  <si>
    <t>CHAR(7 BYTE)</t>
  </si>
  <si>
    <t>현주소우편번호</t>
  </si>
  <si>
    <t>DCU_ADDR</t>
  </si>
  <si>
    <t>동이상주소</t>
  </si>
  <si>
    <t>DCD_ADDR</t>
  </si>
  <si>
    <t>동이하주소</t>
  </si>
  <si>
    <t>RSD_DAT</t>
  </si>
  <si>
    <t>현주소거주일자</t>
  </si>
  <si>
    <t>RZIP_NO</t>
  </si>
  <si>
    <t>실거주주소우편번호</t>
  </si>
  <si>
    <t>RDCU_ADDR</t>
  </si>
  <si>
    <t>실거주동이상주소</t>
  </si>
  <si>
    <t>RDCD_ADDR</t>
  </si>
  <si>
    <t>실거주동이하주소</t>
  </si>
  <si>
    <t>HOM_TLN</t>
  </si>
  <si>
    <t>VARCHAR2(15 BYTE)</t>
  </si>
  <si>
    <t>집전화</t>
  </si>
  <si>
    <t>WORK_TLN</t>
  </si>
  <si>
    <t>사무실전화</t>
  </si>
  <si>
    <t>EME_TLN</t>
  </si>
  <si>
    <t>긴급연락처</t>
  </si>
  <si>
    <t>E_MAIL</t>
  </si>
  <si>
    <t>E메일</t>
  </si>
  <si>
    <t>OTYP_CD</t>
  </si>
  <si>
    <t>기관유형코드</t>
  </si>
  <si>
    <t>OTYP_NM</t>
  </si>
  <si>
    <t>기관유형명</t>
  </si>
  <si>
    <t>DDJDIR_CD</t>
  </si>
  <si>
    <t>담당이사코드</t>
  </si>
  <si>
    <t>DDJDIR_NM</t>
  </si>
  <si>
    <t>담당이사명</t>
  </si>
  <si>
    <t>SILKUK_CD</t>
  </si>
  <si>
    <t>실국코드</t>
  </si>
  <si>
    <t>SILKUK_NM</t>
  </si>
  <si>
    <t>실국명</t>
  </si>
  <si>
    <t>BUTI_CD</t>
  </si>
  <si>
    <t>부팀코드</t>
  </si>
  <si>
    <t>BUTI_NM</t>
  </si>
  <si>
    <t>부팀명</t>
  </si>
  <si>
    <t>ENG_CD</t>
  </si>
  <si>
    <t>과코드</t>
  </si>
  <si>
    <t>ENG_NM</t>
  </si>
  <si>
    <t>과명</t>
  </si>
  <si>
    <t>POS_CD</t>
  </si>
  <si>
    <t>예비코드</t>
  </si>
  <si>
    <t>POS_NM</t>
  </si>
  <si>
    <t>예비항목</t>
  </si>
  <si>
    <t>SANJIK_DAT</t>
  </si>
  <si>
    <t>상당직급임용일</t>
  </si>
  <si>
    <t>JMM</t>
  </si>
  <si>
    <t>잔월_호봉</t>
  </si>
  <si>
    <t>ADT_GB</t>
  </si>
  <si>
    <t>채용구분(HM15)</t>
  </si>
  <si>
    <t>ADT_NM</t>
  </si>
  <si>
    <t>채용구분명</t>
  </si>
  <si>
    <t>LCN_CD</t>
  </si>
  <si>
    <t>임용분야코드(HM48)</t>
  </si>
  <si>
    <t>LCN_NM</t>
  </si>
  <si>
    <t>임용분야명</t>
  </si>
  <si>
    <t>SCO_NM</t>
  </si>
  <si>
    <t>학교명</t>
  </si>
  <si>
    <t>SCG_CD</t>
  </si>
  <si>
    <t>학력코드(HM03)</t>
  </si>
  <si>
    <t>SCG_NM</t>
  </si>
  <si>
    <t>학력명</t>
  </si>
  <si>
    <t>MAJ_CD</t>
  </si>
  <si>
    <t>전공코드(HM04)</t>
  </si>
  <si>
    <t>MAJ_NM</t>
  </si>
  <si>
    <t>전공명</t>
  </si>
  <si>
    <t>DEG_CD</t>
  </si>
  <si>
    <t>학위코드(HM26)</t>
  </si>
  <si>
    <t>DEG_NM</t>
  </si>
  <si>
    <t>학위명</t>
  </si>
  <si>
    <t>KBYA_CD</t>
  </si>
  <si>
    <t>공과분야코드</t>
  </si>
  <si>
    <t>KBYA_NM</t>
  </si>
  <si>
    <t>공과분야명</t>
  </si>
  <si>
    <t>MAJK_CD</t>
  </si>
  <si>
    <t>전공과목코드(HM10)</t>
  </si>
  <si>
    <t>MAJK_NM</t>
  </si>
  <si>
    <t>전공과목명</t>
  </si>
  <si>
    <t>COU_YN</t>
  </si>
  <si>
    <t>지방인재여부</t>
  </si>
  <si>
    <t>COU_CD</t>
  </si>
  <si>
    <t>지역코드(HM70)</t>
  </si>
  <si>
    <t>COU_NM</t>
  </si>
  <si>
    <t>지역명</t>
  </si>
  <si>
    <t>AUTHOR_CHR</t>
  </si>
  <si>
    <t>권한체크</t>
  </si>
  <si>
    <t>ADT_YY</t>
  </si>
  <si>
    <t>채용년도</t>
  </si>
  <si>
    <t>RE_WRK_MONTH</t>
  </si>
  <si>
    <t>잔여근무개월수</t>
  </si>
  <si>
    <t>PWD_CHG_DAT</t>
  </si>
  <si>
    <t>암호변경일</t>
  </si>
  <si>
    <t>AUTHOR_SYS</t>
  </si>
  <si>
    <t>CHAR(10 BYTE)</t>
  </si>
  <si>
    <t>권한시스템</t>
  </si>
  <si>
    <t>Layout</t>
    <phoneticPr fontId="1" type="noConversion"/>
  </si>
  <si>
    <t>시작일자
(실행)</t>
    <phoneticPr fontId="1" type="noConversion"/>
  </si>
  <si>
    <t>종료일자
(실행)</t>
    <phoneticPr fontId="1" type="noConversion"/>
  </si>
  <si>
    <t>중</t>
    <phoneticPr fontId="1" type="noConversion"/>
  </si>
  <si>
    <t>Report</t>
    <phoneticPr fontId="1" type="noConversion"/>
  </si>
  <si>
    <t>프로그램ID</t>
    <phoneticPr fontId="1" type="noConversion"/>
  </si>
  <si>
    <t>Yes</t>
    <phoneticPr fontId="1" type="noConversion"/>
  </si>
  <si>
    <t>상</t>
    <phoneticPr fontId="1" type="noConversion"/>
  </si>
  <si>
    <t>신규</t>
    <phoneticPr fontId="1" type="noConversion"/>
  </si>
  <si>
    <t>문서</t>
    <phoneticPr fontId="1" type="noConversion"/>
  </si>
  <si>
    <t>B. 인사발령처리화면 인사마스타적용 버튼 클릭시 조회한 데이터 이외 의 데이터가 적용되지 않도록 기능 개선 요청함.</t>
    <phoneticPr fontId="1" type="noConversion"/>
  </si>
  <si>
    <t>D. 인사발령처리 화면 인사 발령시 보직이 반영 안되는 오류 수정 요청.</t>
    <phoneticPr fontId="1" type="noConversion"/>
  </si>
  <si>
    <t>완료</t>
    <phoneticPr fontId="1" type="noConversion"/>
  </si>
  <si>
    <t>사번 및 주민등록번호 보이도록</t>
    <phoneticPr fontId="1" type="noConversion"/>
  </si>
  <si>
    <t>HMA320AA</t>
    <phoneticPr fontId="1" type="noConversion"/>
  </si>
  <si>
    <t>SFR-005-02-09</t>
  </si>
  <si>
    <t>사번 및 주민등록번호 보이도록</t>
    <phoneticPr fontId="1" type="noConversion"/>
  </si>
  <si>
    <t>프로시져</t>
    <phoneticPr fontId="1" type="noConversion"/>
  </si>
  <si>
    <t>A. 인사발령 일괄처리 기능 오류 수정 요청.
   인사 발령시 권한자동 부여 기능</t>
    <phoneticPr fontId="1" type="noConversion"/>
  </si>
  <si>
    <t>인사 발령시 권한자동 부여 기능
 -&gt; 권한 반영 프로시져 실행 루틴 추가.</t>
    <phoneticPr fontId="1" type="noConversion"/>
  </si>
  <si>
    <t>I. 휴직관리 화면에 휴직상세 추가
-&gt;승급처리(SFR-005-04-03)시 조건조회시 육아 , 병역휴직을 구분하기 위하여 추가됨</t>
    <phoneticPr fontId="1" type="noConversion"/>
  </si>
  <si>
    <t>JWJIK_CD</t>
  </si>
  <si>
    <t>JWGRD_CD</t>
  </si>
  <si>
    <t>O_GBNM</t>
  </si>
  <si>
    <t>기관구분명</t>
  </si>
  <si>
    <t>JWJIK_NM</t>
  </si>
  <si>
    <t>정현원직렬명</t>
  </si>
  <si>
    <t>JWGRD_NM</t>
  </si>
  <si>
    <t>정현원직급명</t>
  </si>
  <si>
    <t>JW_QNT</t>
  </si>
  <si>
    <t>정원</t>
  </si>
  <si>
    <t>ADJW_QNT</t>
  </si>
  <si>
    <t>취업알선정원</t>
  </si>
  <si>
    <t>UPDEPT_NM</t>
  </si>
  <si>
    <t>상위부서명</t>
  </si>
  <si>
    <t>BSL_DAT</t>
  </si>
  <si>
    <t>기준일자</t>
  </si>
  <si>
    <t>정현원직급</t>
  </si>
  <si>
    <t>CR_QNT</t>
  </si>
  <si>
    <t>현인원</t>
  </si>
  <si>
    <t>OA_QNT</t>
  </si>
  <si>
    <t>과부족</t>
  </si>
  <si>
    <t>ALJWGRD_NM</t>
  </si>
  <si>
    <t>정현원직급명별칭</t>
  </si>
  <si>
    <t>MN_QNT</t>
  </si>
  <si>
    <t>남자</t>
  </si>
  <si>
    <t>WM_QNT</t>
  </si>
  <si>
    <t>여자</t>
  </si>
  <si>
    <t>PK</t>
    <phoneticPr fontId="1" type="noConversion"/>
  </si>
  <si>
    <t>pk</t>
    <phoneticPr fontId="1" type="noConversion"/>
  </si>
  <si>
    <t>CID_1000_1100</t>
  </si>
  <si>
    <t>CID_1000_1120</t>
  </si>
  <si>
    <t>CID_1000_1130</t>
  </si>
  <si>
    <t>CID_1500_1260</t>
  </si>
  <si>
    <t>CID_1500_1285</t>
  </si>
  <si>
    <t>CID_1500_1290</t>
  </si>
  <si>
    <t>별정직(사업본부장)</t>
  </si>
  <si>
    <t>CID_1500_1295</t>
  </si>
  <si>
    <t>별정직(지역본부장)</t>
  </si>
  <si>
    <t>CID_1500_1296</t>
  </si>
  <si>
    <t>일반직1급</t>
  </si>
  <si>
    <t>CID_2000_1310</t>
  </si>
  <si>
    <t>일반직2급</t>
  </si>
  <si>
    <t>CID_2000_1320</t>
  </si>
  <si>
    <t>일반직3급</t>
  </si>
  <si>
    <t>CID_2000_1330</t>
  </si>
  <si>
    <t>일반직4급</t>
  </si>
  <si>
    <t>CID_2000_1340</t>
  </si>
  <si>
    <t>일반직5급</t>
  </si>
  <si>
    <t>CID_2000_1350</t>
  </si>
  <si>
    <t>일반직6급</t>
  </si>
  <si>
    <t>CID_2000_1360</t>
  </si>
  <si>
    <t>CID_4000_1720</t>
  </si>
  <si>
    <t>CID_4000_1730</t>
  </si>
  <si>
    <t>CID_4000_1740</t>
  </si>
  <si>
    <t>CID_4000_1750</t>
  </si>
  <si>
    <t>출제연구직1급</t>
  </si>
  <si>
    <t>CID_4500_1850</t>
  </si>
  <si>
    <t>출제연구직2급</t>
  </si>
  <si>
    <t>CID_4500_1860</t>
  </si>
  <si>
    <t>출제연구직3급</t>
  </si>
  <si>
    <t>CID_4500_1870</t>
  </si>
  <si>
    <t>출제연구직4급</t>
  </si>
  <si>
    <t>CID_4500_1880</t>
  </si>
  <si>
    <t>무기계약직</t>
  </si>
  <si>
    <t>CID_8000_1370</t>
  </si>
  <si>
    <t>능력개발직1급</t>
  </si>
  <si>
    <t>CID_8500_5010</t>
  </si>
  <si>
    <t>능력개발직2급</t>
  </si>
  <si>
    <t>CID_8500_5020</t>
  </si>
  <si>
    <t>능력개발직3급</t>
  </si>
  <si>
    <t>CID_8500_5030</t>
  </si>
  <si>
    <t>능력개발직4급</t>
  </si>
  <si>
    <t>CID_8500_5040</t>
  </si>
  <si>
    <t>능력개발직5급</t>
  </si>
  <si>
    <t>CID_8500_5050</t>
  </si>
  <si>
    <t>계약직인턴</t>
  </si>
  <si>
    <t>CID_9000_9000</t>
  </si>
  <si>
    <t>직급</t>
    <phoneticPr fontId="1" type="noConversion"/>
  </si>
  <si>
    <t>직렬</t>
    <phoneticPr fontId="1" type="noConversion"/>
  </si>
  <si>
    <t>직급명</t>
    <phoneticPr fontId="1" type="noConversion"/>
  </si>
  <si>
    <t>SFR-005-05-01</t>
    <phoneticPr fontId="3" type="noConversion"/>
  </si>
  <si>
    <t>정현원관리</t>
  </si>
  <si>
    <t>- 정원표, 정현원표 관리 기능</t>
  </si>
  <si>
    <t>HMA340AA</t>
  </si>
  <si>
    <t>정현원표관리</t>
  </si>
  <si>
    <t>A. 정현원표 집계 오류 수정 및 추가양식 개발 요청함.</t>
    <phoneticPr fontId="1" type="noConversion"/>
  </si>
  <si>
    <t>인사</t>
    <phoneticPr fontId="1" type="noConversion"/>
  </si>
  <si>
    <t>SFR-007-02-06</t>
  </si>
  <si>
    <t>SFR-007-02-07</t>
  </si>
  <si>
    <t>SFR-007-02-08</t>
  </si>
  <si>
    <t>H. 개인별 지급관리 화면 내용중 기본급 대비 지급 금액의 지급율  칼럼 추가 요청.</t>
  </si>
  <si>
    <t>비고</t>
    <phoneticPr fontId="1" type="noConversion"/>
  </si>
  <si>
    <t>비고2</t>
    <phoneticPr fontId="1" type="noConversion"/>
  </si>
  <si>
    <t>급여</t>
    <phoneticPr fontId="1" type="noConversion"/>
  </si>
  <si>
    <t>SFR-007-02-01</t>
    <phoneticPr fontId="1" type="noConversion"/>
  </si>
  <si>
    <t>(급여현황-개인별계좌이체명세서)
개인별계좌이체명세서에 입금금액 오류( 9월 이혜경)</t>
    <phoneticPr fontId="3" type="noConversion"/>
  </si>
  <si>
    <t>SFR-007-02-02</t>
  </si>
  <si>
    <t>B. 가족수당 작업 시 배우자는 4만원, 그 밖의 가족은 2만원임. 수정시에는 배우자도 4만원에서 2만원으로 자동세팅 되는 오류수정요청.</t>
  </si>
  <si>
    <t xml:space="preserve">G. 개인별 지급관리 가족수당 일할계산시 금액오류 수정요청.
</t>
    <phoneticPr fontId="1" type="noConversion"/>
  </si>
  <si>
    <t>급여- 급여작업- 개인별지급관리 pma120aa
지급금액을 기준으로 일할계산하여 지급금액을 산출한다.</t>
    <phoneticPr fontId="1" type="noConversion"/>
  </si>
  <si>
    <t xml:space="preserve">F. 개인별 공제관리화면 파일 업로드 기능이 안되는 공제내역이 있 음. 전부 가능하도록 개선 요청함.
</t>
    <phoneticPr fontId="1" type="noConversion"/>
  </si>
  <si>
    <t>SFR-007-02-09</t>
  </si>
  <si>
    <t>I.급여계산시 호봉제에서 연봉제로 승급시 기준금액
이 표시 되지 않고 있음. 표시 되도록 수정요청.</t>
  </si>
  <si>
    <t>SFR-007-02-10</t>
  </si>
  <si>
    <t>SFR-007-02-11</t>
  </si>
  <si>
    <t>K.무급휴가, 휴직, 복직, 질병휴직 등 급여 계산시 일할계산이 되도록 요청.</t>
  </si>
  <si>
    <t>SFR-007-04-01</t>
  </si>
  <si>
    <t>급여계산후수정작업</t>
  </si>
  <si>
    <t>PMA230AA</t>
  </si>
  <si>
    <t>개인별지급내역수정</t>
  </si>
  <si>
    <t>A. 개인별지급내역수정 화면 지급금액수정시  현재는 기초작업에서 계산된 고용보험료 금액이 변하지 않고 있으나 수정값을 반영한 재계산이 되어야함.</t>
  </si>
  <si>
    <t>SFR-007-05-01</t>
  </si>
  <si>
    <t>소급작업</t>
  </si>
  <si>
    <t xml:space="preserve">A. 소급작업 화면 사용 할수 있도록 개선 요청.
  현재 수작업으로 하고 있으며, 화면을 사용 하지 않고 있음.  </t>
  </si>
  <si>
    <t>인상연봉표관리
인상기준외급여관리
급여소급계산
개인별급여소급현황
개인별급여소급계좌이체명세서
소급금융결제원화일생성</t>
  </si>
  <si>
    <t>재논의 - 정차장님</t>
    <phoneticPr fontId="1" type="noConversion"/>
  </si>
  <si>
    <t>SFR-007-06-01</t>
  </si>
  <si>
    <t>A. 인건비 집행총괄표 합계 오류 수정 요청.</t>
  </si>
  <si>
    <t>PMA260AS
PMA265AS</t>
    <phoneticPr fontId="3" type="noConversion"/>
  </si>
  <si>
    <t>인권비집행총괄표
인권비집행총괄표2</t>
    <phoneticPr fontId="3" type="noConversion"/>
  </si>
  <si>
    <t>각종조회</t>
  </si>
  <si>
    <t>PMT_NM</t>
  </si>
  <si>
    <t>지급명</t>
  </si>
  <si>
    <t>YY_CNT</t>
  </si>
  <si>
    <t>지급금액</t>
  </si>
  <si>
    <t>GKW_GB</t>
  </si>
  <si>
    <t>직급직위구분</t>
  </si>
  <si>
    <t>BSL_AMT</t>
  </si>
  <si>
    <t>기준금액(통상임금)</t>
  </si>
  <si>
    <t>PMTSTR_DAT</t>
  </si>
  <si>
    <t>지급시작일자</t>
  </si>
  <si>
    <t>PMTEND_DAT</t>
  </si>
  <si>
    <t>지급종료일자</t>
  </si>
  <si>
    <t>PMTSTR_DAT1</t>
  </si>
  <si>
    <t>지급시작일자1</t>
  </si>
  <si>
    <t>PMTEND_DAT1</t>
  </si>
  <si>
    <t>지급종료일자1</t>
  </si>
  <si>
    <t>PMTDAY_CNT</t>
  </si>
  <si>
    <t>지급일수</t>
  </si>
  <si>
    <t>EXT_TIM</t>
  </si>
  <si>
    <t>시간외근무시간</t>
  </si>
  <si>
    <t>PMT_TRM</t>
  </si>
  <si>
    <t>지급기간</t>
  </si>
  <si>
    <t>DPU_GB</t>
  </si>
  <si>
    <t>징계구분(1:감봉, 2: 정직, 3:직위해제)</t>
  </si>
  <si>
    <t>급여작업</t>
    <phoneticPr fontId="1" type="noConversion"/>
  </si>
  <si>
    <t>NUMBER(7,0)</t>
  </si>
  <si>
    <t>UP_YN</t>
  </si>
  <si>
    <t>수정여부</t>
  </si>
  <si>
    <t>CRE_YN</t>
  </si>
  <si>
    <t>생성여부(1:생성안함, 2:자동생성, 3:전월생성)</t>
  </si>
  <si>
    <t>PK</t>
    <phoneticPr fontId="1" type="noConversion"/>
  </si>
  <si>
    <t>지급구분(PM02)</t>
    <phoneticPr fontId="1" type="noConversion"/>
  </si>
  <si>
    <t>PM02</t>
    <phoneticPr fontId="1" type="noConversion"/>
  </si>
  <si>
    <t>개발담당자</t>
    <phoneticPr fontId="3" type="noConversion"/>
  </si>
  <si>
    <t>종료일
(계획)</t>
    <phoneticPr fontId="3" type="noConversion"/>
  </si>
  <si>
    <t>실적공정
(%)</t>
    <phoneticPr fontId="3" type="noConversion"/>
  </si>
  <si>
    <t>김지훈</t>
    <phoneticPr fontId="3" type="noConversion"/>
  </si>
  <si>
    <t>&lt;=2013/09/07</t>
    <phoneticPr fontId="3" type="noConversion"/>
  </si>
  <si>
    <t>&lt;&gt;100%</t>
    <phoneticPr fontId="3" type="noConversion"/>
  </si>
  <si>
    <t>정경복
김지훈
조의식</t>
    <phoneticPr fontId="3" type="noConversion"/>
  </si>
  <si>
    <t>건강보험료</t>
  </si>
  <si>
    <t>건강보험료(정산)</t>
  </si>
  <si>
    <t>국민연금료</t>
  </si>
  <si>
    <t>고용보험료</t>
  </si>
  <si>
    <t>주택대부금</t>
  </si>
  <si>
    <t>퇴충대부금</t>
  </si>
  <si>
    <t>채권압류</t>
  </si>
  <si>
    <t>노동조합비(본조)</t>
  </si>
  <si>
    <t>노동조합비(지부)</t>
  </si>
  <si>
    <t>노동조합비(경영)</t>
  </si>
  <si>
    <t>노동조합비(평생)</t>
  </si>
  <si>
    <t>노동조합비(자격관리)</t>
  </si>
  <si>
    <t>노동조합비(국제)</t>
  </si>
  <si>
    <t>노동조합비(기금)</t>
  </si>
  <si>
    <t>국민연금퇴직전환금</t>
  </si>
  <si>
    <t>학자대부금</t>
  </si>
  <si>
    <t>성금</t>
  </si>
  <si>
    <t>징수소득세</t>
  </si>
  <si>
    <t>징수주민세</t>
  </si>
  <si>
    <t>환급소득세</t>
  </si>
  <si>
    <t>환급주민세</t>
  </si>
  <si>
    <t>사업주건강보험료</t>
  </si>
  <si>
    <t>사업주국민연금료</t>
  </si>
  <si>
    <t>사업주고용보험료</t>
  </si>
  <si>
    <t>사업주산재보험료</t>
  </si>
  <si>
    <t>퇴직급여충당금</t>
  </si>
  <si>
    <t>상조회비</t>
  </si>
  <si>
    <t>상조회대부</t>
  </si>
  <si>
    <t>생활안정자금대출이자</t>
  </si>
  <si>
    <t>주차비</t>
  </si>
  <si>
    <t>중(석)식비</t>
  </si>
  <si>
    <t>특별충당금</t>
  </si>
  <si>
    <t>아파트직원숙소관리비</t>
  </si>
  <si>
    <t>아파트충당금</t>
  </si>
  <si>
    <t>노동조합조의금</t>
  </si>
  <si>
    <t>아파트보일러대부이자</t>
  </si>
  <si>
    <t>동문회비</t>
  </si>
  <si>
    <t>기타공제(1)</t>
  </si>
  <si>
    <t>기타공제(2)</t>
  </si>
  <si>
    <t>기타공제(3)</t>
  </si>
  <si>
    <t>기타공제(4)</t>
  </si>
  <si>
    <t>기타공제(5)</t>
  </si>
  <si>
    <t>기타공제(6)</t>
  </si>
  <si>
    <t>기타공제(7)</t>
  </si>
  <si>
    <t>노조대부이자</t>
  </si>
  <si>
    <t>노조대부원금</t>
  </si>
  <si>
    <t>02</t>
  </si>
  <si>
    <t>80</t>
  </si>
  <si>
    <t>67</t>
  </si>
  <si>
    <t>73</t>
  </si>
  <si>
    <t>75</t>
  </si>
  <si>
    <t>74</t>
  </si>
  <si>
    <t>69</t>
  </si>
  <si>
    <t>70</t>
  </si>
  <si>
    <t>60</t>
  </si>
  <si>
    <t>63</t>
  </si>
  <si>
    <t>64</t>
  </si>
  <si>
    <t>65</t>
  </si>
  <si>
    <t>66</t>
  </si>
  <si>
    <t>85</t>
  </si>
  <si>
    <t>RMV_CD</t>
    <phoneticPr fontId="1" type="noConversion"/>
  </si>
  <si>
    <t>RMV_AMT</t>
    <phoneticPr fontId="1" type="noConversion"/>
  </si>
  <si>
    <t>OUT_SQN</t>
    <phoneticPr fontId="1" type="noConversion"/>
  </si>
  <si>
    <t>RMV_NM</t>
    <phoneticPr fontId="1" type="noConversion"/>
  </si>
  <si>
    <t>공제대상항목에대해서만 입력처리 실행.</t>
    <phoneticPr fontId="1" type="noConversion"/>
  </si>
  <si>
    <t>APL_DAT</t>
  </si>
  <si>
    <t>VARCHAR2(8 BYTE)</t>
  </si>
  <si>
    <t>신청일자</t>
  </si>
  <si>
    <t>SQ</t>
  </si>
  <si>
    <t>SCO_YEAR</t>
  </si>
  <si>
    <t>학년</t>
  </si>
  <si>
    <t>PMA120AA</t>
    <phoneticPr fontId="1" type="noConversion"/>
  </si>
  <si>
    <t>자녀</t>
    <phoneticPr fontId="1" type="noConversion"/>
  </si>
  <si>
    <t>학교</t>
    <phoneticPr fontId="1" type="noConversion"/>
  </si>
  <si>
    <t>비용</t>
    <phoneticPr fontId="1" type="noConversion"/>
  </si>
  <si>
    <t>적용</t>
    <phoneticPr fontId="1" type="noConversion"/>
  </si>
  <si>
    <t>A. 월중 퇴사자의 경우 공제내역이 삭제되고 있어 삭제되지 않도록  개선 요청함.</t>
    <phoneticPr fontId="1" type="noConversion"/>
  </si>
  <si>
    <t>참고</t>
    <phoneticPr fontId="1" type="noConversion"/>
  </si>
  <si>
    <t>SF_PMA110AA_PAY.prc</t>
    <phoneticPr fontId="1" type="noConversion"/>
  </si>
  <si>
    <t>SP_PMA110AA_01_JI15.prc</t>
    <phoneticPr fontId="1" type="noConversion"/>
  </si>
  <si>
    <t>SP_PMA110AA_JIGUB_SUM.prc</t>
    <phoneticPr fontId="1" type="noConversion"/>
  </si>
  <si>
    <t>J. 자녁학비보조금 급여계산시 지금항목에 
   반영되도록 개선요청.</t>
    <phoneticPr fontId="1" type="noConversion"/>
  </si>
  <si>
    <t>SFR-007-03-01</t>
  </si>
  <si>
    <t>SFR-007-03-06</t>
  </si>
  <si>
    <t>자녀학비보조금신청서</t>
  </si>
  <si>
    <t>급여현황</t>
  </si>
  <si>
    <t>SFR-007-03-05</t>
  </si>
  <si>
    <t>E. 가족사항관리 결재요청 , 결재확인 화면개발</t>
  </si>
  <si>
    <t>SFR-007-03-07</t>
  </si>
  <si>
    <t>SFR-007-02-03</t>
  </si>
  <si>
    <t>C. 가족수당 신청시 복무의 결재 기능과 변동내역을 관리할수 있도록  요청함.</t>
  </si>
  <si>
    <t>SFR-007-02-04</t>
  </si>
  <si>
    <t>D. 가족사항관리 화면에 부양가족신고서 작성시 첨부파일 5개까지, 신청일 내용이 보여지도록 요청.</t>
  </si>
  <si>
    <t>-가족사항 관리 화면 개인별 파일 관리 추가. 
- 결재완료일 칼럼추가
- 가족수당제외체크자는  흐릿하게 글씨를 보여 준다. 결의서참고(회계-결의서-결의서현황fan100as)
- '삭제' 버튼 비활성화</t>
  </si>
  <si>
    <t>기존화면 무시 리스트로 구성 (참고:부양가족화면과 유사하게)- 성명,주민번호,신청일,파일첨부</t>
  </si>
  <si>
    <t>확정버튼 안보이게
저장-&gt;신청</t>
    <phoneticPr fontId="1" type="noConversion"/>
  </si>
  <si>
    <t>결재상태 -- &gt; 반려/ 결제완료 , 진행중</t>
  </si>
  <si>
    <t>SP_PMA110AA_01.prc</t>
    <phoneticPr fontId="1" type="noConversion"/>
  </si>
  <si>
    <t>성능-느린작업 사전 경고
(PER-003)</t>
  </si>
  <si>
    <t>작업 수행전 메시지 처리.</t>
    <phoneticPr fontId="1" type="noConversion"/>
  </si>
  <si>
    <t>PMA110AA</t>
    <phoneticPr fontId="1" type="noConversion"/>
  </si>
  <si>
    <t>급여기초작업</t>
    <phoneticPr fontId="1" type="noConversion"/>
  </si>
  <si>
    <t>I. 출산장려비 결재요청 화면 , 결재확인 화면 추가 개발.</t>
    <phoneticPr fontId="1" type="noConversion"/>
  </si>
  <si>
    <t>급여 지급데이터 생성해야함.
--&gt; 자녀학비 프로시져 참고</t>
    <phoneticPr fontId="1" type="noConversion"/>
  </si>
  <si>
    <t>부양가족 프로세스 참고 .
지급월은 3,5,8,11 만 지급--&gt; 코드화 필요 ( 자녀학비보조금 지급월)
신청년월이 현재년도 이면서 결재완료된건을 계산작업시 반영한다.</t>
    <phoneticPr fontId="1" type="noConversion"/>
  </si>
  <si>
    <t>SP_PMA110AA_00_GONG_2005.prc</t>
    <phoneticPr fontId="1" type="noConversion"/>
  </si>
  <si>
    <t>SP_PMA110AA_03.prc</t>
    <phoneticPr fontId="1" type="noConversion"/>
  </si>
  <si>
    <t>SP_PMA110AA_04.prc</t>
    <phoneticPr fontId="1" type="noConversion"/>
  </si>
  <si>
    <t>SP_PMA110AA_08.prc</t>
    <phoneticPr fontId="1" type="noConversion"/>
  </si>
  <si>
    <t>SP_PMA110AA_09.prc</t>
    <phoneticPr fontId="1" type="noConversion"/>
  </si>
  <si>
    <t>PMA110AA</t>
    <phoneticPr fontId="1" type="noConversion"/>
  </si>
  <si>
    <t>급여기초작업</t>
    <phoneticPr fontId="1" type="noConversion"/>
  </si>
  <si>
    <t>A. 자녀학비보조금 신청시 복무의 결재기능 같은 결재 기능 추가 요청함.
 신청자 , 관리자, 팀장결재 3개의 화면으로 분할 하여 기능 구현한다..</t>
    <phoneticPr fontId="1" type="noConversion"/>
  </si>
  <si>
    <t>APPR1</t>
  </si>
  <si>
    <t>팀장_결재_직번</t>
  </si>
  <si>
    <t>APPR_YN1</t>
  </si>
  <si>
    <t>팀장_결재_여부</t>
  </si>
  <si>
    <t>APPR_DATE1</t>
  </si>
  <si>
    <t>결재일자</t>
  </si>
  <si>
    <t>AOT_APPR_YN</t>
  </si>
  <si>
    <t>대체결재(Y:대결 N:원결)</t>
  </si>
  <si>
    <t>AVR_STS</t>
  </si>
  <si>
    <t>결재상태 1.처리중(신청) 2.결재요청 3.반려 4.결재완료</t>
  </si>
  <si>
    <t>APL_AMT</t>
  </si>
  <si>
    <t>신청금액</t>
  </si>
  <si>
    <t>RLT_NM</t>
  </si>
  <si>
    <t>REGYN</t>
  </si>
  <si>
    <t>확정여부 'N': 미확정 'Y':확정</t>
  </si>
  <si>
    <t>FML_YN</t>
  </si>
  <si>
    <t>가족수당제외여부</t>
  </si>
  <si>
    <t>BUP_YN</t>
  </si>
  <si>
    <t>불구폐질자여부</t>
  </si>
  <si>
    <t>PMT_CUS</t>
  </si>
  <si>
    <t>지급사유</t>
  </si>
  <si>
    <t>CUS_OCD</t>
  </si>
  <si>
    <t>사유발생일</t>
  </si>
  <si>
    <t xml:space="preserve"> 1.신청자 , 관리자, 팀장결재 3개의 화면으로 분할 하여 기능 구현한다..
2.화면 항목 (참고:부양가족화면과 유사하게)- 성명,주민번호,신청일,파일첨부 로 구성.
3.출산장려비 신청 데이터가 삭제 되기 전까 지급한다. 
  Or 복무 와 연계 (복무 근무상황기록부 종별(출산휴가시작월) 입력시작월 까지 지급한다.)
4.급여작업시 자동 반영 되어야 함.</t>
    <phoneticPr fontId="1" type="noConversion"/>
  </si>
  <si>
    <t>출산</t>
    <phoneticPr fontId="1" type="noConversion"/>
  </si>
  <si>
    <t>장려</t>
    <phoneticPr fontId="1" type="noConversion"/>
  </si>
  <si>
    <t>비용</t>
    <phoneticPr fontId="1" type="noConversion"/>
  </si>
  <si>
    <t>SP_PMA110AA_01_JI53.prc</t>
    <phoneticPr fontId="1" type="noConversion"/>
  </si>
  <si>
    <t>PMA560AA</t>
    <phoneticPr fontId="1" type="noConversion"/>
  </si>
  <si>
    <t>자녀학비보조금신청서(결재)</t>
    <phoneticPr fontId="1" type="noConversion"/>
  </si>
  <si>
    <t>부양가족신고서(결재)</t>
    <phoneticPr fontId="1" type="noConversion"/>
  </si>
  <si>
    <t>PMA540AA</t>
    <phoneticPr fontId="1" type="noConversion"/>
  </si>
  <si>
    <t>PMA550AA</t>
    <phoneticPr fontId="1" type="noConversion"/>
  </si>
  <si>
    <t>출산장려비지급신청서(결재)</t>
    <phoneticPr fontId="1" type="noConversion"/>
  </si>
  <si>
    <t>급여</t>
    <phoneticPr fontId="1" type="noConversion"/>
  </si>
  <si>
    <t>-</t>
  </si>
  <si>
    <t>-</t>
    <phoneticPr fontId="1" type="noConversion"/>
  </si>
  <si>
    <t>-</t>
    <phoneticPr fontId="1" type="noConversion"/>
  </si>
  <si>
    <t>erd작업 - hrdkmis 디비스키마 기준으로 논리명 한글주석으로 ..</t>
    <phoneticPr fontId="1" type="noConversion"/>
  </si>
  <si>
    <r>
      <t>운영데이터 7월 권상원(연봉제-&gt;연봉제) 참고.
고재철(호봉-&gt;연봉)
기본급, 직무급, 차량운영지원비, 성과연봉</t>
    </r>
    <r>
      <rPr>
        <sz val="10"/>
        <color rgb="FFFF0000"/>
        <rFont val="맑은 고딕"/>
        <family val="3"/>
        <charset val="129"/>
        <scheme val="minor"/>
      </rPr>
      <t xml:space="preserve">, 중식비, 교통보조비, 장기근속수당.
</t>
    </r>
    <r>
      <rPr>
        <sz val="10"/>
        <rFont val="맑은 고딕"/>
        <family val="3"/>
        <charset val="129"/>
        <scheme val="minor"/>
      </rPr>
      <t>호봉제에서는 지급 연봉제에서는 지급 안함. 
(중식비, 교통보조비, 장기근속수당).</t>
    </r>
    <r>
      <rPr>
        <sz val="10"/>
        <color theme="1"/>
        <rFont val="맑은 고딕"/>
        <family val="3"/>
        <charset val="129"/>
        <scheme val="minor"/>
      </rPr>
      <t xml:space="preserve">
</t>
    </r>
    <phoneticPr fontId="1" type="noConversion"/>
  </si>
  <si>
    <r>
      <t xml:space="preserve">추후자료 받기로함. </t>
    </r>
    <r>
      <rPr>
        <b/>
        <sz val="10"/>
        <color rgb="FFFF0000"/>
        <rFont val="맑은 고딕"/>
        <family val="3"/>
        <charset val="129"/>
        <scheme val="minor"/>
      </rPr>
      <t>재논의 - 정차장님</t>
    </r>
    <phoneticPr fontId="1" type="noConversion"/>
  </si>
  <si>
    <t>PMA510AA</t>
    <phoneticPr fontId="1" type="noConversion"/>
  </si>
  <si>
    <t>G. 자녀학비보조금 결재요청, 결재확인 화면개발
   금액은 신청시 입력한다. 
   관리자는 신청금액 수정이 가능하다.</t>
    <phoneticPr fontId="1" type="noConversion"/>
  </si>
  <si>
    <t>복무에서 등록된 특별휴가?를 데이터를 이용. 
구분코드는 출산휴가로 재정의 필요, 
시작일자의 년월보다 작거나 같을경우 --&gt;  출산휴가 지급데이터생성(PMA150)</t>
    <phoneticPr fontId="1" type="noConversion"/>
  </si>
  <si>
    <t>SF_FIND_OFO_DAT</t>
    <phoneticPr fontId="1" type="noConversion"/>
  </si>
  <si>
    <t>ME-AN007-업무기능분해도(경영정보 기능개선)-v1.0.xls</t>
  </si>
  <si>
    <t>SFR-007-07-02</t>
  </si>
  <si>
    <t>연말정산</t>
  </si>
  <si>
    <t>영수증/징수부출력 및 요청</t>
    <phoneticPr fontId="1" type="noConversion"/>
  </si>
  <si>
    <t>PMC270AA</t>
    <phoneticPr fontId="1" type="noConversion"/>
  </si>
  <si>
    <t>조회 조건 변경
   신청일자 IS NULL</t>
    <phoneticPr fontId="1" type="noConversion"/>
  </si>
  <si>
    <t>-</t>
    <phoneticPr fontId="1" type="noConversion"/>
  </si>
  <si>
    <t>각종조회</t>
    <phoneticPr fontId="1" type="noConversion"/>
  </si>
  <si>
    <t>B. 연말정산 영수증/징수부 출력시 출력요청 기능을 추가 하고 담당자 요청 확인후 개인출력이 가능 하도록 기능 개선 요청함. 신청건은 1번만 출력이 되도록한다.
* 직원용 화면 (추가화면)
제출용도는 소득자 보관용만 보이게 한다.
영수증발급신청버튼 생성. 출력버튼은 비활성화.
담당자가 확인후  1회에 한하여 출력. 
* 발행번호 - 년도(4)+0000
담당자 확인 시점에 자동생성
* 증명서 발행이력현황 화면에 발행번호칸 추가 .
영수증출력시 레포트 하단에 발행번호 표시한다.
**직인임감 이미지 제공 받기로 함.</t>
    <phoneticPr fontId="1" type="noConversion"/>
  </si>
  <si>
    <t>pma_softm.xml
   --&gt; Pma440_getSearchResult</t>
    <phoneticPr fontId="1" type="noConversion"/>
  </si>
  <si>
    <t>2. 영수증/징수부출력 승인 ( PMC270AA )
   ※ 참고화면 : 증명서발행이력현황( PMA440AS )
   - 추가 필드 : 신청일자, 발행번호
   - 발행번호가 입력되면 승인된것으로 함.
     ● 발행번호 포맷 : 기관별, 년도(4) + 순번(4)</t>
    <phoneticPr fontId="1" type="noConversion"/>
  </si>
  <si>
    <t>PRN_DATE</t>
  </si>
  <si>
    <t>출력일시</t>
  </si>
  <si>
    <t>PRN_YM</t>
  </si>
  <si>
    <t>증명서대상년월</t>
  </si>
  <si>
    <t>PRN_JKN</t>
  </si>
  <si>
    <t>출력요청자직번</t>
  </si>
  <si>
    <t>PRN_NM</t>
  </si>
  <si>
    <t>출력요청자</t>
  </si>
  <si>
    <t>PRN_O_CD</t>
  </si>
  <si>
    <t>출력요청기관코드</t>
  </si>
  <si>
    <t>PRN_O_NM</t>
  </si>
  <si>
    <t>출력요청기관명</t>
  </si>
  <si>
    <t>PRN_DEPT_CD</t>
  </si>
  <si>
    <t>출력요청부서코드</t>
  </si>
  <si>
    <t>PRN_SOSOK</t>
  </si>
  <si>
    <t>출력요청소속명</t>
  </si>
  <si>
    <t>PRN_GRD_CD</t>
  </si>
  <si>
    <t>출력요청자직급코드</t>
  </si>
  <si>
    <t>PRN_GRD_NM</t>
  </si>
  <si>
    <t>출력요청자직급명</t>
  </si>
  <si>
    <t>PURPOSE</t>
  </si>
  <si>
    <t>사용목적</t>
  </si>
  <si>
    <t>제출처</t>
  </si>
  <si>
    <t>PRN_QNT</t>
  </si>
  <si>
    <t>출력매수</t>
  </si>
  <si>
    <t>PRN_ID</t>
  </si>
  <si>
    <t>출력ID</t>
  </si>
  <si>
    <t>출력담당자직번</t>
  </si>
  <si>
    <t>출력담당자</t>
  </si>
  <si>
    <t>출력담당자기관코드</t>
  </si>
  <si>
    <t>출력담당자기관명</t>
  </si>
  <si>
    <t>출력담당자부서코드</t>
  </si>
  <si>
    <t>출력담당자소속명</t>
  </si>
  <si>
    <t>출력담당자직급코드</t>
  </si>
  <si>
    <t>출력담당자직급명</t>
  </si>
  <si>
    <t>ISS_SQN</t>
  </si>
  <si>
    <t>NUMBER(8,0)</t>
  </si>
  <si>
    <t>발행순번</t>
  </si>
  <si>
    <t>PMC010TB</t>
  </si>
  <si>
    <t>정산-기본자료</t>
  </si>
  <si>
    <t>PMC020TB</t>
  </si>
  <si>
    <t>정산-전근무지</t>
  </si>
  <si>
    <t>PMC040TB</t>
  </si>
  <si>
    <t>정산_원천징수</t>
  </si>
  <si>
    <t>PMC060TB</t>
  </si>
  <si>
    <t>연말정산 인적공제</t>
  </si>
  <si>
    <t>PMC070TB</t>
  </si>
  <si>
    <t>연말정산 신용카드사용내역</t>
  </si>
  <si>
    <t>PMC080TB</t>
  </si>
  <si>
    <t>의료비지급명세서</t>
  </si>
  <si>
    <t>PMC090TB</t>
  </si>
  <si>
    <t>PMC091TB</t>
  </si>
  <si>
    <t>기부금조정명세</t>
  </si>
  <si>
    <t>PMC092TB</t>
  </si>
  <si>
    <t>기부금조정명세(공제및 이월내역)</t>
  </si>
  <si>
    <t>PMC100TB</t>
  </si>
  <si>
    <t>연말정산 교육비사용내역</t>
  </si>
  <si>
    <t>PMC110TB</t>
  </si>
  <si>
    <t>연말정산 보험료사용내역</t>
  </si>
  <si>
    <t>PMC220TB</t>
  </si>
  <si>
    <t>년도별기타소득신고자료</t>
  </si>
  <si>
    <t>PMC230TB</t>
  </si>
  <si>
    <t>년도별 국민연금,건강보험소득총액신고내역</t>
  </si>
  <si>
    <t>PMC240TB</t>
  </si>
  <si>
    <t>년도별 건강보험소득총액신고내역</t>
  </si>
  <si>
    <t>PMC300TB</t>
  </si>
  <si>
    <t>근로/기타소득자 기본사항</t>
  </si>
  <si>
    <t>PMC310TB</t>
  </si>
  <si>
    <t>근로/기타소득관리</t>
  </si>
  <si>
    <t>PMC700TB</t>
  </si>
  <si>
    <t>연금 저축 등 소득공제 명세서</t>
  </si>
  <si>
    <t>PMC801TB</t>
  </si>
  <si>
    <t>연말정산 C레코드 맵핑 자료</t>
  </si>
  <si>
    <t>PMD005TB</t>
  </si>
  <si>
    <t>국민연금퇴직전환금 관리</t>
  </si>
  <si>
    <t>PMD010TB</t>
  </si>
  <si>
    <t>확정채무액관리(기본)</t>
  </si>
  <si>
    <t>PMD011TB</t>
  </si>
  <si>
    <t>확정채무액관리(기초금액)</t>
  </si>
  <si>
    <t>PMD019TB</t>
  </si>
  <si>
    <t>확정채무액관리</t>
  </si>
  <si>
    <t>PMD020TB</t>
  </si>
  <si>
    <t>퇴직급여지급내역 20070426 중간정산때문에 퇴직일자 포함</t>
  </si>
  <si>
    <t>PMD030TB</t>
  </si>
  <si>
    <t>퇴직정년</t>
  </si>
  <si>
    <t>PMD055TB</t>
  </si>
  <si>
    <t>퇴직금기본사항</t>
  </si>
  <si>
    <t>PMD060TB</t>
  </si>
  <si>
    <t>퇴직충당급여지급내역</t>
  </si>
  <si>
    <t>PMD061TB</t>
  </si>
  <si>
    <t>DC 가입자 정보</t>
  </si>
  <si>
    <t>PMD070TB</t>
  </si>
  <si>
    <t>퇴직충당금기본사항</t>
  </si>
  <si>
    <t>PMD080TB</t>
  </si>
  <si>
    <t>결산용_급여충당금현황</t>
  </si>
  <si>
    <t>PMD081TB</t>
  </si>
  <si>
    <t>결산용_급여충당금현황(무기계약직)</t>
  </si>
  <si>
    <t>PME010TB</t>
  </si>
  <si>
    <t>대부기본사항</t>
  </si>
  <si>
    <t>PME020TB</t>
  </si>
  <si>
    <t>대부이자내역</t>
  </si>
  <si>
    <t>PME030TB</t>
  </si>
  <si>
    <t>대부상환카드</t>
  </si>
  <si>
    <t>PME035TB</t>
  </si>
  <si>
    <t>대부상환카드이력</t>
  </si>
  <si>
    <t>PME040TB</t>
  </si>
  <si>
    <t>대부(중도)상환내역</t>
  </si>
  <si>
    <t>PME050TB</t>
  </si>
  <si>
    <t>월별대부상환내역</t>
  </si>
  <si>
    <t>PME060TB</t>
  </si>
  <si>
    <t>학자금대부기본사항</t>
  </si>
  <si>
    <t>PME080TB</t>
  </si>
  <si>
    <t>주택대부금 인정이자 계산표</t>
  </si>
  <si>
    <t>PME100TB</t>
  </si>
  <si>
    <t>주택부금 이자율 변동 관리</t>
  </si>
  <si>
    <t>PMH001TB</t>
  </si>
  <si>
    <t>근무사항기록부 공통코드</t>
  </si>
  <si>
    <t>PMH110TB</t>
  </si>
  <si>
    <t>종별기준일수</t>
  </si>
  <si>
    <t>PMH120TB</t>
  </si>
  <si>
    <t>근무상황기록부</t>
  </si>
  <si>
    <t>PMH120TB_INFO_V</t>
  </si>
  <si>
    <t>e-감사 시스템 관련 근무상황기록 정보 제공을 위한 뷰</t>
  </si>
  <si>
    <t>PMH125TB</t>
  </si>
  <si>
    <t>근무상황기록부 사용일자</t>
  </si>
  <si>
    <t>PMH150TB</t>
  </si>
  <si>
    <t>출장기록부</t>
  </si>
  <si>
    <t>PMH150TB_INFO_V</t>
  </si>
  <si>
    <t>e-감사 시스템 관련 출장기록부 정보 제공을 위한 뷰</t>
  </si>
  <si>
    <t>PMH155TB</t>
  </si>
  <si>
    <t>출장기록부 일자 상세</t>
  </si>
  <si>
    <t>PMH160TB</t>
  </si>
  <si>
    <t>PMH180TB</t>
  </si>
  <si>
    <t>시간외근무등록</t>
  </si>
  <si>
    <t>PMH180TB_INFO_V</t>
  </si>
  <si>
    <t>e-감사 시스템 관련 시간외근무명령부 정보 제공을 위한 뷰</t>
  </si>
  <si>
    <t>PMH190TB</t>
  </si>
  <si>
    <t>PMH200TB</t>
  </si>
  <si>
    <t>항공사마일리지</t>
  </si>
  <si>
    <t>PMH210TB</t>
  </si>
  <si>
    <t>PMH220TB</t>
  </si>
  <si>
    <t>유연근무등록</t>
  </si>
  <si>
    <t>PMH230TB</t>
  </si>
  <si>
    <t>물품정보</t>
  </si>
  <si>
    <t>PMH240TB</t>
  </si>
  <si>
    <t>물품주문정보</t>
  </si>
  <si>
    <t>PMH300TB</t>
  </si>
  <si>
    <t>여권정보</t>
  </si>
  <si>
    <t>PMH305TB</t>
  </si>
  <si>
    <t>여비정산신청</t>
  </si>
  <si>
    <t>PMH306TB</t>
  </si>
  <si>
    <t>취소수수료신청</t>
  </si>
  <si>
    <t>PMH310TB</t>
  </si>
  <si>
    <t>항공회원번호</t>
  </si>
  <si>
    <t>PM_JEONHWAN_SAUP</t>
  </si>
  <si>
    <t>사업비로 급여지출되는 전환자</t>
  </si>
  <si>
    <t>영수증/징수부출력 승인</t>
    <phoneticPr fontId="1" type="noConversion"/>
  </si>
  <si>
    <t>JOB_SP_HMA340AA_01.sql</t>
  </si>
  <si>
    <t>-</t>
    <phoneticPr fontId="1" type="noConversion"/>
  </si>
  <si>
    <t>정현원생성 작업 스케줄러</t>
    <phoneticPr fontId="1" type="noConversion"/>
  </si>
  <si>
    <t>스케줄러</t>
    <phoneticPr fontId="1" type="noConversion"/>
  </si>
  <si>
    <t>매 02시에 동작하도록 작성.</t>
    <phoneticPr fontId="1" type="noConversion"/>
  </si>
  <si>
    <t>인사발령 스케줄러가 매 22시에 동작하도록 작성.</t>
    <phoneticPr fontId="1" type="noConversion"/>
  </si>
  <si>
    <t>인사발령 스케줄러</t>
  </si>
  <si>
    <t>정보</t>
    <phoneticPr fontId="1" type="noConversion"/>
  </si>
  <si>
    <t>체크</t>
    <phoneticPr fontId="1" type="noConversion"/>
  </si>
  <si>
    <t>정산</t>
    <phoneticPr fontId="1" type="noConversion"/>
  </si>
  <si>
    <t>승인</t>
    <phoneticPr fontId="1" type="noConversion"/>
  </si>
  <si>
    <t>출력</t>
    <phoneticPr fontId="1" type="noConversion"/>
  </si>
  <si>
    <t>요청</t>
    <phoneticPr fontId="1" type="noConversion"/>
  </si>
  <si>
    <t>입력</t>
    <phoneticPr fontId="1" type="noConversion"/>
  </si>
  <si>
    <t>상태</t>
    <phoneticPr fontId="1" type="noConversion"/>
  </si>
  <si>
    <t>완료</t>
    <phoneticPr fontId="1" type="noConversion"/>
  </si>
  <si>
    <t>1. 영수증/징수부출력 및 요청 ( PMC050AS )
   1. 성명 필드 readonly 기본
   2. 값 조회 기본정보 로그인한 사용자로 셋팅
   3. 영수증 요청 기능 추가
   4. 증수부 출력 기능 제거
   5. 출력매수 기본값 : 1 , readonly처리</t>
    <phoneticPr fontId="1" type="noConversion"/>
  </si>
  <si>
    <t>A. 인건비 집행총괄표 합계 오류 수정 요청.
수정-  연말정산-기타소득신고와비교
   인건비 지급한액..등등 첫줄삭제.
오류-인건비총괄표 직책담임수당(2013년8월 구분 
       예비비 데이터오류.</t>
    <phoneticPr fontId="1" type="noConversion"/>
  </si>
  <si>
    <t>SFR-007-12-00</t>
  </si>
  <si>
    <t>성과급관리</t>
  </si>
  <si>
    <t>- 자체성과급, 특별성과급, 인센티브 추가금 관리메뉴 개발</t>
  </si>
  <si>
    <t>PMA600AA</t>
  </si>
  <si>
    <t>PMA260AS
PMA265AS</t>
    <phoneticPr fontId="1" type="noConversion"/>
  </si>
  <si>
    <t>인건비집행총괄표
인건비집행총괄표2</t>
    <phoneticPr fontId="1" type="noConversion"/>
  </si>
  <si>
    <t xml:space="preserve">- 스크롤 안됨
- 직책(담임)수당 : 삭제
- 엑셀 Hidden필드 삭제되어 Excel다운로드 되게.
- 시간외잔여시간 삭제 마이너스 금액으로 표시되는 부분
</t>
    <phoneticPr fontId="1" type="noConversion"/>
  </si>
  <si>
    <t>연봉제 적용 개인별 연봉표 (1,2급 연봉자료)</t>
    <phoneticPr fontId="1" type="noConversion"/>
  </si>
  <si>
    <t>PMT_YY</t>
  </si>
  <si>
    <t>CHAR(4 BYTE)</t>
  </si>
  <si>
    <t>작업년도</t>
  </si>
  <si>
    <t>EVL_RNK</t>
  </si>
  <si>
    <t>VARCHAR2(5 BYTE)</t>
  </si>
  <si>
    <t>ELR_PMT_RAT</t>
  </si>
  <si>
    <t>NUMBER(7,2)</t>
  </si>
  <si>
    <t>경영평가 지급율</t>
  </si>
  <si>
    <t>SCR_PMT_RAT</t>
  </si>
  <si>
    <t>특별성과 지급율</t>
  </si>
  <si>
    <t>ITR_PMT_RAT</t>
  </si>
  <si>
    <t>자체성과 지급율</t>
  </si>
  <si>
    <t>PMA650TB</t>
    <phoneticPr fontId="1" type="noConversion"/>
  </si>
  <si>
    <t>성과급 지급율관리</t>
    <phoneticPr fontId="1" type="noConversion"/>
  </si>
  <si>
    <t>개인별직책수당</t>
    <phoneticPr fontId="1" type="noConversion"/>
  </si>
  <si>
    <t>PMA610AA</t>
    <phoneticPr fontId="1" type="noConversion"/>
  </si>
  <si>
    <t>성과관리</t>
    <phoneticPr fontId="1" type="noConversion"/>
  </si>
  <si>
    <t>장기</t>
    <phoneticPr fontId="1" type="noConversion"/>
  </si>
  <si>
    <t>근속</t>
    <phoneticPr fontId="1" type="noConversion"/>
  </si>
  <si>
    <t>금액</t>
    <phoneticPr fontId="1" type="noConversion"/>
  </si>
  <si>
    <t>직무</t>
    <phoneticPr fontId="1" type="noConversion"/>
  </si>
  <si>
    <t>기본</t>
    <phoneticPr fontId="1" type="noConversion"/>
  </si>
  <si>
    <t>기준</t>
    <phoneticPr fontId="1" type="noConversion"/>
  </si>
  <si>
    <t>duty</t>
    <phoneticPr fontId="1" type="noConversion"/>
  </si>
  <si>
    <t>직무</t>
    <phoneticPr fontId="1" type="noConversion"/>
  </si>
  <si>
    <t>성과</t>
    <phoneticPr fontId="1" type="noConversion"/>
  </si>
  <si>
    <t>지급</t>
    <phoneticPr fontId="1" type="noConversion"/>
  </si>
  <si>
    <t>대상자</t>
    <phoneticPr fontId="1" type="noConversion"/>
  </si>
  <si>
    <t>생성</t>
    <phoneticPr fontId="1" type="noConversion"/>
  </si>
  <si>
    <t>작업구분</t>
  </si>
  <si>
    <t>현부서코드</t>
  </si>
  <si>
    <t>현소속</t>
  </si>
  <si>
    <t>현직렬코드</t>
  </si>
  <si>
    <t>현직렬명</t>
  </si>
  <si>
    <t>현직급코드</t>
  </si>
  <si>
    <t>현직급명</t>
  </si>
  <si>
    <t>현직위코드</t>
  </si>
  <si>
    <t>현직위명</t>
  </si>
  <si>
    <t>발령구분코드(HM09)</t>
  </si>
  <si>
    <t>OFO_NM</t>
  </si>
  <si>
    <t>BDEPT_CD</t>
  </si>
  <si>
    <t>당시부서</t>
  </si>
  <si>
    <t>BSOSOK</t>
  </si>
  <si>
    <t>BJIK_CD</t>
  </si>
  <si>
    <t>당시직렬코드</t>
  </si>
  <si>
    <t>BJIK_NM</t>
  </si>
  <si>
    <t>당시직렬명</t>
  </si>
  <si>
    <t>BGRD_CD</t>
  </si>
  <si>
    <t>당시직급코드</t>
  </si>
  <si>
    <t>BGRD_NM</t>
  </si>
  <si>
    <t>당시직급명</t>
  </si>
  <si>
    <t>BJKW_CD</t>
  </si>
  <si>
    <t>당시직위코드</t>
  </si>
  <si>
    <t>BJKW_NM</t>
  </si>
  <si>
    <t>당시직위명</t>
  </si>
  <si>
    <t>근무기관</t>
  </si>
  <si>
    <t>근무기간 시작</t>
  </si>
  <si>
    <t>근무기간 끝</t>
  </si>
  <si>
    <t>WRK_DAY_CNT</t>
  </si>
  <si>
    <t>근무일수</t>
  </si>
  <si>
    <t>퇴직일</t>
  </si>
  <si>
    <t>평가등급</t>
  </si>
  <si>
    <t>OCD_PMT_RAT</t>
  </si>
  <si>
    <t>기본급</t>
  </si>
  <si>
    <t>BASE_AMT</t>
  </si>
  <si>
    <t>기준급</t>
  </si>
  <si>
    <t>LNR_AMT</t>
  </si>
  <si>
    <t>GRD_AMT</t>
  </si>
  <si>
    <t>직무급수당</t>
  </si>
  <si>
    <t>PMA660TB</t>
  </si>
  <si>
    <t>PMA660TB</t>
    <phoneticPr fontId="1" type="noConversion"/>
  </si>
  <si>
    <t>성과급관리</t>
    <phoneticPr fontId="1" type="noConversion"/>
  </si>
  <si>
    <t>성과</t>
    <phoneticPr fontId="1" type="noConversion"/>
  </si>
  <si>
    <t>급여</t>
    <phoneticPr fontId="1" type="noConversion"/>
  </si>
  <si>
    <t>관리</t>
    <phoneticPr fontId="1" type="noConversion"/>
  </si>
  <si>
    <t>기관지급율 ( 경영평가경우에만 적용되는 비율)</t>
    <phoneticPr fontId="1" type="noConversion"/>
  </si>
  <si>
    <t>수당</t>
    <phoneticPr fontId="1" type="noConversion"/>
  </si>
  <si>
    <t>대상자생성</t>
    <phoneticPr fontId="1" type="noConversion"/>
  </si>
  <si>
    <t>성과계산</t>
    <phoneticPr fontId="1" type="noConversion"/>
  </si>
  <si>
    <t>2008~2012 보수등급 정정 지급분</t>
  </si>
  <si>
    <t>이혜경</t>
  </si>
  <si>
    <t>--WHERE A.PMT_NM LIKE '%인센티브%'    -- PMT_GB :  9, PMT_STS : 1, PMT_KND : 01, PMT_CD : GRD_CD, HOB : HOB -- 경영평가성과급</t>
  </si>
  <si>
    <t>--WHERE A.PMT_NM LIKE '%특별성과급%'  -- PMT_GB : 10, PMT_STS : 1, PMT_KND : 01, PMT_CD : GRD_CD, HOB : HOB -- 특별성과급</t>
  </si>
  <si>
    <t>--WHERE A.PMT_NM LIKE '%자체성과급%'  -- PMT_GB :  5, PMT_STS : 1, PMT_KND : 01, PMT_CD : GRD_CD, HOB : HOB -- 자체성과급</t>
  </si>
  <si>
    <t>SP_PMA610AA_01.prc</t>
    <phoneticPr fontId="1" type="noConversion"/>
  </si>
  <si>
    <t>지급내역 적용 ( pma150tb, pma160tb, pma200tb )</t>
    <phoneticPr fontId="1" type="noConversion"/>
  </si>
  <si>
    <t>BFDEPT_CD</t>
  </si>
  <si>
    <t>BFJIK_CD</t>
  </si>
  <si>
    <t>BFJIK_NM</t>
  </si>
  <si>
    <t>BFGRD_CD</t>
  </si>
  <si>
    <t>BFJKW_CD</t>
  </si>
  <si>
    <t>LNR_ALA</t>
  </si>
  <si>
    <t>GRD_ALA</t>
  </si>
  <si>
    <t>이영성</t>
  </si>
  <si>
    <t>750217-1122822</t>
  </si>
  <si>
    <t>부산지역본부</t>
  </si>
  <si>
    <t>D00817000663</t>
  </si>
  <si>
    <t>부산지역본부 HRD종합지원1팀</t>
  </si>
  <si>
    <t>김태성</t>
  </si>
  <si>
    <t>561121-1830914</t>
  </si>
  <si>
    <t>없음</t>
  </si>
  <si>
    <t>KMAIS</t>
  </si>
  <si>
    <t>급여</t>
    <phoneticPr fontId="1" type="noConversion"/>
  </si>
  <si>
    <t>작업</t>
    <phoneticPr fontId="1" type="noConversion"/>
  </si>
  <si>
    <t>최진국</t>
  </si>
  <si>
    <t>730817-1351015</t>
  </si>
  <si>
    <t>비서실</t>
  </si>
  <si>
    <t>성과급기초작업</t>
    <phoneticPr fontId="1" type="noConversion"/>
  </si>
  <si>
    <t>지급구분((PM02)</t>
  </si>
  <si>
    <t>대상기간(시작)</t>
  </si>
  <si>
    <t>대상기간(끝)</t>
  </si>
  <si>
    <t>PMA120TB</t>
    <phoneticPr fontId="1" type="noConversion"/>
  </si>
  <si>
    <t>PMA620AA</t>
    <phoneticPr fontId="1" type="noConversion"/>
  </si>
  <si>
    <t>지급율관리</t>
    <phoneticPr fontId="1" type="noConversion"/>
  </si>
  <si>
    <t>SP_PMA610AA_02.prc</t>
    <phoneticPr fontId="1" type="noConversion"/>
  </si>
  <si>
    <t>SP_PMA610AA_03.prc</t>
    <phoneticPr fontId="1" type="noConversion"/>
  </si>
  <si>
    <t>SP_HMA950AA_03.prc</t>
    <phoneticPr fontId="1" type="noConversion"/>
  </si>
  <si>
    <t>SP_PMA370AA_05.prc</t>
    <phoneticPr fontId="1" type="noConversion"/>
  </si>
  <si>
    <t>SP_PMA370AA_PRINT_88.prc</t>
    <phoneticPr fontId="1" type="noConversion"/>
  </si>
  <si>
    <t>테이블</t>
    <phoneticPr fontId="1" type="noConversion"/>
  </si>
  <si>
    <t>설계</t>
    <phoneticPr fontId="1" type="noConversion"/>
  </si>
  <si>
    <t>디비스키마변경</t>
    <phoneticPr fontId="1" type="noConversion"/>
  </si>
  <si>
    <t>PMA670TB.sql</t>
    <phoneticPr fontId="1" type="noConversion"/>
  </si>
  <si>
    <t>-</t>
    <phoneticPr fontId="1" type="noConversion"/>
  </si>
  <si>
    <t>SFR-005-04-03</t>
    <phoneticPr fontId="1" type="noConversion"/>
  </si>
  <si>
    <t>I. 휴직관리 화면에 휴직상세 추가
-&gt;승급처리(SFR-005-04-03)시 조건조회시 육아 , 병역휴직을 구분하기 위하여 추가됨</t>
    <phoneticPr fontId="3" type="noConversion"/>
  </si>
  <si>
    <t>PMA680TB.sql</t>
    <phoneticPr fontId="1" type="noConversion"/>
  </si>
  <si>
    <t>지급률 테이블 ---------&gt;</t>
    <phoneticPr fontId="1" type="noConversion"/>
  </si>
  <si>
    <t>소급률 테이블 ---------&gt;</t>
    <phoneticPr fontId="1" type="noConversion"/>
  </si>
  <si>
    <t>지급</t>
    <phoneticPr fontId="1" type="noConversion"/>
  </si>
  <si>
    <t>비율</t>
    <phoneticPr fontId="1" type="noConversion"/>
  </si>
  <si>
    <t>금액</t>
    <phoneticPr fontId="1" type="noConversion"/>
  </si>
  <si>
    <t>소급</t>
    <phoneticPr fontId="1" type="noConversion"/>
  </si>
  <si>
    <t>PMA630AA</t>
    <phoneticPr fontId="1" type="noConversion"/>
  </si>
  <si>
    <t>소급율관리</t>
    <phoneticPr fontId="1" type="noConversion"/>
  </si>
  <si>
    <t>CD_TYPE</t>
  </si>
  <si>
    <t>종별코드</t>
  </si>
  <si>
    <t>근무부서코드</t>
  </si>
  <si>
    <t>SDATE</t>
  </si>
  <si>
    <t>시작일자</t>
  </si>
  <si>
    <t>EDATE</t>
  </si>
  <si>
    <t>종료일자</t>
  </si>
  <si>
    <t>VARCHAR2(500 BYTE)</t>
  </si>
  <si>
    <t>사유 또는 용무</t>
  </si>
  <si>
    <t>AREA</t>
  </si>
  <si>
    <t>VARCHAR2(300 BYTE)</t>
  </si>
  <si>
    <t>행선지</t>
  </si>
  <si>
    <t>DAY_CNT</t>
  </si>
  <si>
    <t>NUMBER(6,1)</t>
  </si>
  <si>
    <t>DEL_YN</t>
  </si>
  <si>
    <t>삭제여부</t>
  </si>
  <si>
    <t>STIME</t>
  </si>
  <si>
    <t>ETIME</t>
  </si>
  <si>
    <t>IN_USER</t>
  </si>
  <si>
    <t>입력인</t>
  </si>
  <si>
    <t>IN_DATE</t>
  </si>
  <si>
    <t>입력일자</t>
  </si>
  <si>
    <t>HOLI_YN</t>
  </si>
  <si>
    <t>휴무포함(Y:포함 N:미포함)</t>
  </si>
  <si>
    <t>HALF_YN</t>
  </si>
  <si>
    <t>반차여부(A:오전 P:오후 N:반차아님)</t>
  </si>
  <si>
    <t>RMK</t>
    <phoneticPr fontId="1" type="noConversion"/>
  </si>
  <si>
    <t>'N'_x000D_</t>
    <phoneticPr fontId="1" type="noConversion"/>
  </si>
  <si>
    <t>출산</t>
    <phoneticPr fontId="1" type="noConversion"/>
  </si>
  <si>
    <t>휴가</t>
    <phoneticPr fontId="1" type="noConversion"/>
  </si>
  <si>
    <t>JOB_SP_HMA200TB_01.sql</t>
    <phoneticPr fontId="1" type="noConversion"/>
  </si>
  <si>
    <t>DCLG_GB</t>
  </si>
  <si>
    <t>DCLG_NM</t>
  </si>
  <si>
    <t>처분그룹명</t>
  </si>
  <si>
    <t>DCL_GB</t>
  </si>
  <si>
    <t>처분구분(HM33)</t>
  </si>
  <si>
    <t>DCL_NM</t>
  </si>
  <si>
    <t>처분명</t>
  </si>
  <si>
    <t>DCL_RMK</t>
  </si>
  <si>
    <t>VARCHAR2(60 BYTE)</t>
  </si>
  <si>
    <t>처분사유</t>
  </si>
  <si>
    <t>DCIREQ_DAT</t>
  </si>
  <si>
    <t>처분요구일</t>
  </si>
  <si>
    <t>TAKCOM_DAT</t>
  </si>
  <si>
    <t>조치완료일</t>
  </si>
  <si>
    <t>TAK_AMT</t>
  </si>
  <si>
    <t>NUMBER(11,0)</t>
  </si>
  <si>
    <t>조치금액</t>
  </si>
  <si>
    <t>WRIMAL_STR_DAT</t>
  </si>
  <si>
    <t>기록말소시작일자</t>
  </si>
  <si>
    <t>WRIERA_BAS</t>
  </si>
  <si>
    <t>기록말소근거</t>
  </si>
  <si>
    <t>IMP_AGN</t>
  </si>
  <si>
    <t>시행기관</t>
  </si>
  <si>
    <t>ERA_YN</t>
  </si>
  <si>
    <t>말소여부</t>
  </si>
  <si>
    <t>수정일자</t>
  </si>
  <si>
    <t>WRIMAL_END_DAT</t>
  </si>
  <si>
    <t>기록말소종료일자</t>
  </si>
  <si>
    <t>DCLDAT_ADD_YN</t>
  </si>
  <si>
    <t>징계말소후잔여근무일추가여부(직원보수획정관리에서사용)</t>
  </si>
  <si>
    <t>지급률 적용</t>
    <phoneticPr fontId="1" type="noConversion"/>
  </si>
  <si>
    <t>지급률 수정된 내용만 적용하기위해 새롭게 작성</t>
    <phoneticPr fontId="1" type="noConversion"/>
  </si>
  <si>
    <t>PMA150TB</t>
    <phoneticPr fontId="1" type="noConversion"/>
  </si>
  <si>
    <t>지급률조회에 이용되는 TYPE</t>
    <phoneticPr fontId="1" type="noConversion"/>
  </si>
  <si>
    <t>지급</t>
    <phoneticPr fontId="1" type="noConversion"/>
  </si>
  <si>
    <t>비율</t>
    <phoneticPr fontId="1" type="noConversion"/>
  </si>
  <si>
    <t>pma150tb 입력 공통 처리</t>
    <phoneticPr fontId="1" type="noConversion"/>
  </si>
  <si>
    <t>지급률처리 공통</t>
    <phoneticPr fontId="1" type="noConversion"/>
  </si>
  <si>
    <t>자녀학비보조금 - 지급률 - NEW</t>
    <phoneticPr fontId="1" type="noConversion"/>
  </si>
  <si>
    <t>가족수당 - 지급률 - NEW</t>
    <phoneticPr fontId="1" type="noConversion"/>
  </si>
  <si>
    <t>SP_PMA110AA_JIGUB_SUM 에서 호출되며 
PMA150TB가 SQN이 추가되어 SUM() 함수 적용</t>
    <phoneticPr fontId="1" type="noConversion"/>
  </si>
  <si>
    <t>출산장려비 - 지급률 - NEW</t>
    <phoneticPr fontId="1" type="noConversion"/>
  </si>
  <si>
    <t>직무급 - 지급률 - NEW</t>
    <phoneticPr fontId="1" type="noConversion"/>
  </si>
  <si>
    <t>장기근속수당 - 지급률 - NEW</t>
    <phoneticPr fontId="1" type="noConversion"/>
  </si>
  <si>
    <t>성과연봉 - 지급률 - NEW</t>
    <phoneticPr fontId="1" type="noConversion"/>
  </si>
  <si>
    <t>가계지원비, 명절휴가비 - 지급률 - NEW</t>
    <phoneticPr fontId="1" type="noConversion"/>
  </si>
  <si>
    <t>중식보조비, 교통보조비 - 지급률 - NEW</t>
    <phoneticPr fontId="1" type="noConversion"/>
  </si>
  <si>
    <t>차량운영지원비 - 지급률 - NEW</t>
    <phoneticPr fontId="1" type="noConversion"/>
  </si>
  <si>
    <t>급여기초작업</t>
    <phoneticPr fontId="1" type="noConversion"/>
  </si>
  <si>
    <t>SP_PMA110AA_00.prc</t>
    <phoneticPr fontId="1" type="noConversion"/>
  </si>
  <si>
    <t>SP_PMA110AA_01_JI14.prc</t>
    <phoneticPr fontId="1" type="noConversion"/>
  </si>
  <si>
    <t>SP_PMA110AA_01_JI59.prc</t>
    <phoneticPr fontId="1" type="noConversion"/>
  </si>
  <si>
    <t>SP_PMA110AA_01_JI05.prc</t>
    <phoneticPr fontId="1" type="noConversion"/>
  </si>
  <si>
    <t>SP_PMA110AA_01_JI53.prc</t>
    <phoneticPr fontId="1" type="noConversion"/>
  </si>
  <si>
    <t>SF_PMA110AA_NORMALPAY.prc</t>
    <phoneticPr fontId="1" type="noConversion"/>
  </si>
  <si>
    <t>TYPE_bock_mu_code_array.sql</t>
    <phoneticPr fontId="1" type="noConversion"/>
  </si>
  <si>
    <t>SP_PMA110AA_01_PMT_RATE.prc</t>
    <phoneticPr fontId="1" type="noConversion"/>
  </si>
  <si>
    <t>SP_PMA110AA_01_JI_NEW.prc</t>
    <phoneticPr fontId="1" type="noConversion"/>
  </si>
  <si>
    <t>SP_PMA110AA_01_INSERT_PMT150TB.prc</t>
    <phoneticPr fontId="1" type="noConversion"/>
  </si>
  <si>
    <t>SP_PME010AA_01.prc</t>
    <phoneticPr fontId="1" type="noConversion"/>
  </si>
  <si>
    <t>함수 에러 조치</t>
    <phoneticPr fontId="1" type="noConversion"/>
  </si>
  <si>
    <t>함수에러조치</t>
    <phoneticPr fontId="1" type="noConversion"/>
  </si>
  <si>
    <t>-</t>
    <phoneticPr fontId="1" type="noConversion"/>
  </si>
  <si>
    <t>SP_PMA110AA_01_JI19.prc</t>
    <phoneticPr fontId="1" type="noConversion"/>
  </si>
  <si>
    <t>SP_PMA110AA_03.prc</t>
    <phoneticPr fontId="1" type="noConversion"/>
  </si>
  <si>
    <t>SP_PMA110AA_01_JI00.prc</t>
    <phoneticPr fontId="1" type="noConversion"/>
  </si>
  <si>
    <t>SP_PMA110AA_01_JI15.prc</t>
    <phoneticPr fontId="1" type="noConversion"/>
  </si>
  <si>
    <t>SP_PMA110AA_01.prc</t>
    <phoneticPr fontId="1" type="noConversion"/>
  </si>
  <si>
    <t>계약직 반영</t>
    <phoneticPr fontId="1" type="noConversion"/>
  </si>
  <si>
    <t>지급율관리, 계약직 반영</t>
    <phoneticPr fontId="1" type="noConversion"/>
  </si>
  <si>
    <t>SP_PMA110AA_00_GONG.prc</t>
    <phoneticPr fontId="1" type="noConversion"/>
  </si>
  <si>
    <t>SP_PMA110AA_01_JI02.prc</t>
    <phoneticPr fontId="1" type="noConversion"/>
  </si>
  <si>
    <t>SP_PMA110AA_01_JI04.prc</t>
    <phoneticPr fontId="1" type="noConversion"/>
  </si>
  <si>
    <t>능역급</t>
  </si>
  <si>
    <t>SP_PMA110AA_02.prc</t>
    <phoneticPr fontId="1" type="noConversion"/>
  </si>
  <si>
    <t>SP_PMA110AA_03_ORG.prc</t>
    <phoneticPr fontId="1" type="noConversion"/>
  </si>
  <si>
    <t>SP_PMA110AA_08.prc</t>
    <phoneticPr fontId="1" type="noConversion"/>
  </si>
  <si>
    <t>SP_PMA110AA_09.prc</t>
    <phoneticPr fontId="1" type="noConversion"/>
  </si>
  <si>
    <t>지급썸</t>
    <phoneticPr fontId="1" type="noConversion"/>
  </si>
  <si>
    <t>SP_PMA110AA_WORK_RECORD.prc</t>
    <phoneticPr fontId="1" type="noConversion"/>
  </si>
  <si>
    <t>급여작업현황 기록</t>
  </si>
  <si>
    <t>SP_PMA140AA_00.prc</t>
    <phoneticPr fontId="1" type="noConversion"/>
  </si>
  <si>
    <t>급여계산작업</t>
    <phoneticPr fontId="1" type="noConversion"/>
  </si>
  <si>
    <t>SP_PMA140AA_JI02.prc</t>
    <phoneticPr fontId="1" type="noConversion"/>
  </si>
  <si>
    <t>SP_PMA140AA_00_TAX_CALC.prc</t>
    <phoneticPr fontId="1" type="noConversion"/>
  </si>
  <si>
    <t>급여_EGB_PMT_STS_변경_프로시져_N_함수</t>
    <phoneticPr fontId="1" type="noConversion"/>
  </si>
  <si>
    <t>PMT_STS , EGB 필드 적용작업</t>
    <phoneticPr fontId="1" type="noConversion"/>
  </si>
  <si>
    <t>처분그룹구분(HM29)</t>
    <phoneticPr fontId="1" type="noConversion"/>
  </si>
  <si>
    <t>잔여</t>
    <phoneticPr fontId="1" type="noConversion"/>
  </si>
  <si>
    <t>월수</t>
    <phoneticPr fontId="1" type="noConversion"/>
  </si>
  <si>
    <t>C. 승급처리시 호봉 승급 대상자 선정이 요건에 맞게 선정되어 조회  되어 저장 할수 있도록 기능 요청함.</t>
    <phoneticPr fontId="1" type="noConversion"/>
  </si>
  <si>
    <t>승급처리</t>
    <phoneticPr fontId="1" type="noConversion"/>
  </si>
  <si>
    <t>최준영</t>
  </si>
  <si>
    <t>서진영</t>
  </si>
  <si>
    <t>김지영</t>
  </si>
  <si>
    <t>정현일</t>
  </si>
  <si>
    <t>신은정</t>
  </si>
  <si>
    <t>안용민</t>
  </si>
  <si>
    <t>김미경</t>
  </si>
  <si>
    <t>서정규</t>
  </si>
  <si>
    <t>김병태</t>
  </si>
  <si>
    <t>지연우</t>
  </si>
  <si>
    <t>김수현</t>
  </si>
  <si>
    <t>안민희</t>
  </si>
  <si>
    <t>김철민</t>
  </si>
  <si>
    <t>김보강</t>
  </si>
  <si>
    <t>정현숙</t>
  </si>
  <si>
    <t>김기표</t>
  </si>
  <si>
    <t>정비용</t>
  </si>
  <si>
    <t>김미선</t>
  </si>
  <si>
    <t>이은미</t>
  </si>
  <si>
    <t>윤아선</t>
  </si>
  <si>
    <t>박정배</t>
  </si>
  <si>
    <t>편무운</t>
  </si>
  <si>
    <t>이수민</t>
  </si>
  <si>
    <t>양재호</t>
  </si>
  <si>
    <t>윤지원</t>
  </si>
  <si>
    <t>김성훈</t>
  </si>
  <si>
    <t>강경종</t>
  </si>
  <si>
    <t>정아영</t>
  </si>
  <si>
    <t>박찬준</t>
  </si>
  <si>
    <t>신호철</t>
  </si>
  <si>
    <t>이상규</t>
  </si>
  <si>
    <t>김은로</t>
  </si>
  <si>
    <t>구미정</t>
  </si>
  <si>
    <t>장소영</t>
  </si>
  <si>
    <t>김성현</t>
  </si>
  <si>
    <t>신길식</t>
  </si>
  <si>
    <t>이성균</t>
  </si>
  <si>
    <t>곽헌종</t>
  </si>
  <si>
    <t>임인선</t>
  </si>
  <si>
    <t>임종진</t>
  </si>
  <si>
    <t>신석민</t>
  </si>
  <si>
    <t>박영임</t>
  </si>
  <si>
    <t>추명선</t>
  </si>
  <si>
    <t>박기춘</t>
  </si>
  <si>
    <t>장윤석</t>
  </si>
  <si>
    <t>정연원</t>
  </si>
  <si>
    <t>성혜원</t>
  </si>
  <si>
    <t>기병수</t>
  </si>
  <si>
    <t>서희교</t>
  </si>
  <si>
    <t>방만희</t>
  </si>
  <si>
    <t>조은하</t>
  </si>
  <si>
    <t>문희권</t>
  </si>
  <si>
    <t>이재호</t>
  </si>
  <si>
    <t>심소영</t>
  </si>
  <si>
    <t>임애희</t>
  </si>
  <si>
    <t>신연정</t>
  </si>
  <si>
    <t>변현민</t>
  </si>
  <si>
    <t>김상범</t>
  </si>
  <si>
    <t>정은오</t>
  </si>
  <si>
    <t>유혜련</t>
  </si>
  <si>
    <t>김유미</t>
  </si>
  <si>
    <t>최종성</t>
  </si>
  <si>
    <t>김기욱</t>
  </si>
  <si>
    <t>김종수</t>
  </si>
  <si>
    <t>맹신영</t>
  </si>
  <si>
    <t>오시헌</t>
  </si>
  <si>
    <t>정민규</t>
  </si>
  <si>
    <t>김영심</t>
  </si>
  <si>
    <t>김형석</t>
  </si>
  <si>
    <t>김수기</t>
  </si>
  <si>
    <t>성향자</t>
  </si>
  <si>
    <t>임제현</t>
  </si>
  <si>
    <t>윤혜진</t>
  </si>
  <si>
    <t>김석호</t>
  </si>
  <si>
    <t>박지은</t>
  </si>
  <si>
    <t>강윤식</t>
  </si>
  <si>
    <t>이철민</t>
  </si>
  <si>
    <t>손진주</t>
  </si>
  <si>
    <t>김현주</t>
  </si>
  <si>
    <t>이미숙</t>
  </si>
  <si>
    <t>박주열</t>
  </si>
  <si>
    <t>박혜란</t>
  </si>
  <si>
    <t>김건철</t>
  </si>
  <si>
    <t>공석준</t>
  </si>
  <si>
    <t>김해영</t>
  </si>
  <si>
    <t>김규섭</t>
  </si>
  <si>
    <t>김지훈</t>
  </si>
  <si>
    <t>조효선</t>
  </si>
  <si>
    <t>이시우</t>
  </si>
  <si>
    <t>김성철</t>
  </si>
  <si>
    <t>전은옥</t>
  </si>
  <si>
    <t>윤명섭</t>
  </si>
  <si>
    <t>김민아</t>
  </si>
  <si>
    <t>권오성</t>
  </si>
  <si>
    <t>정연태</t>
  </si>
  <si>
    <t>서양열</t>
  </si>
  <si>
    <t>남궁변</t>
  </si>
  <si>
    <t>김현철</t>
  </si>
  <si>
    <t>문근수</t>
  </si>
  <si>
    <t>경규왕</t>
  </si>
  <si>
    <t>이승아</t>
  </si>
  <si>
    <t>홍성문</t>
  </si>
  <si>
    <t>이상민</t>
  </si>
  <si>
    <t>민경남</t>
  </si>
  <si>
    <t>문승현</t>
  </si>
  <si>
    <t>김동욱</t>
  </si>
  <si>
    <t>황주하</t>
  </si>
  <si>
    <t>박정환</t>
  </si>
  <si>
    <t>이영재</t>
  </si>
  <si>
    <t>박유민</t>
  </si>
  <si>
    <t>허미영</t>
  </si>
  <si>
    <t>송미영</t>
  </si>
  <si>
    <t>김인규</t>
  </si>
  <si>
    <t>이상비</t>
  </si>
  <si>
    <t>안정희</t>
  </si>
  <si>
    <t>김정원</t>
  </si>
  <si>
    <t>김희동</t>
  </si>
  <si>
    <t>김보영</t>
  </si>
  <si>
    <t>김병용</t>
  </si>
  <si>
    <t>강설희</t>
  </si>
  <si>
    <t>배창옥</t>
  </si>
  <si>
    <t>김혜영</t>
  </si>
  <si>
    <t>김성우</t>
  </si>
  <si>
    <t>한동복</t>
  </si>
  <si>
    <t>김형정</t>
  </si>
  <si>
    <t>이현아</t>
  </si>
  <si>
    <t>정영민</t>
  </si>
  <si>
    <t>박청송</t>
  </si>
  <si>
    <t>하연주</t>
  </si>
  <si>
    <t>김동자</t>
  </si>
  <si>
    <t>이유리</t>
  </si>
  <si>
    <t>고은미</t>
  </si>
  <si>
    <t>송영석</t>
  </si>
  <si>
    <t>최윤숙</t>
  </si>
  <si>
    <t>윤용규</t>
  </si>
  <si>
    <t>이도경</t>
  </si>
  <si>
    <t>이창호</t>
  </si>
  <si>
    <t>오연의</t>
  </si>
  <si>
    <t>하원태</t>
  </si>
  <si>
    <t>신웅철</t>
  </si>
  <si>
    <t>송병만</t>
  </si>
  <si>
    <t>김정근</t>
  </si>
  <si>
    <t>유상</t>
  </si>
  <si>
    <t>김기준</t>
  </si>
  <si>
    <t>박종호</t>
  </si>
  <si>
    <t>김효숙</t>
  </si>
  <si>
    <t>김필선</t>
  </si>
  <si>
    <t>이해범</t>
  </si>
  <si>
    <t>황학진</t>
  </si>
  <si>
    <t>권현지</t>
  </si>
  <si>
    <t>김재헌</t>
  </si>
  <si>
    <t>임경순</t>
  </si>
  <si>
    <t>조미현</t>
  </si>
  <si>
    <t>이종필</t>
  </si>
  <si>
    <t>한영선</t>
  </si>
  <si>
    <t>이동순</t>
  </si>
  <si>
    <t>김정종</t>
  </si>
  <si>
    <t>기성찬</t>
  </si>
  <si>
    <t>전재식</t>
  </si>
  <si>
    <t>송길용</t>
  </si>
  <si>
    <t>한현철</t>
  </si>
  <si>
    <t>이창경</t>
  </si>
  <si>
    <t>박혜연</t>
  </si>
  <si>
    <t>김성태</t>
  </si>
  <si>
    <t>김유선</t>
  </si>
  <si>
    <t>박우성</t>
  </si>
  <si>
    <t>이석희</t>
  </si>
  <si>
    <t>장재명</t>
  </si>
  <si>
    <t>배찬수</t>
  </si>
  <si>
    <t>김학윤</t>
  </si>
  <si>
    <t>김동원</t>
  </si>
  <si>
    <t>권기쁨</t>
  </si>
  <si>
    <t>소병규</t>
  </si>
  <si>
    <t>박정희</t>
  </si>
  <si>
    <t>김은경</t>
  </si>
  <si>
    <t>박승진</t>
  </si>
  <si>
    <t>김동휘</t>
  </si>
  <si>
    <t>유지용</t>
  </si>
  <si>
    <t>황정연</t>
  </si>
  <si>
    <t>정현정</t>
  </si>
  <si>
    <t>고영민</t>
  </si>
  <si>
    <t>소재광</t>
  </si>
  <si>
    <t>선지은</t>
  </si>
  <si>
    <t>정운일</t>
  </si>
  <si>
    <t>전형식</t>
  </si>
  <si>
    <t>김명준</t>
  </si>
  <si>
    <t>이현자</t>
  </si>
  <si>
    <t>노재원</t>
  </si>
  <si>
    <t>조소영</t>
  </si>
  <si>
    <t>조현조</t>
  </si>
  <si>
    <t>공창성</t>
  </si>
  <si>
    <t>김향애</t>
  </si>
  <si>
    <t>정윤식</t>
  </si>
  <si>
    <t>김방준</t>
  </si>
  <si>
    <t>권상원</t>
  </si>
  <si>
    <t>이주철</t>
  </si>
  <si>
    <t>김재연</t>
  </si>
  <si>
    <t>임월재</t>
  </si>
  <si>
    <t>우수진</t>
  </si>
  <si>
    <t>김준영</t>
  </si>
  <si>
    <t>이훈상</t>
  </si>
  <si>
    <t>김인순</t>
  </si>
  <si>
    <t>이미경</t>
  </si>
  <si>
    <t>강문수</t>
  </si>
  <si>
    <t>허만열</t>
  </si>
  <si>
    <t>김충식</t>
  </si>
  <si>
    <t>이현수</t>
  </si>
  <si>
    <t>김왕국</t>
  </si>
  <si>
    <t>한상열</t>
  </si>
  <si>
    <t>오창열</t>
  </si>
  <si>
    <t>방재용</t>
  </si>
  <si>
    <t>이춘선</t>
  </si>
  <si>
    <t>이인상</t>
  </si>
  <si>
    <t>노태진</t>
  </si>
  <si>
    <t>권미지</t>
  </si>
  <si>
    <t>조해완</t>
  </si>
  <si>
    <t>김동신</t>
  </si>
  <si>
    <t>김영순</t>
  </si>
  <si>
    <t>김병천</t>
  </si>
  <si>
    <t>김종순</t>
  </si>
  <si>
    <t>박경호</t>
  </si>
  <si>
    <t>윤민형</t>
  </si>
  <si>
    <t>윤나현</t>
  </si>
  <si>
    <t>장병운</t>
  </si>
  <si>
    <t>정은경</t>
  </si>
  <si>
    <t>윤재연</t>
  </si>
  <si>
    <t>이경희</t>
  </si>
  <si>
    <t>천윤수</t>
  </si>
  <si>
    <t>주경선</t>
  </si>
  <si>
    <t>김광한</t>
  </si>
  <si>
    <t>이문재</t>
  </si>
  <si>
    <t>신경순</t>
  </si>
  <si>
    <t>김주현</t>
  </si>
  <si>
    <t>백지원</t>
  </si>
  <si>
    <t>김현희</t>
  </si>
  <si>
    <t>박순신</t>
  </si>
  <si>
    <t>정영윤</t>
  </si>
  <si>
    <t>박미선</t>
  </si>
  <si>
    <t>김현미</t>
  </si>
  <si>
    <t>조해원</t>
  </si>
  <si>
    <t>황정미</t>
  </si>
  <si>
    <t>이진영</t>
  </si>
  <si>
    <t>서창석</t>
  </si>
  <si>
    <t>박정</t>
  </si>
  <si>
    <t>정창순</t>
  </si>
  <si>
    <t>박태훈</t>
  </si>
  <si>
    <t>오중택</t>
  </si>
  <si>
    <t>인백식</t>
  </si>
  <si>
    <t>김순자</t>
  </si>
  <si>
    <t>박찬식</t>
  </si>
  <si>
    <t>이우진</t>
  </si>
  <si>
    <t>하상진</t>
  </si>
  <si>
    <t>김남진</t>
  </si>
  <si>
    <t>유화영</t>
  </si>
  <si>
    <t>안명원</t>
  </si>
  <si>
    <t>김경옥</t>
  </si>
  <si>
    <t>이광욱</t>
  </si>
  <si>
    <t>서성열</t>
  </si>
  <si>
    <t>이치우</t>
  </si>
  <si>
    <t>최재식</t>
  </si>
  <si>
    <t>정재연</t>
  </si>
  <si>
    <t>김득중</t>
  </si>
  <si>
    <t>김태균</t>
  </si>
  <si>
    <t>김윤경</t>
  </si>
  <si>
    <t>김상규</t>
  </si>
  <si>
    <t>서정욱</t>
  </si>
  <si>
    <t>여동수</t>
  </si>
  <si>
    <t>김우련</t>
  </si>
  <si>
    <t>김기수</t>
  </si>
  <si>
    <t>임은숙</t>
  </si>
  <si>
    <t>김만수</t>
  </si>
  <si>
    <t>임철진</t>
  </si>
  <si>
    <t>강원식</t>
  </si>
  <si>
    <t>김홍기</t>
  </si>
  <si>
    <t>김선민</t>
  </si>
  <si>
    <t>홍길표</t>
  </si>
  <si>
    <t>정승원</t>
  </si>
  <si>
    <t>김미정</t>
  </si>
  <si>
    <t>박효훈</t>
  </si>
  <si>
    <t>김선돈</t>
  </si>
  <si>
    <t>김미란</t>
  </si>
  <si>
    <t>박노용</t>
  </si>
  <si>
    <t>권혁창</t>
  </si>
  <si>
    <t>이혜란</t>
  </si>
  <si>
    <t>박혜경</t>
  </si>
  <si>
    <t>황윤상</t>
  </si>
  <si>
    <t>박영훈</t>
  </si>
  <si>
    <t>김영섭</t>
  </si>
  <si>
    <t>전용극</t>
  </si>
  <si>
    <t>이춘희</t>
  </si>
  <si>
    <t>강창호</t>
  </si>
  <si>
    <t>하장원</t>
  </si>
  <si>
    <t>홍창용</t>
  </si>
  <si>
    <t>김소수</t>
  </si>
  <si>
    <t>류윤기</t>
  </si>
  <si>
    <t>최송희</t>
  </si>
  <si>
    <t>최진규</t>
  </si>
  <si>
    <t>김상진</t>
  </si>
  <si>
    <t>김지유</t>
  </si>
  <si>
    <t>이석곤</t>
  </si>
  <si>
    <t>조종식</t>
  </si>
  <si>
    <t>홍예진</t>
  </si>
  <si>
    <t>김호연</t>
  </si>
  <si>
    <t>전해성</t>
  </si>
  <si>
    <t>박순</t>
  </si>
  <si>
    <t>손종배</t>
  </si>
  <si>
    <t>임승묵</t>
  </si>
  <si>
    <t>유강열</t>
  </si>
  <si>
    <t>염명국</t>
  </si>
  <si>
    <t>손제명</t>
  </si>
  <si>
    <t>최주숙</t>
  </si>
  <si>
    <t>박우흥</t>
  </si>
  <si>
    <t>정차영</t>
  </si>
  <si>
    <t>김창진</t>
  </si>
  <si>
    <t>문희숙</t>
  </si>
  <si>
    <t>황성혜</t>
  </si>
  <si>
    <t>안재철</t>
  </si>
  <si>
    <t>민미숙</t>
  </si>
  <si>
    <t>김원석</t>
  </si>
  <si>
    <t>최용석</t>
  </si>
  <si>
    <t>송승태</t>
  </si>
  <si>
    <t>이한성</t>
  </si>
  <si>
    <t>김봉기</t>
  </si>
  <si>
    <t>권중봉</t>
  </si>
  <si>
    <t>안순건</t>
  </si>
  <si>
    <t>김창영</t>
  </si>
  <si>
    <t>김성조</t>
  </si>
  <si>
    <t>정용대</t>
  </si>
  <si>
    <t>이원우</t>
  </si>
  <si>
    <t>권태겸</t>
  </si>
  <si>
    <t>김순경</t>
  </si>
  <si>
    <t>박운영</t>
  </si>
  <si>
    <t>원진철</t>
  </si>
  <si>
    <t>정환</t>
  </si>
  <si>
    <t>권동호</t>
  </si>
  <si>
    <t>권기목</t>
  </si>
  <si>
    <t>박정우</t>
  </si>
  <si>
    <t>김명원</t>
  </si>
  <si>
    <t>최종기</t>
  </si>
  <si>
    <t>박원대</t>
  </si>
  <si>
    <t>최철웅</t>
  </si>
  <si>
    <t>박제연</t>
  </si>
  <si>
    <t>조성희</t>
  </si>
  <si>
    <t>정윤부</t>
  </si>
  <si>
    <t>김윤영</t>
  </si>
  <si>
    <t>황태일</t>
  </si>
  <si>
    <t>유진희</t>
  </si>
  <si>
    <t>박두호</t>
  </si>
  <si>
    <t>이태훈</t>
  </si>
  <si>
    <t>김국진</t>
  </si>
  <si>
    <t>박호석</t>
  </si>
  <si>
    <t>유찬숙</t>
  </si>
  <si>
    <t>엄준식</t>
  </si>
  <si>
    <t>박종수</t>
  </si>
  <si>
    <t>이선정</t>
  </si>
  <si>
    <t>정우식</t>
  </si>
  <si>
    <t>홍대희</t>
  </si>
  <si>
    <t>박순희</t>
  </si>
  <si>
    <t>유재경</t>
  </si>
  <si>
    <t>변효진</t>
  </si>
  <si>
    <t>원광연</t>
  </si>
  <si>
    <t>김민정</t>
  </si>
  <si>
    <t>장인상</t>
  </si>
  <si>
    <t>하채용</t>
  </si>
  <si>
    <t>최성웅</t>
  </si>
  <si>
    <t>안태규</t>
  </si>
  <si>
    <t>임기성</t>
  </si>
  <si>
    <t>김태우</t>
  </si>
  <si>
    <t>최상문</t>
  </si>
  <si>
    <t>김정환</t>
  </si>
  <si>
    <t>김민수</t>
  </si>
  <si>
    <t>박영일</t>
  </si>
  <si>
    <t>조윤희</t>
  </si>
  <si>
    <t>박병래</t>
  </si>
  <si>
    <t>맹진숙</t>
  </si>
  <si>
    <t>김흥식</t>
  </si>
  <si>
    <t>한정섭</t>
  </si>
  <si>
    <t>서정재</t>
  </si>
  <si>
    <t>유영신</t>
  </si>
  <si>
    <t>배철한</t>
  </si>
  <si>
    <t>한재명</t>
  </si>
  <si>
    <t>이재욱</t>
  </si>
  <si>
    <t>박찬익</t>
  </si>
  <si>
    <t>이재근</t>
  </si>
  <si>
    <t>허옥재</t>
  </si>
  <si>
    <t>원흥연</t>
  </si>
  <si>
    <t>김규남</t>
  </si>
  <si>
    <t>박태오</t>
  </si>
  <si>
    <t>조상현</t>
  </si>
  <si>
    <t>최재영</t>
  </si>
  <si>
    <t>정기화</t>
  </si>
  <si>
    <t>최병권</t>
  </si>
  <si>
    <t>박미라</t>
  </si>
  <si>
    <t>유승각</t>
  </si>
  <si>
    <t>이정희</t>
  </si>
  <si>
    <t>이화수</t>
  </si>
  <si>
    <t>남영경</t>
  </si>
  <si>
    <t>이병욱</t>
  </si>
  <si>
    <t>이상경</t>
  </si>
  <si>
    <t>금성종</t>
  </si>
  <si>
    <t>김정희</t>
  </si>
  <si>
    <t>신효경</t>
  </si>
  <si>
    <t>신승길</t>
  </si>
  <si>
    <t>이정행</t>
  </si>
  <si>
    <t>차동철</t>
  </si>
  <si>
    <t>임충근</t>
  </si>
  <si>
    <t>한영현</t>
  </si>
  <si>
    <t>김나미</t>
  </si>
  <si>
    <t>유기승</t>
  </si>
  <si>
    <t>이기숙</t>
  </si>
  <si>
    <t>김봉수</t>
  </si>
  <si>
    <t>성차경</t>
  </si>
  <si>
    <t>박성식</t>
  </si>
  <si>
    <t>김연도</t>
  </si>
  <si>
    <t>성희송</t>
  </si>
  <si>
    <t>조승희</t>
  </si>
  <si>
    <t>고정아</t>
  </si>
  <si>
    <t>김성은</t>
  </si>
  <si>
    <t>권오직</t>
  </si>
  <si>
    <t>권영천</t>
  </si>
  <si>
    <t>김영환</t>
  </si>
  <si>
    <t>남영문</t>
  </si>
  <si>
    <t>김은희</t>
  </si>
  <si>
    <t>김상섭</t>
  </si>
  <si>
    <t>정광철</t>
  </si>
  <si>
    <t>김동구</t>
  </si>
  <si>
    <t>김성용</t>
  </si>
  <si>
    <t>홍정희</t>
  </si>
  <si>
    <t>이기만</t>
  </si>
  <si>
    <t>이태형</t>
  </si>
  <si>
    <t>송상진</t>
  </si>
  <si>
    <t>박광수</t>
  </si>
  <si>
    <t>지명호</t>
  </si>
  <si>
    <t>남궁장성</t>
  </si>
  <si>
    <t>정원화</t>
  </si>
  <si>
    <t>권형태</t>
  </si>
  <si>
    <t>오경애</t>
  </si>
  <si>
    <t>천혜정</t>
  </si>
  <si>
    <t>권순목</t>
  </si>
  <si>
    <t>이정선</t>
  </si>
  <si>
    <t>송용호</t>
  </si>
  <si>
    <t>한미현</t>
  </si>
  <si>
    <t>윤경애</t>
  </si>
  <si>
    <t>김운덕</t>
  </si>
  <si>
    <t>이필명</t>
  </si>
  <si>
    <t>이종학</t>
  </si>
  <si>
    <t>전응련</t>
  </si>
  <si>
    <t>박상우</t>
  </si>
  <si>
    <t>김수진</t>
  </si>
  <si>
    <t>유성희</t>
  </si>
  <si>
    <t>강명숙</t>
  </si>
  <si>
    <t>신순혜</t>
  </si>
  <si>
    <t>강석헌</t>
  </si>
  <si>
    <t>김성효</t>
  </si>
  <si>
    <t>오창선</t>
  </si>
  <si>
    <t>이민화</t>
  </si>
  <si>
    <t>최용일</t>
  </si>
  <si>
    <t>최호권</t>
  </si>
  <si>
    <t>신치수</t>
  </si>
  <si>
    <t>이인호</t>
  </si>
  <si>
    <t>정형철</t>
  </si>
  <si>
    <t>신지혜</t>
  </si>
  <si>
    <t>노상석</t>
  </si>
  <si>
    <t>이석태</t>
  </si>
  <si>
    <t>김성수</t>
  </si>
  <si>
    <t>이민주</t>
  </si>
  <si>
    <t>김란</t>
  </si>
  <si>
    <t>김대일</t>
  </si>
  <si>
    <t>최승열</t>
  </si>
  <si>
    <t>김재영</t>
  </si>
  <si>
    <t>서경선</t>
  </si>
  <si>
    <t>이지윤</t>
  </si>
  <si>
    <t>이재원</t>
  </si>
  <si>
    <t>이재환</t>
  </si>
  <si>
    <t>심민아</t>
  </si>
  <si>
    <t>이동주</t>
  </si>
  <si>
    <t>서영경</t>
  </si>
  <si>
    <t>손강수</t>
  </si>
  <si>
    <t>현상훈</t>
  </si>
  <si>
    <t>고재철</t>
  </si>
  <si>
    <t>정희진</t>
  </si>
  <si>
    <t>송제오</t>
  </si>
  <si>
    <t>박진오</t>
  </si>
  <si>
    <t>정정미</t>
  </si>
  <si>
    <t>이동렬</t>
  </si>
  <si>
    <t>김운식</t>
  </si>
  <si>
    <t>홍종의</t>
  </si>
  <si>
    <t>송윤진</t>
  </si>
  <si>
    <t>홍장혁</t>
  </si>
  <si>
    <t>최은정</t>
  </si>
  <si>
    <t>서석명</t>
  </si>
  <si>
    <t>김승렬</t>
  </si>
  <si>
    <t>김용배</t>
  </si>
  <si>
    <t>최승호</t>
  </si>
  <si>
    <t>김미금</t>
  </si>
  <si>
    <t>이미화</t>
  </si>
  <si>
    <t>박칠규</t>
  </si>
  <si>
    <t>한규봉</t>
  </si>
  <si>
    <t>조상문</t>
  </si>
  <si>
    <t>이윤주</t>
  </si>
  <si>
    <t>서지연</t>
  </si>
  <si>
    <t>김홍일</t>
  </si>
  <si>
    <t>채현주</t>
  </si>
  <si>
    <t>장훈</t>
  </si>
  <si>
    <t>박수련</t>
  </si>
  <si>
    <t>이종용</t>
  </si>
  <si>
    <t>문현태</t>
  </si>
  <si>
    <t>이병기</t>
  </si>
  <si>
    <t>정이진</t>
  </si>
  <si>
    <t>신현복</t>
  </si>
  <si>
    <t>이관구</t>
  </si>
  <si>
    <t>박현영</t>
  </si>
  <si>
    <t>고정호</t>
  </si>
  <si>
    <t>주현수</t>
  </si>
  <si>
    <t>차승우</t>
  </si>
  <si>
    <t>김웅</t>
  </si>
  <si>
    <t>강희석</t>
  </si>
  <si>
    <t>박명서</t>
  </si>
  <si>
    <t>이재선</t>
  </si>
  <si>
    <t>하필규</t>
  </si>
  <si>
    <t>김주호</t>
  </si>
  <si>
    <t>박인우</t>
  </si>
  <si>
    <t>김윤례</t>
  </si>
  <si>
    <t>김수남</t>
  </si>
  <si>
    <t>황환선</t>
  </si>
  <si>
    <t>윤형순</t>
  </si>
  <si>
    <t>석서경</t>
  </si>
  <si>
    <t>정재문</t>
  </si>
  <si>
    <t>김영훈</t>
  </si>
  <si>
    <t>안연각</t>
  </si>
  <si>
    <t>정지희</t>
  </si>
  <si>
    <t>이규섭</t>
  </si>
  <si>
    <t>이점식</t>
  </si>
  <si>
    <t>양대형</t>
  </si>
  <si>
    <t>권은영</t>
  </si>
  <si>
    <t>성윤동</t>
  </si>
  <si>
    <t>이지홍</t>
  </si>
  <si>
    <t>이동훈</t>
  </si>
  <si>
    <t>박금순</t>
  </si>
  <si>
    <t>강민지</t>
  </si>
  <si>
    <t>유행석</t>
  </si>
  <si>
    <t>류충현</t>
  </si>
  <si>
    <t>김선영</t>
  </si>
  <si>
    <t>박우재</t>
  </si>
  <si>
    <t>김정민</t>
  </si>
  <si>
    <t>김상배</t>
  </si>
  <si>
    <t>박상균</t>
  </si>
  <si>
    <t>정은정</t>
  </si>
  <si>
    <t>권진옥</t>
  </si>
  <si>
    <t>홍유나</t>
  </si>
  <si>
    <t>김의숙</t>
  </si>
  <si>
    <t>권태희</t>
  </si>
  <si>
    <t>정철규</t>
  </si>
  <si>
    <t>이진배</t>
  </si>
  <si>
    <t>김주희</t>
  </si>
  <si>
    <t>이우영</t>
  </si>
  <si>
    <t>안미준</t>
  </si>
  <si>
    <t>최재경</t>
  </si>
  <si>
    <t>박세은</t>
  </si>
  <si>
    <t>권경환</t>
  </si>
  <si>
    <t>황인숙</t>
  </si>
  <si>
    <t>장현숙</t>
  </si>
  <si>
    <t>안미정</t>
  </si>
  <si>
    <t>김성록</t>
  </si>
  <si>
    <t>이순란</t>
  </si>
  <si>
    <t>전해옥</t>
  </si>
  <si>
    <t>김기명</t>
  </si>
  <si>
    <t>박숙희</t>
  </si>
  <si>
    <t>권현정</t>
  </si>
  <si>
    <t>송진영</t>
  </si>
  <si>
    <t>김현정</t>
  </si>
  <si>
    <t>김은주</t>
  </si>
  <si>
    <t>이혜진</t>
  </si>
  <si>
    <t>김인철</t>
  </si>
  <si>
    <t>김윤지</t>
  </si>
  <si>
    <t>김민제</t>
  </si>
  <si>
    <t>김정숙</t>
  </si>
  <si>
    <t>최준희</t>
  </si>
  <si>
    <t>곽상현</t>
  </si>
  <si>
    <t>박신철</t>
  </si>
  <si>
    <t>이은정</t>
  </si>
  <si>
    <t>김연홍</t>
  </si>
  <si>
    <t>이현숙</t>
  </si>
  <si>
    <t>최영조</t>
  </si>
  <si>
    <t>정다겸</t>
  </si>
  <si>
    <t>송미선</t>
  </si>
  <si>
    <t>어옥준</t>
  </si>
  <si>
    <t>이상희</t>
  </si>
  <si>
    <t>정동호</t>
  </si>
  <si>
    <t>한선희</t>
  </si>
  <si>
    <t>박성희</t>
  </si>
  <si>
    <t>이태현</t>
  </si>
  <si>
    <t>김명수</t>
  </si>
  <si>
    <t>이재준</t>
  </si>
  <si>
    <t>전문영</t>
  </si>
  <si>
    <t>염기호</t>
  </si>
  <si>
    <t>박형기</t>
  </si>
  <si>
    <t>박삼선</t>
  </si>
  <si>
    <t>성동제</t>
  </si>
  <si>
    <t>우주형</t>
  </si>
  <si>
    <t>이난영</t>
  </si>
  <si>
    <t>이상미</t>
  </si>
  <si>
    <t>이조은</t>
  </si>
  <si>
    <t>이지영</t>
  </si>
  <si>
    <t>장옥희</t>
  </si>
  <si>
    <t>이의숙</t>
  </si>
  <si>
    <t>박원규</t>
  </si>
  <si>
    <t>박신환</t>
  </si>
  <si>
    <t>강병주</t>
  </si>
  <si>
    <t>강민경</t>
  </si>
  <si>
    <t>전민수</t>
  </si>
  <si>
    <t>엄현석</t>
  </si>
  <si>
    <t>신미경</t>
  </si>
  <si>
    <t>이유미</t>
  </si>
  <si>
    <t>김종득</t>
  </si>
  <si>
    <t>전은경</t>
  </si>
  <si>
    <t>민미영</t>
  </si>
  <si>
    <t>최문규</t>
  </si>
  <si>
    <t>이홍재</t>
  </si>
  <si>
    <t>홍미선</t>
  </si>
  <si>
    <t>권미영</t>
  </si>
  <si>
    <t>권호진</t>
  </si>
  <si>
    <t>김나래</t>
  </si>
  <si>
    <t>김현수</t>
  </si>
  <si>
    <t>문동주</t>
  </si>
  <si>
    <t>민재홍</t>
  </si>
  <si>
    <t>박용산</t>
  </si>
  <si>
    <t>이병이</t>
  </si>
  <si>
    <t>태윤자</t>
  </si>
  <si>
    <t>윤태우</t>
  </si>
  <si>
    <t>정선정</t>
  </si>
  <si>
    <t>임서정</t>
  </si>
  <si>
    <t>임효정</t>
  </si>
  <si>
    <t>안미영</t>
  </si>
  <si>
    <t>장준현</t>
  </si>
  <si>
    <t>조수영</t>
  </si>
  <si>
    <t>송병관</t>
  </si>
  <si>
    <t>안희철</t>
  </si>
  <si>
    <t>주희</t>
  </si>
  <si>
    <t>김민희</t>
  </si>
  <si>
    <t>오명길</t>
  </si>
  <si>
    <t>이중봉</t>
  </si>
  <si>
    <t>강수인</t>
  </si>
  <si>
    <t>이향란</t>
  </si>
  <si>
    <t>임철헌</t>
  </si>
  <si>
    <t>최행운</t>
  </si>
  <si>
    <t>조성준</t>
  </si>
  <si>
    <t>이지현</t>
  </si>
  <si>
    <t>최지선</t>
  </si>
  <si>
    <t>정상모</t>
  </si>
  <si>
    <t>김성국</t>
  </si>
  <si>
    <t>강수정</t>
  </si>
  <si>
    <t>김종대</t>
  </si>
  <si>
    <t>김지홍</t>
  </si>
  <si>
    <t>노경보</t>
  </si>
  <si>
    <t>정일창</t>
  </si>
  <si>
    <t>홍경숙</t>
  </si>
  <si>
    <t>이준구</t>
  </si>
  <si>
    <t>최철연</t>
  </si>
  <si>
    <t>안효은</t>
  </si>
  <si>
    <t>이상호</t>
  </si>
  <si>
    <t>김이동</t>
  </si>
  <si>
    <t>박정욱</t>
  </si>
  <si>
    <t>김창록</t>
  </si>
  <si>
    <t>김주하</t>
  </si>
  <si>
    <t>강석철</t>
  </si>
  <si>
    <t>김철진</t>
  </si>
  <si>
    <t>서주리</t>
  </si>
  <si>
    <t>이승현</t>
  </si>
  <si>
    <t>박유리</t>
  </si>
  <si>
    <t>홍제용</t>
  </si>
  <si>
    <t>김귀현</t>
  </si>
  <si>
    <t>박노광</t>
  </si>
  <si>
    <t>이승우</t>
  </si>
  <si>
    <t>김양희</t>
  </si>
  <si>
    <t>이강복</t>
  </si>
  <si>
    <t>박준규</t>
  </si>
  <si>
    <t>이라금</t>
  </si>
  <si>
    <t>구자길</t>
  </si>
  <si>
    <t>김경희</t>
  </si>
  <si>
    <t>박민수</t>
  </si>
  <si>
    <t>김수헌</t>
  </si>
  <si>
    <t>한기원</t>
  </si>
  <si>
    <t>양해승</t>
  </si>
  <si>
    <t>신춘수</t>
  </si>
  <si>
    <t>김동찬</t>
  </si>
  <si>
    <t>정지문</t>
  </si>
  <si>
    <t>김지연</t>
  </si>
  <si>
    <t>이효영</t>
  </si>
  <si>
    <t>장석근</t>
  </si>
  <si>
    <t>박재현</t>
  </si>
  <si>
    <t>양윤정</t>
  </si>
  <si>
    <t>김혜연</t>
  </si>
  <si>
    <t>김정우</t>
  </si>
  <si>
    <t>김상수</t>
  </si>
  <si>
    <t>정상희</t>
  </si>
  <si>
    <t>신정현</t>
  </si>
  <si>
    <t>강봉기</t>
  </si>
  <si>
    <t>윤완섭</t>
  </si>
  <si>
    <t>최진혁</t>
  </si>
  <si>
    <t>장인걸</t>
  </si>
  <si>
    <t>지명찬</t>
  </si>
  <si>
    <t>김인경</t>
  </si>
  <si>
    <t>박치덕</t>
  </si>
  <si>
    <t>이도연</t>
  </si>
  <si>
    <t>신동진</t>
  </si>
  <si>
    <t>강미은</t>
  </si>
  <si>
    <t>김원돈</t>
  </si>
  <si>
    <t>김은기</t>
  </si>
  <si>
    <t>송리원</t>
  </si>
  <si>
    <t>진대성</t>
  </si>
  <si>
    <t>송순영</t>
  </si>
  <si>
    <t>이윤정</t>
  </si>
  <si>
    <t>전광호</t>
  </si>
  <si>
    <t>장재훈</t>
  </si>
  <si>
    <t>정진경</t>
  </si>
  <si>
    <t>김종우</t>
  </si>
  <si>
    <t>박윤희</t>
  </si>
  <si>
    <t>장준호</t>
  </si>
  <si>
    <t>강이학</t>
  </si>
  <si>
    <t>배효주</t>
  </si>
  <si>
    <t>강환철</t>
  </si>
  <si>
    <t>김세인</t>
  </si>
  <si>
    <t>황진영</t>
  </si>
  <si>
    <t>김상현</t>
  </si>
  <si>
    <t>박수진</t>
  </si>
  <si>
    <t>김현민</t>
  </si>
  <si>
    <t>이혜원</t>
  </si>
  <si>
    <t>정수안</t>
  </si>
  <si>
    <t>진주미</t>
  </si>
  <si>
    <t>홍혜미</t>
  </si>
  <si>
    <t>이승재</t>
  </si>
  <si>
    <t>신환윤</t>
  </si>
  <si>
    <t>정영아</t>
  </si>
  <si>
    <t>김동철</t>
  </si>
  <si>
    <t>이홍수</t>
  </si>
  <si>
    <t>손혜정</t>
  </si>
  <si>
    <t>이정숙</t>
  </si>
  <si>
    <t>강현택</t>
  </si>
  <si>
    <t>공진아</t>
  </si>
  <si>
    <t>권지혜</t>
  </si>
  <si>
    <t>한택동</t>
  </si>
  <si>
    <t>정수연</t>
  </si>
  <si>
    <t>박윤정</t>
  </si>
  <si>
    <t>박현숙</t>
  </si>
  <si>
    <t>이강욱</t>
  </si>
  <si>
    <t>이병상</t>
  </si>
  <si>
    <t>이보연</t>
  </si>
  <si>
    <t>이상윤</t>
  </si>
  <si>
    <t>장우석</t>
  </si>
  <si>
    <t>최진욱</t>
  </si>
  <si>
    <t>탁윤환</t>
  </si>
  <si>
    <t>전우성</t>
  </si>
  <si>
    <t>정호준</t>
  </si>
  <si>
    <t>박소영</t>
  </si>
  <si>
    <t>최선경</t>
  </si>
  <si>
    <t>박명동</t>
  </si>
  <si>
    <t>조주호</t>
  </si>
  <si>
    <t>고우리</t>
  </si>
  <si>
    <t>송동건</t>
  </si>
  <si>
    <t>박현규</t>
  </si>
  <si>
    <t>윤정영</t>
  </si>
  <si>
    <t>박예슬</t>
  </si>
  <si>
    <t>박재환</t>
  </si>
  <si>
    <t>박경원</t>
  </si>
  <si>
    <t>박동준</t>
  </si>
  <si>
    <t>홍영준</t>
  </si>
  <si>
    <t>최호영</t>
  </si>
  <si>
    <t>류미영</t>
  </si>
  <si>
    <t>조홍택</t>
  </si>
  <si>
    <t>채정경</t>
  </si>
  <si>
    <t>하미란</t>
  </si>
  <si>
    <t>김다울</t>
  </si>
  <si>
    <t>좌윤정</t>
  </si>
  <si>
    <t>강병민</t>
  </si>
  <si>
    <t>김경남</t>
  </si>
  <si>
    <t>권기승</t>
  </si>
  <si>
    <t>정은영</t>
  </si>
  <si>
    <t>이준헌</t>
  </si>
  <si>
    <t>최유정</t>
  </si>
  <si>
    <t>박상일</t>
  </si>
  <si>
    <t>고정희</t>
  </si>
  <si>
    <t>배은지</t>
  </si>
  <si>
    <t>강민정</t>
  </si>
  <si>
    <t>정수정</t>
  </si>
  <si>
    <t>한현정</t>
  </si>
  <si>
    <t>김승구</t>
  </si>
  <si>
    <t>김용준</t>
  </si>
  <si>
    <t>서정아</t>
  </si>
  <si>
    <t>허건</t>
  </si>
  <si>
    <t>이종열</t>
  </si>
  <si>
    <t>이진희</t>
  </si>
  <si>
    <t>손배원</t>
  </si>
  <si>
    <t>윤종학</t>
  </si>
  <si>
    <t>곽경림</t>
  </si>
  <si>
    <t>김승수</t>
  </si>
  <si>
    <t>김송화</t>
  </si>
  <si>
    <t>김영학</t>
  </si>
  <si>
    <t>민경현</t>
  </si>
  <si>
    <t>박제한</t>
  </si>
  <si>
    <t>오영민</t>
  </si>
  <si>
    <t>이청</t>
  </si>
  <si>
    <t>최진영</t>
  </si>
  <si>
    <t>홍주현</t>
  </si>
  <si>
    <t>임세진</t>
  </si>
  <si>
    <t>이성훈</t>
  </si>
  <si>
    <t>최진주</t>
  </si>
  <si>
    <t>강성희</t>
  </si>
  <si>
    <t>국민관</t>
  </si>
  <si>
    <t>주혜영</t>
  </si>
  <si>
    <t>윤형묵</t>
  </si>
  <si>
    <t>박경란</t>
  </si>
  <si>
    <t>김재호</t>
  </si>
  <si>
    <t>박민정</t>
  </si>
  <si>
    <t>최현석</t>
  </si>
  <si>
    <t>기존 요건에서 추가요구사항 발생함.
- 직위해제, 직위해제해지 기간 적용
- 휴직자 잔여월수 표시 시켜 조회되기게
- 육아, 병역휴직자는 그냥 승급되게.</t>
    <phoneticPr fontId="1" type="noConversion"/>
  </si>
  <si>
    <t>SP_PMA110AA_01_JI03.prc</t>
    <phoneticPr fontId="1" type="noConversion"/>
  </si>
  <si>
    <t>시간제 적용.</t>
    <phoneticPr fontId="1" type="noConversion"/>
  </si>
  <si>
    <t>insa_s_code_array(시간제) TYPE 추가</t>
    <phoneticPr fontId="1" type="noConversion"/>
  </si>
  <si>
    <t>급여 기본입력시 주석 값 저장</t>
    <phoneticPr fontId="1" type="noConversion"/>
  </si>
  <si>
    <t>성과연봉계산작업</t>
    <phoneticPr fontId="1" type="noConversion"/>
  </si>
  <si>
    <t>PMA690TB.sql</t>
    <phoneticPr fontId="1" type="noConversion"/>
  </si>
  <si>
    <t>성과연봉기준비율</t>
  </si>
  <si>
    <t>계정과목코드</t>
  </si>
  <si>
    <t>A_CD</t>
  </si>
  <si>
    <t xml:space="preserve">ACCOUNT CODE </t>
  </si>
  <si>
    <t>자산,부채,손익,자본 등의 증감을 계산·기록하기 위해 설정한 단위</t>
    <phoneticPr fontId="3" type="noConversion"/>
  </si>
  <si>
    <t>과목그룹별구분값(A~Z)</t>
  </si>
  <si>
    <t>A_GB</t>
  </si>
  <si>
    <t xml:space="preserve">ACCOUNT GUBUN </t>
  </si>
  <si>
    <t>고정자산, 유통자산과 같은 계정과목을 그룹화 하여 관리하는 코드 구분값)</t>
    <phoneticPr fontId="3" type="noConversion"/>
  </si>
  <si>
    <t>계정과목명</t>
  </si>
  <si>
    <t>A_NM</t>
  </si>
  <si>
    <t xml:space="preserve">ACCOUNT NAME </t>
  </si>
  <si>
    <t>자산의 증감에서 현금과 같은 설정단위인 계정과목을 한글명으로 표현</t>
    <phoneticPr fontId="3" type="noConversion"/>
  </si>
  <si>
    <t>인가신청일</t>
  </si>
  <si>
    <t>AAPL_DAT</t>
  </si>
  <si>
    <t xml:space="preserve">APPROVAL DATE </t>
  </si>
  <si>
    <t>관할기관에 인가를 신청한 일자</t>
    <phoneticPr fontId="3" type="noConversion"/>
  </si>
  <si>
    <t>당연인가일자</t>
  </si>
  <si>
    <t>AAPP_DAT</t>
  </si>
  <si>
    <t xml:space="preserve">법적으로 인가 예정일 </t>
    <phoneticPr fontId="3" type="noConversion"/>
  </si>
  <si>
    <t>인수자산구분</t>
  </si>
  <si>
    <t>AAST_GB</t>
  </si>
  <si>
    <t xml:space="preserve">ASSET GUBUN </t>
    <phoneticPr fontId="3" type="noConversion"/>
  </si>
  <si>
    <t>고정자산 취득, 전환시 자산의 성격을 구분</t>
    <phoneticPr fontId="3" type="noConversion"/>
  </si>
  <si>
    <t>인수자산일련번호</t>
  </si>
  <si>
    <t>AAST_SQN</t>
  </si>
  <si>
    <t xml:space="preserve">ASSET SEQUENCE </t>
    <phoneticPr fontId="3" type="noConversion"/>
  </si>
  <si>
    <t>고정자산 취득, 전환시 인수자산관리 번호</t>
    <phoneticPr fontId="3" type="noConversion"/>
  </si>
  <si>
    <t>장부가액</t>
  </si>
  <si>
    <t>ABB_AMT</t>
  </si>
  <si>
    <t xml:space="preserve">ACCOUNT BOOK AMOUNT </t>
    <phoneticPr fontId="3" type="noConversion"/>
  </si>
  <si>
    <t>고정자산 취득시 장부가액</t>
    <phoneticPr fontId="3" type="noConversion"/>
  </si>
  <si>
    <t>국외근로비과세합</t>
  </si>
  <si>
    <t>ABDWRK_TSS</t>
  </si>
  <si>
    <t>ABROAD WORK TAX EXEMPT SUM</t>
  </si>
  <si>
    <t>국외근무시 국외근로비과세합</t>
    <phoneticPr fontId="3" type="noConversion"/>
  </si>
  <si>
    <t xml:space="preserve">ABSENCE COUNT </t>
  </si>
  <si>
    <t>결근일수를 카운트하여 보관</t>
    <phoneticPr fontId="3" type="noConversion"/>
  </si>
  <si>
    <t>회계년도</t>
    <phoneticPr fontId="3" type="noConversion"/>
  </si>
  <si>
    <t>AC_YY</t>
  </si>
  <si>
    <t xml:space="preserve">ACCOUNT YEAR </t>
  </si>
  <si>
    <t>회계의 기준이 되는 년도 (우리나라는 매년 1/1 ~ 12/31 까지를 하나의 회계연도로 본다)</t>
    <phoneticPr fontId="3" type="noConversion"/>
  </si>
  <si>
    <t>당연해제일자</t>
  </si>
  <si>
    <t>ACAN_DAT</t>
  </si>
  <si>
    <t xml:space="preserve">CANCEL DATE </t>
  </si>
  <si>
    <t>관할기관에서 인정 받을 시 인정 만기일을 관리</t>
    <phoneticPr fontId="3" type="noConversion"/>
  </si>
  <si>
    <t>인수부서</t>
  </si>
  <si>
    <t>ACDEPT_CD</t>
  </si>
  <si>
    <t xml:space="preserve">ACCEPTANCE DEPARTMENT CODE </t>
    <phoneticPr fontId="3" type="noConversion"/>
  </si>
  <si>
    <t>고정자산 취득, 전환시 사용하고자 하는 부서</t>
    <phoneticPr fontId="3" type="noConversion"/>
  </si>
  <si>
    <t>수령자</t>
  </si>
  <si>
    <t>ACP_NM</t>
  </si>
  <si>
    <t xml:space="preserve">ACCEPTER NAME </t>
  </si>
  <si>
    <t>고정자산 취득, 전환시 수령자</t>
    <phoneticPr fontId="3" type="noConversion"/>
  </si>
  <si>
    <t>수용규모인원</t>
  </si>
  <si>
    <t>ACPSCL_NMP</t>
  </si>
  <si>
    <t xml:space="preserve">ACCEPTER SCALE NUMBER OF PERSONS </t>
    <phoneticPr fontId="3" type="noConversion"/>
  </si>
  <si>
    <t>고정자산중 건물의 경우 수용규모인원</t>
    <phoneticPr fontId="3" type="noConversion"/>
  </si>
  <si>
    <t>제출년월일</t>
  </si>
  <si>
    <t>ACT_DAT</t>
  </si>
  <si>
    <t xml:space="preserve">ACT DATE </t>
  </si>
  <si>
    <t>문서 또는 전표를 제출한 년월일</t>
    <phoneticPr fontId="3" type="noConversion"/>
  </si>
  <si>
    <t>행위일자</t>
  </si>
  <si>
    <t>실제로 비용을 발생시킨 일자</t>
    <phoneticPr fontId="3" type="noConversion"/>
  </si>
  <si>
    <t>행위구분</t>
  </si>
  <si>
    <t>ACT_GB</t>
  </si>
  <si>
    <t xml:space="preserve">ACT GUBUN </t>
  </si>
  <si>
    <t>실제 비용을 발생시키는 행위구분</t>
    <phoneticPr fontId="3" type="noConversion"/>
  </si>
  <si>
    <t>지출원인행위순번</t>
  </si>
  <si>
    <t>ACT_SQN</t>
  </si>
  <si>
    <t xml:space="preserve">ACT SEQUENCE </t>
  </si>
  <si>
    <t>세출 예산에 채무 부담 행위 순번</t>
    <phoneticPr fontId="3" type="noConversion"/>
  </si>
  <si>
    <t>ACT_YM</t>
  </si>
  <si>
    <t xml:space="preserve">ACT YEAR MONTH </t>
  </si>
  <si>
    <t>비용을 실제로 지급한 년월</t>
    <phoneticPr fontId="3" type="noConversion"/>
  </si>
  <si>
    <t>회계담당자명</t>
  </si>
  <si>
    <t>ADDJ_NM</t>
  </si>
  <si>
    <t xml:space="preserve">ACCOUNT DAMDANGJA NAME </t>
  </si>
  <si>
    <t>각 기관이나 부서별 지출결의 담당자명</t>
    <phoneticPr fontId="3" type="noConversion"/>
  </si>
  <si>
    <t xml:space="preserve">ADDRESS  </t>
  </si>
  <si>
    <t>사업장이 있는 행정 주소지</t>
    <phoneticPr fontId="3" type="noConversion"/>
  </si>
  <si>
    <t>주소지관할청</t>
  </si>
  <si>
    <t>ADDR_BRA</t>
  </si>
  <si>
    <t xml:space="preserve">ADDRESS BRANCH </t>
  </si>
  <si>
    <t>사업장이 속해 있는 관할 구청</t>
    <phoneticPr fontId="3" type="noConversion"/>
  </si>
  <si>
    <t>소수공제자추가공제</t>
  </si>
  <si>
    <t>ADDRMV_AMT</t>
  </si>
  <si>
    <t xml:space="preserve">ADD REMOVE AMOUNT </t>
  </si>
  <si>
    <t xml:space="preserve">ADOPTION JUNGWON QUANTITY </t>
  </si>
  <si>
    <t>해외취업같이 취업을 알선하고자 하는 목표 정원</t>
    <phoneticPr fontId="3" type="noConversion"/>
  </si>
  <si>
    <t>취업방법</t>
  </si>
  <si>
    <t>ADP_MTH</t>
  </si>
  <si>
    <t xml:space="preserve">ADOPTION METHOD </t>
  </si>
  <si>
    <t>시험 및 면접시 기준정보 (예, 면접 후 시험, 토익 000점 이상, 영어 능통자 등)</t>
    <phoneticPr fontId="3" type="noConversion"/>
  </si>
  <si>
    <t>자산대표코드</t>
    <phoneticPr fontId="3" type="noConversion"/>
  </si>
  <si>
    <t>ADPY_CD</t>
  </si>
  <si>
    <t xml:space="preserve">ASSET DAEPYO CODE </t>
  </si>
  <si>
    <t>자산을 분류하는 코드</t>
    <phoneticPr fontId="3" type="noConversion"/>
  </si>
  <si>
    <t xml:space="preserve">ADOPTION GUBUN </t>
  </si>
  <si>
    <t>채용방법 구분 (공개채용, 수시채용 등)</t>
    <phoneticPr fontId="3" type="noConversion"/>
  </si>
  <si>
    <t xml:space="preserve">ADOPTION NAME </t>
  </si>
  <si>
    <t>채용구분 명을 관리</t>
    <phoneticPr fontId="3" type="noConversion"/>
  </si>
  <si>
    <t>종합소득과세표준</t>
    <phoneticPr fontId="3" type="noConversion"/>
  </si>
  <si>
    <t>AE_TXS</t>
  </si>
  <si>
    <t xml:space="preserve">ASSENBLY EARN TAX STANDARD </t>
  </si>
  <si>
    <t xml:space="preserve">당해년도 사업소득금액을 계산시 소득세를 계산하기 위한 과세표준금액 </t>
    <phoneticPr fontId="3" type="noConversion"/>
  </si>
  <si>
    <t>사후관리번호</t>
  </si>
  <si>
    <t>AFMNG_NO</t>
  </si>
  <si>
    <t xml:space="preserve">AFTER MANAGE NUMBER </t>
  </si>
  <si>
    <t>정산 후 관리번호를 기록 관리</t>
    <phoneticPr fontId="3" type="noConversion"/>
  </si>
  <si>
    <t>정산후퇴직금산출액</t>
  </si>
  <si>
    <t>AFRTI_AMT</t>
  </si>
  <si>
    <t xml:space="preserve">AFTER RETIREMENT AMOUNT </t>
  </si>
  <si>
    <t>정산후퇴직금산출액</t>
    <phoneticPr fontId="3" type="noConversion"/>
  </si>
  <si>
    <t xml:space="preserve">AGE  </t>
  </si>
  <si>
    <t>AGN_GB</t>
  </si>
  <si>
    <t xml:space="preserve">AGENCY GUBUN </t>
  </si>
  <si>
    <t>한국산업인력공단 산하기관구분</t>
    <phoneticPr fontId="3" type="noConversion"/>
  </si>
  <si>
    <t>AGNJUM_NM</t>
  </si>
  <si>
    <t xml:space="preserve">AGENCY JUM NAME </t>
  </si>
  <si>
    <t>한국산업인력공단 지부/지소명</t>
    <phoneticPr fontId="3" type="noConversion"/>
  </si>
  <si>
    <t>정산년도</t>
  </si>
  <si>
    <t>AJT_YY</t>
  </si>
  <si>
    <t xml:space="preserve">ADJUSTMENT YEAR </t>
    <phoneticPr fontId="3" type="noConversion"/>
  </si>
  <si>
    <t>연말정산시 정산년도를 관리</t>
    <phoneticPr fontId="3" type="noConversion"/>
  </si>
  <si>
    <t>액면가액</t>
  </si>
  <si>
    <t>AKK_AMT</t>
  </si>
  <si>
    <t xml:space="preserve">ACKMENKA AMOUNT </t>
  </si>
  <si>
    <t>유가증권 같은 경우 표면액을 액면가로 관리</t>
    <phoneticPr fontId="3" type="noConversion"/>
  </si>
  <si>
    <t>수당대체율</t>
  </si>
  <si>
    <t>ALADCH_RAT</t>
  </si>
  <si>
    <t xml:space="preserve">ALLOWANCE RATE </t>
  </si>
  <si>
    <t>본봉 대비 수당대체율관리</t>
    <phoneticPr fontId="3" type="noConversion"/>
  </si>
  <si>
    <t>적용개시일</t>
  </si>
  <si>
    <t>ALISTR_DAT</t>
  </si>
  <si>
    <t xml:space="preserve">APPLIED START DATE </t>
  </si>
  <si>
    <t>문서나 법이 개정되어 실제 적용한 일자</t>
    <phoneticPr fontId="3" type="noConversion"/>
  </si>
  <si>
    <t xml:space="preserve">ALLOWANCE JUNGWON GRADE NAME </t>
  </si>
  <si>
    <t>한국산업인력공단 정 현원에 대한 직급별 명 관리 (부장, 차장,,,,)</t>
    <phoneticPr fontId="3" type="noConversion"/>
  </si>
  <si>
    <t>전액공제기부금</t>
    <phoneticPr fontId="3" type="noConversion"/>
  </si>
  <si>
    <t>ALLCTB_AMT</t>
  </si>
  <si>
    <t xml:space="preserve">ALL CONTRIBUTION AMOUNT </t>
  </si>
  <si>
    <t xml:space="preserve">국가가 정한 전액공제 기부금의 대상단체에 기부한 금액은 전액 종합소득금액에서 공제함 </t>
    <phoneticPr fontId="3" type="noConversion"/>
  </si>
  <si>
    <t>상위예산관리자코드</t>
  </si>
  <si>
    <t>AMNG_CD</t>
  </si>
  <si>
    <t xml:space="preserve">ACCOUNT MANAGER CODE </t>
  </si>
  <si>
    <t>부서별 권한에 따른 예산 총괄 관리자 체계</t>
    <phoneticPr fontId="3" type="noConversion"/>
  </si>
  <si>
    <t xml:space="preserve">AMOUNT  </t>
  </si>
  <si>
    <t>금액(원화)을 표현</t>
    <phoneticPr fontId="3" type="noConversion"/>
  </si>
  <si>
    <t>소득총액</t>
  </si>
  <si>
    <t>당해년도 근로소득의 합계금액</t>
    <phoneticPr fontId="3" type="noConversion"/>
  </si>
  <si>
    <t>전년도보험료납부총액</t>
  </si>
  <si>
    <t>전년도 납부한 각종 보험료 총액</t>
    <phoneticPr fontId="3" type="noConversion"/>
  </si>
  <si>
    <t>업무추진비구분</t>
    <phoneticPr fontId="3" type="noConversion"/>
  </si>
  <si>
    <t xml:space="preserve">AMOUNT GUBUN </t>
  </si>
  <si>
    <t>직무를 수행하기 위해 사용하는 비용 (1:직책, 2:직급)</t>
    <phoneticPr fontId="3" type="noConversion"/>
  </si>
  <si>
    <t>금액한글</t>
  </si>
  <si>
    <t>AMT_KOR</t>
  </si>
  <si>
    <t xml:space="preserve">AMOUNT KORA </t>
  </si>
  <si>
    <t>금액(원화)을 한글로 표현</t>
    <phoneticPr fontId="3" type="noConversion"/>
  </si>
  <si>
    <t>금액조정방법(수신)</t>
  </si>
  <si>
    <t>AMT_METH</t>
  </si>
  <si>
    <t>AMOUNT METHOD</t>
  </si>
  <si>
    <t>금액 조정시 반올림/절사를 구분</t>
    <phoneticPr fontId="3" type="noConversion"/>
  </si>
  <si>
    <t>월 대부잔액</t>
    <phoneticPr fontId="3" type="noConversion"/>
  </si>
  <si>
    <t>AMT_MM</t>
    <phoneticPr fontId="3" type="noConversion"/>
  </si>
  <si>
    <t xml:space="preserve">AMOUNT MONTH </t>
  </si>
  <si>
    <t>대부금 상환시 매월 잔액을 표현</t>
    <phoneticPr fontId="3" type="noConversion"/>
  </si>
  <si>
    <t xml:space="preserve">ANNUITY AMOUNT </t>
  </si>
  <si>
    <t>당해년도 근로소득으로 예상되는 급여의 총액</t>
    <phoneticPr fontId="3" type="noConversion"/>
  </si>
  <si>
    <t xml:space="preserve">ANNUITY YES NO </t>
  </si>
  <si>
    <t>계약직과 연봉직을 구분</t>
    <phoneticPr fontId="3" type="noConversion"/>
  </si>
  <si>
    <t>귀속일자</t>
    <phoneticPr fontId="3" type="noConversion"/>
  </si>
  <si>
    <t>ANX_DAT</t>
  </si>
  <si>
    <t xml:space="preserve">ANNEX DATE </t>
  </si>
  <si>
    <t>연말정산(중도퇴사자 포함)을 하여 근로소득원천징수증을 작성할때에 입사일자</t>
    <phoneticPr fontId="3" type="noConversion"/>
  </si>
  <si>
    <t>귀속일자FR</t>
  </si>
  <si>
    <t>ANX_FR_DAT</t>
  </si>
  <si>
    <t>ANNEX FROM DATE</t>
  </si>
  <si>
    <t>연말정산(중도퇴사자 포함)을 하여 근로소득원천징수증을 작성할때에 입사일자 또는 ~ 1/1</t>
    <phoneticPr fontId="3" type="noConversion"/>
  </si>
  <si>
    <t>귀속일자TO</t>
  </si>
  <si>
    <t>ANX_TO_DAT</t>
  </si>
  <si>
    <t>ANNEX TO DATE</t>
  </si>
  <si>
    <t>연말정산(중도퇴사자 포함)을 하여 근로소득원천징수증을 작성할때에 퇴사일자 또는 ~ 12/31)</t>
    <phoneticPr fontId="3" type="noConversion"/>
  </si>
  <si>
    <t>회계기관코드</t>
  </si>
  <si>
    <t>AO_CD</t>
  </si>
  <si>
    <t xml:space="preserve">ACCOUNT ORGAN CODE </t>
  </si>
  <si>
    <t>회계단위 기관코드 (본부, 지역본부 등)</t>
    <phoneticPr fontId="3" type="noConversion"/>
  </si>
  <si>
    <t>회계구분</t>
  </si>
  <si>
    <t>AO_GB</t>
  </si>
  <si>
    <t xml:space="preserve">ACCOUNT ORGAN GUBUN </t>
  </si>
  <si>
    <t>일반회계, 재무회계, 세무회계를 구분</t>
    <phoneticPr fontId="3" type="noConversion"/>
  </si>
  <si>
    <t>회계기관명</t>
  </si>
  <si>
    <t>AO_NM</t>
  </si>
  <si>
    <t xml:space="preserve">ACCOUNT ORGAN NAME </t>
  </si>
  <si>
    <t>회계단위 기관명 (본부, 지역본부 명칭 등)</t>
    <phoneticPr fontId="3" type="noConversion"/>
  </si>
  <si>
    <t>회계기관대외명</t>
  </si>
  <si>
    <t>AO_ONM</t>
  </si>
  <si>
    <t xml:space="preserve">ACCOUNT ORGAN ORGAN NAME </t>
  </si>
  <si>
    <t>회계단위 기관명의 대외적인 명칭 (본부, 지역본부 명칭 등)</t>
    <phoneticPr fontId="3" type="noConversion"/>
  </si>
  <si>
    <t>APL_AMT</t>
    <phoneticPr fontId="3" type="noConversion"/>
  </si>
  <si>
    <t xml:space="preserve">APPROVAL AMOUNT </t>
  </si>
  <si>
    <t>학자금 신청금액</t>
    <phoneticPr fontId="3" type="noConversion"/>
  </si>
  <si>
    <t>학자금 신청일자</t>
    <phoneticPr fontId="3" type="noConversion"/>
  </si>
  <si>
    <t>신청학기</t>
  </si>
  <si>
    <t>APL_TERM</t>
  </si>
  <si>
    <t xml:space="preserve">APPROVAL TERM </t>
  </si>
  <si>
    <t>학자금 신청학기</t>
    <phoneticPr fontId="3" type="noConversion"/>
  </si>
  <si>
    <t>인가승인일자</t>
  </si>
  <si>
    <t>APP_DAT</t>
  </si>
  <si>
    <t>대내외적으로 시설 또는 면허관련 인가승인일자</t>
    <phoneticPr fontId="3" type="noConversion"/>
  </si>
  <si>
    <t>승인번호</t>
  </si>
  <si>
    <t>APP_NO</t>
  </si>
  <si>
    <t xml:space="preserve">APPROVAL NUMBER </t>
  </si>
  <si>
    <t>대내외적으로 시설 또는 면허관련 승인번호</t>
    <phoneticPr fontId="3" type="noConversion"/>
  </si>
  <si>
    <t>인가사유</t>
  </si>
  <si>
    <t>APP_RMK</t>
  </si>
  <si>
    <t xml:space="preserve">APPROVAL REMARK </t>
  </si>
  <si>
    <t>대내외적으로 시설 또는 면허관련 인가사유</t>
    <phoneticPr fontId="3" type="noConversion"/>
  </si>
  <si>
    <t>인가상태</t>
  </si>
  <si>
    <t>APP_STS</t>
  </si>
  <si>
    <t xml:space="preserve">APPROVAL STATUS </t>
  </si>
  <si>
    <t>대내외적으로 시설 또는 면허관련 인가상태</t>
    <phoneticPr fontId="3" type="noConversion"/>
  </si>
  <si>
    <t>인가증발급여부</t>
  </si>
  <si>
    <t>APRN_YN</t>
  </si>
  <si>
    <t xml:space="preserve">APPROVAL PRINT YES NO </t>
  </si>
  <si>
    <t>대내외적으로 시설 또는 면허관련 인가증발급여부</t>
    <phoneticPr fontId="3" type="noConversion"/>
  </si>
  <si>
    <t>결재일자1</t>
  </si>
  <si>
    <t>APV1_DAT</t>
  </si>
  <si>
    <t xml:space="preserve">APPROVAL DATE </t>
    <phoneticPr fontId="3" type="noConversion"/>
  </si>
  <si>
    <t>결재일자2</t>
  </si>
  <si>
    <t>APV2_DAT</t>
  </si>
  <si>
    <t>취득가액</t>
  </si>
  <si>
    <t>AQU_AMT</t>
  </si>
  <si>
    <t xml:space="preserve">ACQUISITION AMOUNT </t>
  </si>
  <si>
    <t>자산취득시 취득가액</t>
    <phoneticPr fontId="3" type="noConversion"/>
  </si>
  <si>
    <t>AQU_CSE</t>
  </si>
  <si>
    <t xml:space="preserve">ACQUISITION CAUSE </t>
  </si>
  <si>
    <t>자산취득시 취득원인</t>
    <phoneticPr fontId="3" type="noConversion"/>
  </si>
  <si>
    <t>취득일자</t>
  </si>
  <si>
    <t>AQU_DAT</t>
  </si>
  <si>
    <t xml:space="preserve">ACQUISITION DATE </t>
  </si>
  <si>
    <t>자산취득시 취득일자</t>
    <phoneticPr fontId="3" type="noConversion"/>
  </si>
  <si>
    <t>취득처</t>
  </si>
  <si>
    <t>AQU_PLS</t>
  </si>
  <si>
    <t xml:space="preserve">ACQUISITION PLACE </t>
  </si>
  <si>
    <t>자산취득시 구입회사</t>
    <phoneticPr fontId="3" type="noConversion"/>
  </si>
  <si>
    <t>취득수량</t>
  </si>
  <si>
    <t>AQU_QNT</t>
  </si>
  <si>
    <t xml:space="preserve">ACQUISITION QUANTITY </t>
  </si>
  <si>
    <t>자산취득시 취득수량</t>
    <phoneticPr fontId="3" type="noConversion"/>
  </si>
  <si>
    <t>취득세</t>
  </si>
  <si>
    <t>AQU_TAX</t>
  </si>
  <si>
    <t xml:space="preserve">ACQUISITION TAX </t>
  </si>
  <si>
    <t>자산취득시 취득세</t>
    <phoneticPr fontId="3" type="noConversion"/>
  </si>
  <si>
    <t>불용예정년도</t>
    <phoneticPr fontId="3" type="noConversion"/>
  </si>
  <si>
    <t>AQU_YY</t>
    <phoneticPr fontId="3" type="noConversion"/>
  </si>
  <si>
    <t xml:space="preserve">ACQUISITION YEAR </t>
  </si>
  <si>
    <t>자산 감가상각 만기시, 폐기시 불용예정년도</t>
    <phoneticPr fontId="3" type="noConversion"/>
  </si>
  <si>
    <t>취득조서담당자</t>
  </si>
  <si>
    <t>AQUDDJ_NM</t>
  </si>
  <si>
    <t xml:space="preserve">ACQUISITION DAMDANGJA NAME </t>
  </si>
  <si>
    <t>자산 취득조서담당자</t>
    <phoneticPr fontId="3" type="noConversion"/>
  </si>
  <si>
    <t>취득조서부서</t>
  </si>
  <si>
    <t>AQUDEPT_CD</t>
  </si>
  <si>
    <t xml:space="preserve">ACQUISITION DEPARTMENT CODE </t>
  </si>
  <si>
    <t>자산 취득조서부서</t>
    <phoneticPr fontId="3" type="noConversion"/>
  </si>
  <si>
    <t>취득단가</t>
  </si>
  <si>
    <t>AQUPRI_AMT</t>
  </si>
  <si>
    <t xml:space="preserve">ACQUISITION PRICE AMOUNT </t>
  </si>
  <si>
    <t>자산 취득단가 (즉 구매가액)</t>
    <phoneticPr fontId="3" type="noConversion"/>
  </si>
  <si>
    <t xml:space="preserve">AREA  </t>
  </si>
  <si>
    <t>고장자산 건축물 면적</t>
    <phoneticPr fontId="3" type="noConversion"/>
  </si>
  <si>
    <t xml:space="preserve">AREA CODE </t>
  </si>
  <si>
    <t>면적(m2)</t>
  </si>
  <si>
    <t>ARA_M2</t>
  </si>
  <si>
    <t xml:space="preserve">AREA METER SQUARE </t>
  </si>
  <si>
    <t>면적(평)</t>
  </si>
  <si>
    <t>ARA_PM</t>
  </si>
  <si>
    <t xml:space="preserve">AREA PYUNG </t>
  </si>
  <si>
    <t>인수요청기관</t>
    <phoneticPr fontId="3" type="noConversion"/>
  </si>
  <si>
    <t>AREQ_AGN</t>
  </si>
  <si>
    <t xml:space="preserve">ACQUISITION REQUEST AGENCY </t>
  </si>
  <si>
    <t>고정자산 취득, 전환 요청시 기관을 의미 함</t>
    <phoneticPr fontId="3" type="noConversion"/>
  </si>
  <si>
    <t>인수요청일자</t>
  </si>
  <si>
    <t>AREQ_DAT</t>
  </si>
  <si>
    <t xml:space="preserve">ACQUISITION REQUEST DATE </t>
  </si>
  <si>
    <t>고정자산 취득, 전환 요청시 요청일</t>
    <phoneticPr fontId="3" type="noConversion"/>
  </si>
  <si>
    <t>인수요청자</t>
  </si>
  <si>
    <t>AREQ_NM</t>
  </si>
  <si>
    <t xml:space="preserve">ACQUISITION REQUEST NAME </t>
  </si>
  <si>
    <t>고정자산 취득, 전환 요청시 요청자</t>
    <phoneticPr fontId="3" type="noConversion"/>
  </si>
  <si>
    <t>인수요청부서</t>
  </si>
  <si>
    <t>AREQD_CD</t>
  </si>
  <si>
    <t xml:space="preserve">ACQUISITION REQUEST DEPARTMENT CODE </t>
  </si>
  <si>
    <t>고정자산 취득, 전환 요청시 요청부서를 의미 함</t>
    <phoneticPr fontId="3" type="noConversion"/>
  </si>
  <si>
    <t>병과명</t>
  </si>
  <si>
    <t>ARM_NM</t>
  </si>
  <si>
    <t xml:space="preserve">ARMY NAME </t>
  </si>
  <si>
    <t>군에서 근무한 병과명</t>
    <phoneticPr fontId="3" type="noConversion"/>
  </si>
  <si>
    <t>도착지</t>
  </si>
  <si>
    <t>ARV_ARE</t>
  </si>
  <si>
    <t xml:space="preserve">ARRIVE AREA </t>
  </si>
  <si>
    <t>출장 또는 파견 도착지</t>
    <phoneticPr fontId="3" type="noConversion"/>
  </si>
  <si>
    <t>자산과목간대체</t>
    <phoneticPr fontId="3" type="noConversion"/>
  </si>
  <si>
    <t>ASGDCH_AMT</t>
  </si>
  <si>
    <t xml:space="preserve">ASSET GWAMOK DAECHE AMOUNT </t>
  </si>
  <si>
    <t>고정자산 유사과목간 서로 대체 (해당자산이 없고 기능이나 성능이 유사한 자산이 있을 경우)</t>
    <phoneticPr fontId="3" type="noConversion"/>
  </si>
  <si>
    <t>보증주택자금</t>
    <phoneticPr fontId="3" type="noConversion"/>
  </si>
  <si>
    <t>ASSHOU_AMT</t>
  </si>
  <si>
    <t xml:space="preserve">ASSURANCE HOUSE AMOUNT </t>
  </si>
  <si>
    <t>보증보험</t>
  </si>
  <si>
    <t>ASSINS_AMT</t>
  </si>
  <si>
    <t xml:space="preserve">ASSURANCE INSURANCE AMOUNT </t>
  </si>
  <si>
    <t>계약이행을 하기 위해 보험을 가입한 금액</t>
    <phoneticPr fontId="3" type="noConversion"/>
  </si>
  <si>
    <t>보증퇴직급여충당금</t>
    <phoneticPr fontId="3" type="noConversion"/>
  </si>
  <si>
    <t>ASSRTI_AMT</t>
  </si>
  <si>
    <t xml:space="preserve">ASSURANCE RETIREMENT AMOUNT </t>
  </si>
  <si>
    <t>퇴직급여충당금의 보증금액</t>
    <phoneticPr fontId="3" type="noConversion"/>
  </si>
  <si>
    <t>보증학자금</t>
  </si>
  <si>
    <t>ASSSCH_AMT</t>
  </si>
  <si>
    <t xml:space="preserve">ASSURANCE SCHOOL AMOUNT </t>
  </si>
  <si>
    <t>AST_GB</t>
  </si>
  <si>
    <t xml:space="preserve">ASSET GUBUN </t>
  </si>
  <si>
    <t>자산을 분류하는 자산구분 코드</t>
    <phoneticPr fontId="3" type="noConversion"/>
  </si>
  <si>
    <t>자산명</t>
  </si>
  <si>
    <t>AST_NM</t>
  </si>
  <si>
    <t xml:space="preserve">ASSET NAME </t>
  </si>
  <si>
    <t>자산의 구체적인 명칭</t>
    <phoneticPr fontId="3" type="noConversion"/>
  </si>
  <si>
    <t>자산일련번호</t>
  </si>
  <si>
    <t>AST_SQN</t>
  </si>
  <si>
    <t xml:space="preserve">ASSET SEQUENCE </t>
  </si>
  <si>
    <t>취득자산 일련번호</t>
    <phoneticPr fontId="3" type="noConversion"/>
  </si>
  <si>
    <t>AST_STS</t>
  </si>
  <si>
    <t xml:space="preserve">ASSET STATUS </t>
  </si>
  <si>
    <t>자산의 상태를 상세히 관리 (정상, 부품고장, 불용, 폐기,,,등)</t>
    <phoneticPr fontId="3" type="noConversion"/>
  </si>
  <si>
    <t>추정단가</t>
  </si>
  <si>
    <t>ASTPRI_AMT</t>
  </si>
  <si>
    <t xml:space="preserve">ASSET PRICE AMOUNT </t>
  </si>
  <si>
    <t>자산을 현재 시점에서 잔존가를 추정단가</t>
    <phoneticPr fontId="3" type="noConversion"/>
  </si>
  <si>
    <t>농특세</t>
    <phoneticPr fontId="3" type="noConversion"/>
  </si>
  <si>
    <t xml:space="preserve">AGRICLUTUREAL SPECIAL TAX  </t>
  </si>
  <si>
    <t>농어업특별세</t>
    <phoneticPr fontId="3" type="noConversion"/>
  </si>
  <si>
    <t>물품코드</t>
  </si>
  <si>
    <t>ATC_CD</t>
  </si>
  <si>
    <t xml:space="preserve">ARTICLES CODE </t>
  </si>
  <si>
    <t>구매 물품에 대해 물품코드</t>
    <phoneticPr fontId="3" type="noConversion"/>
  </si>
  <si>
    <t>품명LEVEL</t>
  </si>
  <si>
    <t>ATC_LVL</t>
  </si>
  <si>
    <t xml:space="preserve">ARTICLES LEVEL </t>
  </si>
  <si>
    <t>물품명</t>
  </si>
  <si>
    <t>ATC_NM</t>
  </si>
  <si>
    <t xml:space="preserve">ARTICLES NAME </t>
  </si>
  <si>
    <t>물품명칭</t>
    <phoneticPr fontId="3" type="noConversion"/>
  </si>
  <si>
    <t>품명해설</t>
  </si>
  <si>
    <t>ATC_RMK</t>
  </si>
  <si>
    <t xml:space="preserve">ARTICLES REMARK </t>
  </si>
  <si>
    <t>품명을 상세히 기록</t>
    <phoneticPr fontId="3" type="noConversion"/>
  </si>
  <si>
    <t>참불구분</t>
  </si>
  <si>
    <t>ATN_GB</t>
  </si>
  <si>
    <t xml:space="preserve">ATN GUBUN </t>
  </si>
  <si>
    <t xml:space="preserve">AUTHOR CHECKER </t>
  </si>
  <si>
    <t>개정전대장금액</t>
  </si>
  <si>
    <t>AVBLST_AMT</t>
  </si>
  <si>
    <t xml:space="preserve">AVAILABLE LIST AMOUNT </t>
  </si>
  <si>
    <t>평균임금</t>
  </si>
  <si>
    <t>AVG_WAG</t>
  </si>
  <si>
    <t xml:space="preserve">AVERAGE WAGES </t>
  </si>
  <si>
    <t>월급여로 받는 모든 급여를 의미 함. (퇴직금 산정시 사용됨)</t>
    <phoneticPr fontId="3" type="noConversion"/>
  </si>
  <si>
    <t>결제은행</t>
  </si>
  <si>
    <t>AVP_BNK</t>
  </si>
  <si>
    <t xml:space="preserve">AVAILABLE PAYMENT BANK </t>
  </si>
  <si>
    <t>거래하는 기업체의 결제은행</t>
    <phoneticPr fontId="3" type="noConversion"/>
  </si>
  <si>
    <t>결제계좌주명</t>
  </si>
  <si>
    <t>AVP_GEJNM</t>
  </si>
  <si>
    <t xml:space="preserve">AVAILABLE PAYMENT GEJWA NAME </t>
  </si>
  <si>
    <t>거래하는 기업체의 결제계좌주명</t>
    <phoneticPr fontId="3" type="noConversion"/>
  </si>
  <si>
    <t>결제계좌번호</t>
  </si>
  <si>
    <t>AVP_GEJNO</t>
  </si>
  <si>
    <t xml:space="preserve">AVAILABLE PAYMENT GEJWA NUMBER </t>
  </si>
  <si>
    <t>거래하는 기업체의 결제계좌번호</t>
    <phoneticPr fontId="3" type="noConversion"/>
  </si>
  <si>
    <t>결재자1</t>
  </si>
  <si>
    <t>AVR1_NM</t>
  </si>
  <si>
    <t>APPROVER NAME 1</t>
  </si>
  <si>
    <t>내부 결재자1</t>
    <phoneticPr fontId="3" type="noConversion"/>
  </si>
  <si>
    <t>결재자2</t>
  </si>
  <si>
    <t>AVR2_NM</t>
  </si>
  <si>
    <t xml:space="preserve">APPROVER NAME 2 </t>
  </si>
  <si>
    <t>내부 결재자2</t>
    <phoneticPr fontId="3" type="noConversion"/>
  </si>
  <si>
    <t>추정금액</t>
  </si>
  <si>
    <t>AXT_AMT</t>
  </si>
  <si>
    <t xml:space="preserve">ASSUMPTION AMOUNT </t>
  </si>
  <si>
    <t>추정단가 * 수량 = 추정금액</t>
    <phoneticPr fontId="3" type="noConversion"/>
  </si>
  <si>
    <t>AXT_PRI</t>
  </si>
  <si>
    <t xml:space="preserve">ASSUMPTION PRICE </t>
  </si>
  <si>
    <t>현재 상태에서 잔존가를 추정단가</t>
    <phoneticPr fontId="3" type="noConversion"/>
  </si>
  <si>
    <t>구매추정합계금액</t>
  </si>
  <si>
    <t>AXTSUM_AMT</t>
  </si>
  <si>
    <t xml:space="preserve">ASSUMPTION SUM AMOUNT </t>
  </si>
  <si>
    <t>추정년수</t>
  </si>
  <si>
    <t>AXTYY_CNT</t>
  </si>
  <si>
    <t xml:space="preserve">ASSUMPTION YEAR COUNT </t>
  </si>
  <si>
    <t xml:space="preserve">추정작업 년도 </t>
    <phoneticPr fontId="3" type="noConversion"/>
  </si>
  <si>
    <t>예산금액</t>
  </si>
  <si>
    <t>B_AMT</t>
  </si>
  <si>
    <t xml:space="preserve">BUDGET AMOUNT </t>
  </si>
  <si>
    <t>비용이나 수익 항목별 비용을 배정한 금액</t>
    <phoneticPr fontId="3" type="noConversion"/>
  </si>
  <si>
    <t>예산과목코드</t>
  </si>
  <si>
    <t>B_CD</t>
  </si>
  <si>
    <t xml:space="preserve">BUDGET CODE </t>
  </si>
  <si>
    <t xml:space="preserve">비용이나 수익을 관리하는 단위 </t>
    <phoneticPr fontId="3" type="noConversion"/>
  </si>
  <si>
    <t>B_GB</t>
  </si>
  <si>
    <t xml:space="preserve">BUDGET GUBUN </t>
    <phoneticPr fontId="3" type="noConversion"/>
  </si>
  <si>
    <t>수익예산, 사업예산, 운영비용예산 등 으로 구분</t>
    <phoneticPr fontId="3" type="noConversion"/>
  </si>
  <si>
    <t>예산과목명</t>
  </si>
  <si>
    <t>B_NM</t>
  </si>
  <si>
    <t xml:space="preserve">BUDGET NAME </t>
  </si>
  <si>
    <t xml:space="preserve">비용이나 수익을 관리하는 단위의 명칭 </t>
    <phoneticPr fontId="3" type="noConversion"/>
  </si>
  <si>
    <t>일련번호 반복횟수</t>
    <phoneticPr fontId="3" type="noConversion"/>
  </si>
  <si>
    <t>B_NO</t>
  </si>
  <si>
    <t xml:space="preserve">BUDGET NUMBER </t>
  </si>
  <si>
    <t>일련번호 반복횟수(1~)</t>
    <phoneticPr fontId="3" type="noConversion"/>
  </si>
  <si>
    <t>일련번호</t>
    <phoneticPr fontId="3" type="noConversion"/>
  </si>
  <si>
    <t>B_SEQ</t>
  </si>
  <si>
    <t xml:space="preserve">BUDGET SEQUENCE </t>
  </si>
  <si>
    <t>일련번호(001~999)</t>
  </si>
  <si>
    <t>예산과목여부</t>
  </si>
  <si>
    <t>B_YN</t>
  </si>
  <si>
    <t xml:space="preserve">BUDGET YES NO </t>
  </si>
  <si>
    <t>예산과목 존재 여부</t>
    <phoneticPr fontId="3" type="noConversion"/>
  </si>
  <si>
    <t>예산년도</t>
  </si>
  <si>
    <t>B_YY</t>
  </si>
  <si>
    <t xml:space="preserve">BUDGET YEAR </t>
  </si>
  <si>
    <t>예산분석코드</t>
  </si>
  <si>
    <t>BA_CD</t>
  </si>
  <si>
    <t xml:space="preserve">BUDGET ANALYSIS CODE </t>
  </si>
  <si>
    <t>예산분석형태</t>
  </si>
  <si>
    <t>BA_TYP</t>
  </si>
  <si>
    <t xml:space="preserve">BUDGET ANALYSIS TYPE </t>
  </si>
  <si>
    <t>배정금액</t>
  </si>
  <si>
    <t>BAE_AMT</t>
  </si>
  <si>
    <t xml:space="preserve">BAEJUNG AMOUNT </t>
  </si>
  <si>
    <t>자금배정내역</t>
  </si>
  <si>
    <t>BAE_CUS</t>
  </si>
  <si>
    <t xml:space="preserve">BAEJUNG CAUSE </t>
  </si>
  <si>
    <t>배정일자</t>
  </si>
  <si>
    <t>BAE_DAT</t>
  </si>
  <si>
    <t xml:space="preserve">BAEJUNG DATE </t>
  </si>
  <si>
    <t>배정구분</t>
    <phoneticPr fontId="3" type="noConversion"/>
  </si>
  <si>
    <t>BAE_GB</t>
  </si>
  <si>
    <t xml:space="preserve">BAEJUNG GUBUN </t>
  </si>
  <si>
    <t>1.예산배정,2.예산배정조정</t>
    <phoneticPr fontId="3" type="noConversion"/>
  </si>
  <si>
    <t>배정여부</t>
  </si>
  <si>
    <t>BAE_YN</t>
  </si>
  <si>
    <t xml:space="preserve">BAEJUNG YES NO </t>
  </si>
  <si>
    <t>배정잔액</t>
  </si>
  <si>
    <t>BAEJAN_AMT</t>
  </si>
  <si>
    <t xml:space="preserve">BAEJUNG JANAEK AMOUNT </t>
  </si>
  <si>
    <t>배정금액누계</t>
  </si>
  <si>
    <t>BAENGE_AMT</t>
  </si>
  <si>
    <t xml:space="preserve">BAEJUNG NUGE AMOUNT </t>
  </si>
  <si>
    <t>배정금액합계</t>
  </si>
  <si>
    <t>BAETOT_AMT</t>
  </si>
  <si>
    <t xml:space="preserve">BAEJUNG TOTAL AMOUNT </t>
  </si>
  <si>
    <t>BAL_CD</t>
  </si>
  <si>
    <t xml:space="preserve">BALJU CODE </t>
  </si>
  <si>
    <t>발행일자</t>
  </si>
  <si>
    <t>BAL_DAT</t>
  </si>
  <si>
    <t xml:space="preserve">BALHAENG DATE </t>
  </si>
  <si>
    <t>발주번호</t>
  </si>
  <si>
    <t>BAL_NO</t>
  </si>
  <si>
    <t xml:space="preserve">BALJU NUMBER </t>
  </si>
  <si>
    <t>송금계좌은행명</t>
  </si>
  <si>
    <t>BANK_NM</t>
  </si>
  <si>
    <t xml:space="preserve">BANK NAME </t>
  </si>
  <si>
    <t>원취득일자</t>
  </si>
  <si>
    <t>BAQU_DAT</t>
  </si>
  <si>
    <t xml:space="preserve">BEGIN ACQUIRE DATE </t>
  </si>
  <si>
    <t>BASIS</t>
  </si>
  <si>
    <t>기본공제</t>
  </si>
  <si>
    <t>BASIC</t>
  </si>
  <si>
    <t>년기초잔액</t>
  </si>
  <si>
    <t>BAS_AMT</t>
  </si>
  <si>
    <t xml:space="preserve">BASIC AMOUNT </t>
  </si>
  <si>
    <t>전년도 이월잔액을 의미</t>
    <phoneticPr fontId="3" type="noConversion"/>
  </si>
  <si>
    <t xml:space="preserve">BASIC ANNUAL SALARY </t>
  </si>
  <si>
    <t>예산배정잔액</t>
  </si>
  <si>
    <t>BBAEJAN_AMT</t>
  </si>
  <si>
    <t xml:space="preserve">BUDGET BAEJUNG JANAEK AMOUNT </t>
  </si>
  <si>
    <t>법인카드코드</t>
  </si>
  <si>
    <t>BCARD_CD</t>
  </si>
  <si>
    <t xml:space="preserve">BUPIN CARD CODE </t>
  </si>
  <si>
    <t>법인카드입력여부</t>
  </si>
  <si>
    <t>BCARD_YN</t>
  </si>
  <si>
    <t xml:space="preserve">BUPIN CARD YES NO </t>
  </si>
  <si>
    <t>구분</t>
    <phoneticPr fontId="3" type="noConversion"/>
  </si>
  <si>
    <t xml:space="preserve">BIRTHDAY GUBUN </t>
  </si>
  <si>
    <t>1:양력,2:음력</t>
    <phoneticPr fontId="3" type="noConversion"/>
  </si>
  <si>
    <t>이전부서코드</t>
  </si>
  <si>
    <t>BEFDPT_CD</t>
  </si>
  <si>
    <t xml:space="preserve">BEFOR DEPARTMENT CODE </t>
    <phoneticPr fontId="3" type="noConversion"/>
  </si>
  <si>
    <t>당초예산금액</t>
  </si>
  <si>
    <t>BENBUD_AMT</t>
  </si>
  <si>
    <t xml:space="preserve">BEGINNING BUDGET AMOUNT </t>
  </si>
  <si>
    <t>이전호봉</t>
  </si>
  <si>
    <t>BF_HOB</t>
  </si>
  <si>
    <t xml:space="preserve">BEFOR HOBONG </t>
  </si>
  <si>
    <t>기존물품코드</t>
  </si>
  <si>
    <t>BFATC_CD</t>
  </si>
  <si>
    <t xml:space="preserve">BEFOR ARTICLES CODE </t>
  </si>
  <si>
    <t>전소유자동이하주소</t>
  </si>
  <si>
    <t>BFDCD_ADDR</t>
  </si>
  <si>
    <t xml:space="preserve">BEFOR DECIDE ADDRESS </t>
  </si>
  <si>
    <t xml:space="preserve">BEFOR GRADE NAME </t>
  </si>
  <si>
    <t>이전호봉승급일</t>
  </si>
  <si>
    <t>BFHOB_DAT</t>
  </si>
  <si>
    <t xml:space="preserve">BEFOR HOBONG DATE </t>
  </si>
  <si>
    <t>이전한글품명</t>
  </si>
  <si>
    <t>BFKATC_NM</t>
  </si>
  <si>
    <t xml:space="preserve">BEFOR KOREAN ARTICLES NAME </t>
  </si>
  <si>
    <t xml:space="preserve">BEFOR OCCUR NAME </t>
  </si>
  <si>
    <t>전소유자구분</t>
  </si>
  <si>
    <t>BFOWN_GB</t>
  </si>
  <si>
    <t xml:space="preserve">BEFOR OWNER GUBUN </t>
  </si>
  <si>
    <t>전소유자명</t>
  </si>
  <si>
    <t>BFOWN_NM</t>
  </si>
  <si>
    <t xml:space="preserve">BEFOR OWNER NAME </t>
  </si>
  <si>
    <t xml:space="preserve">BEFOR RETURN DATE </t>
  </si>
  <si>
    <t xml:space="preserve">BEFOR SOSOK </t>
  </si>
  <si>
    <t xml:space="preserve">BEFOR SUSPEND DATE </t>
  </si>
  <si>
    <t xml:space="preserve">BEFOR SUSPEND GUBUN </t>
  </si>
  <si>
    <t>전년도지급액</t>
  </si>
  <si>
    <t>BFYPMT_AMT</t>
  </si>
  <si>
    <t xml:space="preserve">BEFOR YEAR PAYMENT AMOUNT </t>
  </si>
  <si>
    <t>전소유자우편번호</t>
  </si>
  <si>
    <t>BFZIP_NO</t>
  </si>
  <si>
    <t xml:space="preserve">BEFOR ZIP NUMBER </t>
  </si>
  <si>
    <t>비정규직직급(HM01)</t>
  </si>
  <si>
    <t xml:space="preserve">BIJUNGKYU GRADE CODE </t>
  </si>
  <si>
    <t>BIR</t>
  </si>
  <si>
    <t>BJAE_GB</t>
  </si>
  <si>
    <t xml:space="preserve">BUDGET JAEON GUBUN </t>
  </si>
  <si>
    <t>BJAN_AMT</t>
  </si>
  <si>
    <t xml:space="preserve">BUDGET JANAEK AMOUNT </t>
  </si>
  <si>
    <t>예산집행금액</t>
  </si>
  <si>
    <t>BJIB_AMT</t>
  </si>
  <si>
    <t xml:space="preserve">BUDGET JIBHAENG AMOUNT </t>
  </si>
  <si>
    <t>예산집행금액누계</t>
  </si>
  <si>
    <t>BJIBTOT_AMT</t>
  </si>
  <si>
    <t xml:space="preserve">BUDGET JIBHAENG TOTAL AMOUNT </t>
  </si>
  <si>
    <t>BLDD_GB</t>
  </si>
  <si>
    <t xml:space="preserve">BUILDING DONG GUBUN </t>
  </si>
  <si>
    <t>색맹구분</t>
  </si>
  <si>
    <t>BLI_GB</t>
  </si>
  <si>
    <t xml:space="preserve">BLINDNESS GUBUN </t>
  </si>
  <si>
    <t>건축일자</t>
  </si>
  <si>
    <t>BLM_DAT</t>
  </si>
  <si>
    <t xml:space="preserve">BUILDING MATRIALS DATE </t>
  </si>
  <si>
    <t>혈액형</t>
  </si>
  <si>
    <t>BLO</t>
  </si>
  <si>
    <t>BLOOD</t>
  </si>
  <si>
    <t>국세청기준시가</t>
    <phoneticPr fontId="3" type="noConversion"/>
  </si>
  <si>
    <t>BLS_AMT</t>
  </si>
  <si>
    <t xml:space="preserve">BASE LINE AMOUNT </t>
  </si>
  <si>
    <t>부동산 거래시 국세청에서 정한 기준시가</t>
    <phoneticPr fontId="3" type="noConversion"/>
  </si>
  <si>
    <t>예산관리자코드</t>
  </si>
  <si>
    <t>BMNG_CD</t>
  </si>
  <si>
    <t xml:space="preserve">BUDGET MANAGER CODE </t>
  </si>
  <si>
    <t>은행코드</t>
  </si>
  <si>
    <t>BNK_CD</t>
  </si>
  <si>
    <t>BANK CODE</t>
  </si>
  <si>
    <t>BNK_NM</t>
  </si>
  <si>
    <t>BNS_RAT</t>
  </si>
  <si>
    <t xml:space="preserve">BONUS RATE </t>
  </si>
  <si>
    <t>차대번호</t>
  </si>
  <si>
    <t>BOD_NO</t>
  </si>
  <si>
    <t xml:space="preserve">BODY NUMBER </t>
  </si>
  <si>
    <t>보훈번호</t>
  </si>
  <si>
    <t>BOHUN_NO</t>
  </si>
  <si>
    <t xml:space="preserve">BOHUN NUMBER </t>
  </si>
  <si>
    <t>유공자관계</t>
  </si>
  <si>
    <t>BOHUN_RLT</t>
  </si>
  <si>
    <t xml:space="preserve">BOHUN RELATION </t>
  </si>
  <si>
    <t xml:space="preserve">BORN AREA </t>
  </si>
  <si>
    <t xml:space="preserve">BONBU OFFICIAL ORDER DATE </t>
  </si>
  <si>
    <t>농특세(종전납부한세액)</t>
  </si>
  <si>
    <t>BPP_ASX</t>
  </si>
  <si>
    <t xml:space="preserve">BEFOR PAYMENT AGRICLUTUREAL SPECIAL TAX </t>
  </si>
  <si>
    <t>소득세(종전납부한세액)</t>
  </si>
  <si>
    <t>BPPERN_TAX</t>
  </si>
  <si>
    <t xml:space="preserve">BEFOR PAYMENT EARN TAX </t>
  </si>
  <si>
    <t>주민세(종전납부한세액)</t>
  </si>
  <si>
    <t>BPPREX_TAX</t>
  </si>
  <si>
    <t xml:space="preserve">BEFOR PAYMENT RESIDENT TAX </t>
  </si>
  <si>
    <t>원계약번호</t>
  </si>
  <si>
    <t>BPR_NO</t>
  </si>
  <si>
    <t xml:space="preserve">BEFOR PROMISE NUMBER </t>
  </si>
  <si>
    <t>6세이하자</t>
  </si>
  <si>
    <t>BRG</t>
  </si>
  <si>
    <t>BRINGING</t>
  </si>
  <si>
    <t xml:space="preserve">BRINGING COUNT </t>
  </si>
  <si>
    <t>자녀양육비공제액</t>
  </si>
  <si>
    <t>BRGRMV_AMT</t>
  </si>
  <si>
    <t xml:space="preserve">BRINGING REMOVE AMOUNT </t>
  </si>
  <si>
    <t>법인등록번호</t>
  </si>
  <si>
    <t>BRIRGS_NO</t>
  </si>
  <si>
    <t xml:space="preserve">BRINGING REGIST NUMBER </t>
  </si>
  <si>
    <t>모든 법인인 등록번호를 보유하고 있음 (예, 110111-2747355)</t>
    <phoneticPr fontId="3" type="noConversion"/>
  </si>
  <si>
    <t>교육비금액(그밖의자료)</t>
  </si>
  <si>
    <t>BROEDU_AMT</t>
  </si>
  <si>
    <t xml:space="preserve">BROAD EDUCATION AMOUNT </t>
  </si>
  <si>
    <t>유치원;영유아교육비</t>
  </si>
  <si>
    <t>BROEDU_AMT1</t>
  </si>
  <si>
    <t>초중고교육비</t>
  </si>
  <si>
    <t>BROEDU_AMT2</t>
  </si>
  <si>
    <t>대학생교육비</t>
  </si>
  <si>
    <t>BROEDU_AMT3</t>
  </si>
  <si>
    <t>BS_NM</t>
  </si>
  <si>
    <t xml:space="preserve">BS NAME </t>
    <phoneticPr fontId="3" type="noConversion"/>
  </si>
  <si>
    <t>BS순번</t>
  </si>
  <si>
    <t>BS_SQN</t>
  </si>
  <si>
    <t xml:space="preserve">BS SEQUENCE </t>
    <phoneticPr fontId="3" type="noConversion"/>
  </si>
  <si>
    <t>대차대조표, 순익계산서 표현시 순번</t>
    <phoneticPr fontId="3" type="noConversion"/>
  </si>
  <si>
    <t>기준금액</t>
  </si>
  <si>
    <t xml:space="preserve">BASE LINE DATE </t>
  </si>
  <si>
    <t>기준월</t>
  </si>
  <si>
    <t>BSL_MM</t>
  </si>
  <si>
    <t xml:space="preserve">BASE LINE MONTH </t>
  </si>
  <si>
    <t xml:space="preserve">BASE LINE PAYMENT </t>
  </si>
  <si>
    <t>BSPL구분</t>
  </si>
  <si>
    <t>BSPL_GB</t>
  </si>
  <si>
    <t xml:space="preserve">BALANCE SHEET/PROFIT AND LOSS GUBUN </t>
  </si>
  <si>
    <t>대차대조표, 손익계산서 구분</t>
    <phoneticPr fontId="3" type="noConversion"/>
  </si>
  <si>
    <t>예산통제일자</t>
  </si>
  <si>
    <t>BTON_DAT</t>
  </si>
  <si>
    <t xml:space="preserve">BUDGET TONGJE DATE </t>
  </si>
  <si>
    <t>BTON_GB</t>
  </si>
  <si>
    <t xml:space="preserve">BUDGET TONGJE GUBUN </t>
  </si>
  <si>
    <t>예산통제순번</t>
  </si>
  <si>
    <t>BTON_SQN</t>
  </si>
  <si>
    <t xml:space="preserve">BUDGET TONGJE SEQUENCE </t>
  </si>
  <si>
    <t>예산통제자명</t>
  </si>
  <si>
    <t>BTONJA_NM</t>
  </si>
  <si>
    <t xml:space="preserve">BUDGET TONGJEJA NAME </t>
  </si>
  <si>
    <t>비위유형코드1</t>
  </si>
  <si>
    <t>BTYP_CD1</t>
  </si>
  <si>
    <t xml:space="preserve">BIWI TYPE CODE </t>
  </si>
  <si>
    <t>내부직원들의 비위유형코드1</t>
    <phoneticPr fontId="3" type="noConversion"/>
  </si>
  <si>
    <t>비위유형코드2</t>
  </si>
  <si>
    <t>BTYP_CD2</t>
  </si>
  <si>
    <t>내부직원들의 비위유형코드2</t>
    <phoneticPr fontId="3" type="noConversion"/>
  </si>
  <si>
    <t>비위유형명1</t>
  </si>
  <si>
    <t>BTYP_NM1</t>
  </si>
  <si>
    <t>BIWI TYPE NAME 1</t>
  </si>
  <si>
    <t>내부직원들의 비위유형명1</t>
    <phoneticPr fontId="3" type="noConversion"/>
  </si>
  <si>
    <t>비위유형명2</t>
  </si>
  <si>
    <t>BTYP_NM2</t>
  </si>
  <si>
    <t>BIWI TYPE NAME 2</t>
  </si>
  <si>
    <t>내부직원들의 비위유형명2</t>
    <phoneticPr fontId="3" type="noConversion"/>
  </si>
  <si>
    <t>예산금액계</t>
  </si>
  <si>
    <t>BUD_AMT</t>
  </si>
  <si>
    <t>BUDBJAN_AMT</t>
  </si>
  <si>
    <t xml:space="preserve">BUDGET BAEJUNG JANAEK AMOUNT </t>
    <phoneticPr fontId="3" type="noConversion"/>
  </si>
  <si>
    <t>부전공명</t>
  </si>
  <si>
    <t>BUMAJ_NM</t>
  </si>
  <si>
    <t xml:space="preserve">BU MAJOR NAME </t>
  </si>
  <si>
    <t>부속품가액</t>
  </si>
  <si>
    <t>BUP_AMT</t>
  </si>
  <si>
    <t xml:space="preserve">BUPUM AMOUNT </t>
  </si>
  <si>
    <t xml:space="preserve">BUP YES NO </t>
    <phoneticPr fontId="3" type="noConversion"/>
  </si>
  <si>
    <t>폐질환 여부</t>
    <phoneticPr fontId="3" type="noConversion"/>
  </si>
  <si>
    <t>출장일간</t>
  </si>
  <si>
    <t>BUT_DAD</t>
  </si>
  <si>
    <t xml:space="preserve">BUSINESS TRIP DAY AFTER DAY </t>
  </si>
  <si>
    <t>출장종료일자</t>
  </si>
  <si>
    <t>BUTEND_DAT</t>
  </si>
  <si>
    <t xml:space="preserve">BUSINESS TRIP END DATE </t>
  </si>
  <si>
    <t>출장목적지</t>
  </si>
  <si>
    <t>BUTFOR_ARE</t>
  </si>
  <si>
    <t xml:space="preserve">BUSINESS TRIP FOR AREA </t>
  </si>
  <si>
    <t>BUTFOR_TXT</t>
  </si>
  <si>
    <t xml:space="preserve">BUSINESS TRIP FOR TEXT </t>
  </si>
  <si>
    <t xml:space="preserve">BUTIM CODE </t>
  </si>
  <si>
    <t xml:space="preserve">BUTIM NAME </t>
  </si>
  <si>
    <t>출장자직위</t>
  </si>
  <si>
    <t>BUTJA_JKW</t>
  </si>
  <si>
    <t xml:space="preserve">BUSINESS TRIP JA JIKWI </t>
  </si>
  <si>
    <t>출장자명</t>
  </si>
  <si>
    <t>BUTJA_NM</t>
  </si>
  <si>
    <t xml:space="preserve">BUSINESS TRIP JA NAME </t>
  </si>
  <si>
    <t>출장자소속부서명</t>
  </si>
  <si>
    <t>BUTJADPT_NM</t>
  </si>
  <si>
    <t xml:space="preserve">BUSINESS TRIP JA DEPARTMENT NAME </t>
  </si>
  <si>
    <t>출장시작일자</t>
  </si>
  <si>
    <t>BUTSTR_DAT</t>
  </si>
  <si>
    <t xml:space="preserve">BUSINESS TRIP START DATE </t>
  </si>
  <si>
    <t>전근무지소득합</t>
  </si>
  <si>
    <t>BWERN_AMT</t>
  </si>
  <si>
    <t xml:space="preserve">BEFOR WORK EARN AMOUNT </t>
  </si>
  <si>
    <t>근로자가 중도입사자 인경우 전근무지 소득합</t>
    <phoneticPr fontId="3" type="noConversion"/>
  </si>
  <si>
    <t>전근무지인정상여</t>
  </si>
  <si>
    <t>BWITOT_AMT</t>
  </si>
  <si>
    <t xml:space="preserve">BEFOR WORK INJUNG TOTAL AMOUNT </t>
    <phoneticPr fontId="3" type="noConversion"/>
  </si>
  <si>
    <t>근로자가 중도입사자 인경우 전근무지 상여금 합</t>
    <phoneticPr fontId="3" type="noConversion"/>
  </si>
  <si>
    <t>전근무지급여총액</t>
  </si>
  <si>
    <t>BWPTOT_AMT</t>
  </si>
  <si>
    <t xml:space="preserve">BEFOR WORK PAYMENT TOTAL AMOUNT </t>
  </si>
  <si>
    <t>근로자가 중도입사자 인경우 전근무지 금여합</t>
    <phoneticPr fontId="3" type="noConversion"/>
  </si>
  <si>
    <t>병역구분(HM35)</t>
  </si>
  <si>
    <t>BYU_GB</t>
  </si>
  <si>
    <t xml:space="preserve">BYUNGYUK GUBUN </t>
  </si>
  <si>
    <t>병역명</t>
  </si>
  <si>
    <t>BYU_NM</t>
  </si>
  <si>
    <t xml:space="preserve">BYUNGYUK NAME </t>
  </si>
  <si>
    <t>군번</t>
  </si>
  <si>
    <t>BYU_NO</t>
  </si>
  <si>
    <t xml:space="preserve">BYUNGYUK NUMBER </t>
  </si>
  <si>
    <t>추정소득세</t>
  </si>
  <si>
    <t>C_CLOERN_TAX</t>
  </si>
  <si>
    <t>CONJECTURE CLOSED EARN TAX</t>
  </si>
  <si>
    <t>연말정산시 예상되는 소득세</t>
    <phoneticPr fontId="3" type="noConversion"/>
  </si>
  <si>
    <t>월공제소득세</t>
  </si>
  <si>
    <t>C_ERN_TAX</t>
  </si>
  <si>
    <t>CONJECTURE EARNING TAX</t>
  </si>
  <si>
    <t>추정건강보험공제금액</t>
  </si>
  <si>
    <t>C_MED_RMV</t>
  </si>
  <si>
    <t>CONJECTURE MEDICAL REMOVE</t>
  </si>
  <si>
    <t>추정건강보험등급</t>
  </si>
  <si>
    <t>C_MES_RNK</t>
  </si>
  <si>
    <t>CONJECTURE MEDICAL INSURRANCE RANK</t>
  </si>
  <si>
    <t>당해년도추정근로소득</t>
  </si>
  <si>
    <t>C_TXDERN_AMT</t>
  </si>
  <si>
    <t>CONJECTURE EARNING AMOUNT</t>
  </si>
  <si>
    <t>변동후호봉</t>
  </si>
  <si>
    <t>CA_HOB</t>
  </si>
  <si>
    <t>CHANGE AFTER HOBONG</t>
  </si>
  <si>
    <t>호봉</t>
    <phoneticPr fontId="3" type="noConversion"/>
  </si>
  <si>
    <t>승차정원</t>
  </si>
  <si>
    <t>CAB_QNT</t>
  </si>
  <si>
    <t>CAPACITY OF BUS QUANTITY</t>
  </si>
  <si>
    <t>변동후직급코드</t>
  </si>
  <si>
    <t>CAGRD_CD</t>
  </si>
  <si>
    <t>CHANGE GRADE CODE</t>
  </si>
  <si>
    <t>직급코드</t>
    <phoneticPr fontId="3" type="noConversion"/>
  </si>
  <si>
    <t>자본전입액</t>
  </si>
  <si>
    <t>CAICVT_AMT</t>
  </si>
  <si>
    <t>CAPITAL CONVERT AMOUNT</t>
  </si>
  <si>
    <t>이사회의 의결에 따라 준비금늬 전부 또는 일부를 자본으로 전입</t>
    <phoneticPr fontId="3" type="noConversion"/>
  </si>
  <si>
    <t>변동후직렬코드</t>
  </si>
  <si>
    <t>CAJIK_CD</t>
  </si>
  <si>
    <t>CHANGE AFTER JIKRYUL CODE</t>
  </si>
  <si>
    <t>직렬코드</t>
    <phoneticPr fontId="3" type="noConversion"/>
  </si>
  <si>
    <t>변동후직위코드</t>
  </si>
  <si>
    <t>CAJKW_CD</t>
  </si>
  <si>
    <t>CHANGE AFTER JIKWI CODE</t>
  </si>
  <si>
    <t>직위코드</t>
    <phoneticPr fontId="3" type="noConversion"/>
  </si>
  <si>
    <t>중간정산퇴직금</t>
  </si>
  <si>
    <t>CAJRTI_AMT</t>
  </si>
  <si>
    <t xml:space="preserve">CURRENT ADJUSTMENT RETIREMENT AMOUNT </t>
  </si>
  <si>
    <t>산정금액</t>
  </si>
  <si>
    <t>CAL_AMT</t>
  </si>
  <si>
    <t xml:space="preserve">CALCULATED AMOUNT </t>
  </si>
  <si>
    <t>소집사항</t>
  </si>
  <si>
    <t>CAL_ITM</t>
  </si>
  <si>
    <t xml:space="preserve">CALL ITEMS </t>
  </si>
  <si>
    <t>출연금취득</t>
    <phoneticPr fontId="3" type="noConversion"/>
  </si>
  <si>
    <t>CAMAQU_AMT</t>
  </si>
  <si>
    <t xml:space="preserve">ACQUIT AMOUNT </t>
  </si>
  <si>
    <t>출연금취득</t>
  </si>
  <si>
    <t>능력급계산액(3개월)</t>
  </si>
  <si>
    <t>CAMCOM_AMT</t>
  </si>
  <si>
    <t xml:space="preserve">CAPACITY COMPUTATION AMOUNT </t>
  </si>
  <si>
    <t>능력급합계</t>
  </si>
  <si>
    <t>CAMTOT_AMT</t>
  </si>
  <si>
    <t xml:space="preserve">CAPACITY TOTAL AMOUNT </t>
  </si>
  <si>
    <t>계약해제일</t>
  </si>
  <si>
    <t>CANCEL_DAT</t>
  </si>
  <si>
    <t>용량</t>
  </si>
  <si>
    <t xml:space="preserve">CAPACITY </t>
  </si>
  <si>
    <t>해제신청일</t>
  </si>
  <si>
    <t>CAPL_DAT</t>
  </si>
  <si>
    <t xml:space="preserve">CANCEL APPLY DATE </t>
  </si>
  <si>
    <t>변동후지급금액</t>
  </si>
  <si>
    <t>CAPMT_AMT</t>
  </si>
  <si>
    <t xml:space="preserve">CHANGE AFTER PAYMENT AMOUNT </t>
  </si>
  <si>
    <t>변동후지급코드</t>
  </si>
  <si>
    <t>CAPMT_CD</t>
  </si>
  <si>
    <t xml:space="preserve">CHANGE AFTER PAYMENT CODE </t>
  </si>
  <si>
    <t>변동후지급명</t>
  </si>
  <si>
    <t>CAPMT_NM</t>
  </si>
  <si>
    <t xml:space="preserve">CHANGE AFTER PAYMENT NAME </t>
  </si>
  <si>
    <t>해제승인일자</t>
  </si>
  <si>
    <t>CAPP_DAT</t>
  </si>
  <si>
    <t xml:space="preserve">CANCEL APPROVAL DATE </t>
  </si>
  <si>
    <t>차량가액</t>
  </si>
  <si>
    <t>CAR_AMT</t>
  </si>
  <si>
    <t xml:space="preserve">CAR AMOUNT </t>
  </si>
  <si>
    <t>배기량</t>
  </si>
  <si>
    <t>CAR_CC</t>
  </si>
  <si>
    <t xml:space="preserve">CAR CUBIC CENTIMETER </t>
  </si>
  <si>
    <t>차량 배기량</t>
    <phoneticPr fontId="3" type="noConversion"/>
  </si>
  <si>
    <t>기통수</t>
  </si>
  <si>
    <t>CAR_CYL</t>
  </si>
  <si>
    <t xml:space="preserve">CAR CYLINDER </t>
  </si>
  <si>
    <t>차량 기통수</t>
    <phoneticPr fontId="3" type="noConversion"/>
  </si>
  <si>
    <t>CAR_FRM</t>
  </si>
  <si>
    <t xml:space="preserve">CAR FORM </t>
  </si>
  <si>
    <t>차량형식</t>
    <phoneticPr fontId="3" type="noConversion"/>
  </si>
  <si>
    <t>마력</t>
  </si>
  <si>
    <t>CAR_HP</t>
  </si>
  <si>
    <t xml:space="preserve">CAR HORSEPOWER </t>
  </si>
  <si>
    <t>차 마력</t>
    <phoneticPr fontId="3" type="noConversion"/>
  </si>
  <si>
    <t>차종</t>
  </si>
  <si>
    <t>CAR_TYP</t>
  </si>
  <si>
    <t xml:space="preserve">CAR TYPE </t>
  </si>
  <si>
    <t>적재중량</t>
  </si>
  <si>
    <t>CAR_WGT</t>
  </si>
  <si>
    <t xml:space="preserve">CAR WEIGHT </t>
  </si>
  <si>
    <t>차량 적재중량</t>
    <phoneticPr fontId="3" type="noConversion"/>
  </si>
  <si>
    <t>년식</t>
  </si>
  <si>
    <t>CAR_YY</t>
  </si>
  <si>
    <t xml:space="preserve">CAR YEAR </t>
  </si>
  <si>
    <t>차량 년식</t>
    <phoneticPr fontId="3" type="noConversion"/>
  </si>
  <si>
    <t>카드번호</t>
  </si>
  <si>
    <t>CARD_NO</t>
  </si>
  <si>
    <t xml:space="preserve">CARD NUMBER </t>
  </si>
  <si>
    <t>차량 카드번호</t>
    <phoneticPr fontId="3" type="noConversion"/>
  </si>
  <si>
    <t>현금지급금액(그밖의자료)</t>
  </si>
  <si>
    <t>CASH_AMT</t>
  </si>
  <si>
    <t xml:space="preserve">CASH AMOUNT </t>
  </si>
  <si>
    <t>현금지급금액</t>
    <phoneticPr fontId="3" type="noConversion"/>
  </si>
  <si>
    <t>CASH_AMT1</t>
  </si>
  <si>
    <t>국세청자료</t>
    <phoneticPr fontId="3" type="noConversion"/>
  </si>
  <si>
    <t>현금영수증금액</t>
  </si>
  <si>
    <t>CASHUSE_AMT</t>
  </si>
  <si>
    <t xml:space="preserve">CASH USE AMOUNT </t>
  </si>
  <si>
    <t>변동전호봉</t>
  </si>
  <si>
    <t>CB_HOB</t>
  </si>
  <si>
    <t xml:space="preserve">CHANGE BEFOR HOBONG </t>
  </si>
  <si>
    <t>참고내용</t>
  </si>
  <si>
    <t>CBD_TXT</t>
  </si>
  <si>
    <t xml:space="preserve">CBD TEXT </t>
    <phoneticPr fontId="3" type="noConversion"/>
  </si>
  <si>
    <t>변동전직급코드</t>
  </si>
  <si>
    <t>CBGRD_CD</t>
  </si>
  <si>
    <t xml:space="preserve">CHANGE BEFORE GRADE CODE </t>
  </si>
  <si>
    <t>변동전직렬코드</t>
  </si>
  <si>
    <t>CBJIK_CD</t>
  </si>
  <si>
    <t xml:space="preserve">CHANGE BEFORE JIKYUL CODE </t>
  </si>
  <si>
    <t>변동전직위코드</t>
  </si>
  <si>
    <t>CBJKW_CD</t>
  </si>
  <si>
    <t xml:space="preserve">CHANGE BEFORE JIKWI CODE </t>
  </si>
  <si>
    <t>변동전지급금액</t>
  </si>
  <si>
    <t>CBPMT_AMT</t>
  </si>
  <si>
    <t xml:space="preserve">CHANGE BEFORE PAYMENT AMOUNT </t>
  </si>
  <si>
    <t>변동전지급코드</t>
  </si>
  <si>
    <t>CBPMT_CD</t>
  </si>
  <si>
    <t xml:space="preserve">CHANGE BEFORE PAYMENT CODE </t>
  </si>
  <si>
    <t>지급코드</t>
    <phoneticPr fontId="3" type="noConversion"/>
  </si>
  <si>
    <t>변동전지급명</t>
  </si>
  <si>
    <t>CBPMT_NM</t>
  </si>
  <si>
    <t xml:space="preserve">CHANGE BEFORE PAYMENT NAME </t>
  </si>
  <si>
    <t xml:space="preserve">CAPACITY BASE LINE AMOUNT </t>
    <phoneticPr fontId="3" type="noConversion"/>
  </si>
  <si>
    <t>지목(현황)</t>
  </si>
  <si>
    <t>CCR_COL</t>
  </si>
  <si>
    <t xml:space="preserve">CURRENT CIRCUMSTANCES CLASSIFICATION OF LAND </t>
  </si>
  <si>
    <t>코드구분</t>
  </si>
  <si>
    <t>CD_GU</t>
  </si>
  <si>
    <t xml:space="preserve">CODE GUBUN </t>
  </si>
  <si>
    <t>코드명</t>
  </si>
  <si>
    <t>CD_NM</t>
  </si>
  <si>
    <t xml:space="preserve">CODE NAME </t>
  </si>
  <si>
    <t>코드번호</t>
  </si>
  <si>
    <t>CD_NO</t>
  </si>
  <si>
    <t xml:space="preserve">CODE NUMBER </t>
  </si>
  <si>
    <t>민방위소속코드</t>
  </si>
  <si>
    <t>CDC_CD</t>
  </si>
  <si>
    <t xml:space="preserve">CIVIL DEFENSE CORPS CODE </t>
  </si>
  <si>
    <t>한국산업인력공단 민방위소속코드</t>
    <phoneticPr fontId="3" type="noConversion"/>
  </si>
  <si>
    <t>민방위소속구분</t>
  </si>
  <si>
    <t>CDC_GB</t>
  </si>
  <si>
    <t xml:space="preserve">CIVIL DEFENSE CORPS GUBUN </t>
  </si>
  <si>
    <t>한국산업인력공단 민방위소속구분</t>
    <phoneticPr fontId="3" type="noConversion"/>
  </si>
  <si>
    <t>민방위소속명</t>
  </si>
  <si>
    <t>CDC_NM</t>
  </si>
  <si>
    <t xml:space="preserve">CIVIL DEFENSE CORPS NAME </t>
  </si>
  <si>
    <t>한국산업인력공단 민방위소속명</t>
    <phoneticPr fontId="3" type="noConversion"/>
  </si>
  <si>
    <t>민방위소속구분명</t>
  </si>
  <si>
    <t>CDCGB_NM</t>
  </si>
  <si>
    <t xml:space="preserve">CIVIL DEFENSE CORPS GUBUN NAME </t>
  </si>
  <si>
    <t>한국산업인력공단 민방위소속구분명</t>
    <phoneticPr fontId="3" type="noConversion"/>
  </si>
  <si>
    <t>민방위년차</t>
  </si>
  <si>
    <t>CDCYY_CNT</t>
  </si>
  <si>
    <t xml:space="preserve">CIVIL DEFENSE CORPS YEAR COUNT </t>
  </si>
  <si>
    <t>개개인별 민방위년차</t>
    <phoneticPr fontId="3" type="noConversion"/>
  </si>
  <si>
    <t>CEO_NM</t>
  </si>
  <si>
    <t xml:space="preserve">CEO NAME </t>
  </si>
  <si>
    <t>CER_NM</t>
  </si>
  <si>
    <t xml:space="preserve">CERTIFICATION NAME </t>
  </si>
  <si>
    <t>변경자직번</t>
  </si>
  <si>
    <t>CH_JKN</t>
  </si>
  <si>
    <t xml:space="preserve">CHANGER JIK NUMBER </t>
  </si>
  <si>
    <t>정보를 변경한 사람의 아이디</t>
    <phoneticPr fontId="3" type="noConversion"/>
  </si>
  <si>
    <t>차변금액</t>
  </si>
  <si>
    <t>CHA_AMT</t>
  </si>
  <si>
    <t xml:space="preserve">CHA AMOUNT </t>
  </si>
  <si>
    <t>이자율차이</t>
  </si>
  <si>
    <t>CHA_RAT</t>
  </si>
  <si>
    <t xml:space="preserve">CHA RATE </t>
  </si>
  <si>
    <t>CHA_SQN</t>
  </si>
  <si>
    <t xml:space="preserve">CHA SEQUENCE </t>
  </si>
  <si>
    <t>수정세액</t>
    <phoneticPr fontId="3" type="noConversion"/>
  </si>
  <si>
    <t>CHA_TAX1</t>
  </si>
  <si>
    <t xml:space="preserve">CHANGE TAX </t>
    <phoneticPr fontId="3" type="noConversion"/>
  </si>
  <si>
    <t>근로소득</t>
    <phoneticPr fontId="3" type="noConversion"/>
  </si>
  <si>
    <t>CHA_TAX2</t>
  </si>
  <si>
    <t xml:space="preserve">CHANGE TAX </t>
  </si>
  <si>
    <t>퇴직소득</t>
    <phoneticPr fontId="3" type="noConversion"/>
  </si>
  <si>
    <t>CHA_TAX3</t>
  </si>
  <si>
    <t>기타소득</t>
    <phoneticPr fontId="3" type="noConversion"/>
  </si>
  <si>
    <t>차대구분</t>
  </si>
  <si>
    <t>CHADAE_GB</t>
  </si>
  <si>
    <t xml:space="preserve">CHADAE GUBUN </t>
  </si>
  <si>
    <t>차변금액누계</t>
  </si>
  <si>
    <t>CHANGE_AMT</t>
  </si>
  <si>
    <t xml:space="preserve">CHANGE AMOUNT </t>
  </si>
  <si>
    <t>흉위</t>
  </si>
  <si>
    <t>CHEST</t>
  </si>
  <si>
    <t>변동근거</t>
  </si>
  <si>
    <t>CHG_BAS</t>
  </si>
  <si>
    <t xml:space="preserve">CHANGE BASIS </t>
  </si>
  <si>
    <t>정보를 수정한 근거</t>
    <phoneticPr fontId="3" type="noConversion"/>
  </si>
  <si>
    <t>변동사유</t>
  </si>
  <si>
    <t>CHG_CUS</t>
  </si>
  <si>
    <t xml:space="preserve">CHANGE CAUSE </t>
  </si>
  <si>
    <t>정보를 수정한 사유</t>
    <phoneticPr fontId="3" type="noConversion"/>
  </si>
  <si>
    <t>변동일</t>
  </si>
  <si>
    <t>CHG_DAT</t>
  </si>
  <si>
    <t xml:space="preserve">CHANGE DATE </t>
  </si>
  <si>
    <t>정보를 수정한 일</t>
    <phoneticPr fontId="3" type="noConversion"/>
  </si>
  <si>
    <t>최종변동구분</t>
  </si>
  <si>
    <t>CHG_GB</t>
  </si>
  <si>
    <t xml:space="preserve">CHANGE GUBUN </t>
  </si>
  <si>
    <t>정보를 최종적으로 구분자</t>
    <phoneticPr fontId="3" type="noConversion"/>
  </si>
  <si>
    <t>변동처리자</t>
  </si>
  <si>
    <t>CHG_NM</t>
  </si>
  <si>
    <t xml:space="preserve">CHANGE NAME </t>
  </si>
  <si>
    <t>정보를 수정한 사람이름</t>
    <phoneticPr fontId="3" type="noConversion"/>
  </si>
  <si>
    <t>변동상태</t>
  </si>
  <si>
    <t>CHG_STS</t>
  </si>
  <si>
    <t xml:space="preserve">CHANGE STATUS </t>
  </si>
  <si>
    <t>정보가 변경된 상태</t>
    <phoneticPr fontId="3" type="noConversion"/>
  </si>
  <si>
    <t xml:space="preserve">CHANGE TEXT </t>
  </si>
  <si>
    <t>정보를 변경한 내역</t>
    <phoneticPr fontId="3" type="noConversion"/>
  </si>
  <si>
    <t>다자녀추가공제</t>
  </si>
  <si>
    <t>CHILD</t>
  </si>
  <si>
    <t>다자녀추가공제인원</t>
  </si>
  <si>
    <t>CHILD_CNT</t>
  </si>
  <si>
    <t xml:space="preserve">CHILD COUNT </t>
  </si>
  <si>
    <t>CHK_AMT</t>
  </si>
  <si>
    <t xml:space="preserve">CHAINJIKUBAK AMOUNT </t>
  </si>
  <si>
    <t>검사일자</t>
  </si>
  <si>
    <t>CHK_DAT</t>
  </si>
  <si>
    <t xml:space="preserve">CHECK DATE </t>
  </si>
  <si>
    <t>검수확인부서</t>
  </si>
  <si>
    <t>CHK_DPT</t>
  </si>
  <si>
    <t xml:space="preserve">CHECK DEPARTMENT </t>
  </si>
  <si>
    <t>검사종별</t>
  </si>
  <si>
    <t>CHK_KND</t>
  </si>
  <si>
    <t xml:space="preserve">CHECK KIND </t>
  </si>
  <si>
    <t>검사자</t>
  </si>
  <si>
    <t>CHK_NM</t>
  </si>
  <si>
    <t xml:space="preserve">CHECK NAME </t>
  </si>
  <si>
    <t>확인번호</t>
  </si>
  <si>
    <t>CHK_NO</t>
  </si>
  <si>
    <t xml:space="preserve">CHECK NUMBER </t>
  </si>
  <si>
    <t>검사장소</t>
  </si>
  <si>
    <t>CHK_PLS</t>
  </si>
  <si>
    <t xml:space="preserve">CHECK PLACE </t>
  </si>
  <si>
    <t>추경금액</t>
  </si>
  <si>
    <t>CHU_AMT</t>
  </si>
  <si>
    <t xml:space="preserve">CHUKYUNG AMOUNT </t>
  </si>
  <si>
    <t>예산을 추가편성한 금액</t>
    <phoneticPr fontId="3" type="noConversion"/>
  </si>
  <si>
    <t>추경회수</t>
  </si>
  <si>
    <t>CHU_CNT</t>
  </si>
  <si>
    <t xml:space="preserve">CHUKYUNG COUNT </t>
  </si>
  <si>
    <t>예산을 추가 편성한 횟수</t>
    <phoneticPr fontId="3" type="noConversion"/>
  </si>
  <si>
    <t>추경일자</t>
  </si>
  <si>
    <t>CHU_DAT</t>
  </si>
  <si>
    <t xml:space="preserve">CHUKYUNG DATE </t>
  </si>
  <si>
    <t>예산을 추가 편성한 일자</t>
    <phoneticPr fontId="3" type="noConversion"/>
  </si>
  <si>
    <t>추경내역</t>
  </si>
  <si>
    <t>CHU_TXT</t>
  </si>
  <si>
    <t xml:space="preserve">CHUKYUNG TEXT </t>
  </si>
  <si>
    <t>예산을 추가 편성한 내용</t>
    <phoneticPr fontId="3" type="noConversion"/>
  </si>
  <si>
    <t>추경금액누계</t>
  </si>
  <si>
    <t>CHUTOT_AMT</t>
  </si>
  <si>
    <t xml:space="preserve">CHUKYUNG TOTAL AMOUNT </t>
  </si>
  <si>
    <t>예산을 추가 편성한 추경금액누계</t>
    <phoneticPr fontId="3" type="noConversion"/>
  </si>
  <si>
    <t>신용카드지급금액</t>
    <phoneticPr fontId="3" type="noConversion"/>
  </si>
  <si>
    <t>CIT_AMT</t>
  </si>
  <si>
    <t xml:space="preserve">CREDIT AMOUNT </t>
  </si>
  <si>
    <t>신용카드지급금액(그밖의자료)</t>
  </si>
  <si>
    <t>건수</t>
    <phoneticPr fontId="3" type="noConversion"/>
  </si>
  <si>
    <t>CIT_CNT</t>
  </si>
  <si>
    <t xml:space="preserve">CREDIT COUNT </t>
  </si>
  <si>
    <t>신용카드등금액(그밖의자료)</t>
    <phoneticPr fontId="3" type="noConversion"/>
  </si>
  <si>
    <t>의료비금액중 신용카드(현금영수증)으로 사용한 금액</t>
  </si>
  <si>
    <t>CITMED_AMT</t>
  </si>
  <si>
    <t xml:space="preserve">CREDIT MEDICAL CARE AMOUNT </t>
  </si>
  <si>
    <t>의료비중복공제배제금액</t>
  </si>
  <si>
    <t>CITMED_AMT1</t>
  </si>
  <si>
    <t>공제대상제외금액</t>
  </si>
  <si>
    <t>CITNOT_AMT</t>
  </si>
  <si>
    <t xml:space="preserve">CREDIT NOT AMOUNT </t>
  </si>
  <si>
    <t>신용카드공제금액</t>
  </si>
  <si>
    <t>CITRMV_AMT</t>
  </si>
  <si>
    <t xml:space="preserve">CREDIT REMOVE AMOUNT </t>
  </si>
  <si>
    <t>신용카드사용금액</t>
  </si>
  <si>
    <t>CITUSE_AMT</t>
  </si>
  <si>
    <t xml:space="preserve">CREDIT USE AMOUNT </t>
  </si>
  <si>
    <t>신용카드사용금액</t>
    <phoneticPr fontId="3" type="noConversion"/>
  </si>
  <si>
    <t>CITUSE_AMT1</t>
  </si>
  <si>
    <t>신용카드사용금액(국세청자료)</t>
    <phoneticPr fontId="3" type="noConversion"/>
  </si>
  <si>
    <t>확정분개일자</t>
  </si>
  <si>
    <t>CJ_DAT</t>
  </si>
  <si>
    <t xml:space="preserve">CONFIRM JOURNALIZING DATE </t>
  </si>
  <si>
    <t>최종적으로 회계처리한 일자</t>
    <phoneticPr fontId="3" type="noConversion"/>
  </si>
  <si>
    <t>계급구분(HM37)</t>
  </si>
  <si>
    <t>CLA_GB</t>
  </si>
  <si>
    <t xml:space="preserve">CLASS GUBUN </t>
  </si>
  <si>
    <t>계급명</t>
  </si>
  <si>
    <t>CLA_NM</t>
  </si>
  <si>
    <t xml:space="preserve">CLASS NAME </t>
  </si>
  <si>
    <t>농특세(현재징수할세액)</t>
  </si>
  <si>
    <t>CLO_ASX</t>
  </si>
  <si>
    <t xml:space="preserve">CURRENT LEVY AGRICLUTUREAL SPECIAL TAX </t>
  </si>
  <si>
    <t>소득세(현재징수할세액)</t>
  </si>
  <si>
    <t>CLOERN_TAX</t>
  </si>
  <si>
    <t xml:space="preserve">CURRENT LEVY EARNNING TAX </t>
  </si>
  <si>
    <t>주민세(현재징수할세액)</t>
  </si>
  <si>
    <t>CLOPREX_TAX</t>
  </si>
  <si>
    <t xml:space="preserve">CURRENT LEVY RESIDENT TAX </t>
  </si>
  <si>
    <t>농특세(현재징수한세액)</t>
  </si>
  <si>
    <t>CLP_ASX</t>
  </si>
  <si>
    <t xml:space="preserve">CURRENT LEVY PAYMENT AGRICLUTUREAL SPECIAL TAX </t>
  </si>
  <si>
    <t>소득세(현재징수한세액)</t>
  </si>
  <si>
    <t>CLPERN_TAX</t>
  </si>
  <si>
    <t xml:space="preserve">CURRENT LEVY PAYMENT EARNNING TAX </t>
  </si>
  <si>
    <t>주민세(현재징수한세액)</t>
  </si>
  <si>
    <t>CLPPREX_TAX</t>
  </si>
  <si>
    <t xml:space="preserve">CURRENT LEVY PAYMENT RESIDENT TAX </t>
  </si>
  <si>
    <t xml:space="preserve">COMMAND NUMBER </t>
  </si>
  <si>
    <t>명시이월금액</t>
  </si>
  <si>
    <t>CMDCYF_AMT</t>
  </si>
  <si>
    <t xml:space="preserve">COMMAND CARRYING FORWARD AMOUNT </t>
  </si>
  <si>
    <t>년도내 지출을 완료하지 못해 다음년도에 계속하여 지출할 있는 예산</t>
    <phoneticPr fontId="3" type="noConversion"/>
  </si>
  <si>
    <t>명시이월금액누계</t>
  </si>
  <si>
    <t>CMDCYFTOT_AMT</t>
  </si>
  <si>
    <t xml:space="preserve">COMMAND CARRYING FORWARD TOTAL AMOUNT </t>
  </si>
  <si>
    <t>년도내 지출을 완료하지 못해 다음년도에 계속하여 지출할 있는 예산금액누계</t>
    <phoneticPr fontId="3" type="noConversion"/>
  </si>
  <si>
    <t>CMF</t>
    <phoneticPr fontId="3" type="noConversion"/>
  </si>
  <si>
    <t>작업예산관리자코드</t>
  </si>
  <si>
    <t>CMNG_CD</t>
  </si>
  <si>
    <t xml:space="preserve">COMMAND MANAGER CODE </t>
  </si>
  <si>
    <t>금융기관명</t>
  </si>
  <si>
    <t>CMO_NM</t>
  </si>
  <si>
    <t xml:space="preserve">CIRCULATION OF MONEY ORGANIZATION NAME </t>
  </si>
  <si>
    <t>CMP_KND</t>
  </si>
  <si>
    <t xml:space="preserve">COMPANY KIND </t>
  </si>
  <si>
    <t>저촉면적</t>
  </si>
  <si>
    <t>CNF_ARA</t>
  </si>
  <si>
    <t xml:space="preserve">CONFLICT AREA </t>
  </si>
  <si>
    <t>저촉내용</t>
  </si>
  <si>
    <t>CNF_TXT</t>
  </si>
  <si>
    <t xml:space="preserve">CONFLICT TEXT </t>
  </si>
  <si>
    <t>CHINESE NAME</t>
    <phoneticPr fontId="3" type="noConversion"/>
  </si>
  <si>
    <t>지방세시가표준액</t>
  </si>
  <si>
    <t>CNSTD_AMT</t>
  </si>
  <si>
    <t xml:space="preserve">COUNTRY STANDARD AMOUNT </t>
    <phoneticPr fontId="3" type="noConversion"/>
  </si>
  <si>
    <t>취득세, 등록세, 재산세등를 부과하기 위해 토지 및 건물의 기준가액</t>
    <phoneticPr fontId="3" type="noConversion"/>
  </si>
  <si>
    <t>COUNT</t>
  </si>
  <si>
    <t>현금지급금액(그밖의자료)</t>
    <phoneticPr fontId="3" type="noConversion"/>
  </si>
  <si>
    <t>근저당설정</t>
  </si>
  <si>
    <t>COL_AMT</t>
  </si>
  <si>
    <t xml:space="preserve">COLLATERAL AMOUNT </t>
  </si>
  <si>
    <t>법적 소송이나 전세금 등과 같이 법적인 보호를 받기 위해 설정한 금액</t>
    <phoneticPr fontId="3" type="noConversion"/>
  </si>
  <si>
    <t>확정액</t>
  </si>
  <si>
    <t>COM_AMT</t>
  </si>
  <si>
    <t xml:space="preserve">CONFIRM AMOUNT </t>
  </si>
  <si>
    <t>법적 소송이나 전세금 등과 같이 법적인 보호를 받기 위해 확정한 금액</t>
    <phoneticPr fontId="3" type="noConversion"/>
  </si>
  <si>
    <t>시공및제조회사</t>
  </si>
  <si>
    <t>COM_NM</t>
  </si>
  <si>
    <t xml:space="preserve">COMPANY NAME </t>
  </si>
  <si>
    <t>인정시기</t>
  </si>
  <si>
    <t>COM_TIM</t>
  </si>
  <si>
    <t xml:space="preserve">COMPUTATION TIME </t>
  </si>
  <si>
    <t>계산년월</t>
  </si>
  <si>
    <t>COM_YYMM</t>
  </si>
  <si>
    <t xml:space="preserve">COMPUTATION YEAR MONTH </t>
  </si>
  <si>
    <t>3개월평균임금</t>
  </si>
  <si>
    <t>COMAVG_WAG</t>
  </si>
  <si>
    <t xml:space="preserve">COMPUTATION AVERAGE WAGES </t>
  </si>
  <si>
    <t>확인여부</t>
  </si>
  <si>
    <t>CON_YN</t>
  </si>
  <si>
    <t xml:space="preserve">CONFIRM YES NO </t>
    <phoneticPr fontId="3" type="noConversion"/>
  </si>
  <si>
    <t>복수직급코드</t>
  </si>
  <si>
    <t>CONGRD_CD</t>
  </si>
  <si>
    <t xml:space="preserve">CONCURRNET GRADE CODE </t>
  </si>
  <si>
    <t>복수직급명</t>
  </si>
  <si>
    <t>CONGRD_NM</t>
  </si>
  <si>
    <t xml:space="preserve">CONCURRENT GRADE NAME </t>
  </si>
  <si>
    <t>직급명</t>
    <phoneticPr fontId="3" type="noConversion"/>
  </si>
  <si>
    <t>복수직렬코드</t>
  </si>
  <si>
    <t>CONJIK_CD</t>
  </si>
  <si>
    <t xml:space="preserve">CONCURRENT JIKRYUL CODE </t>
  </si>
  <si>
    <t>복수직렬명</t>
  </si>
  <si>
    <t>CONJIK_NM</t>
  </si>
  <si>
    <t xml:space="preserve">CONCURRENT JIKRYUL NAME </t>
  </si>
  <si>
    <t>직렬명</t>
    <phoneticPr fontId="3" type="noConversion"/>
  </si>
  <si>
    <t>COS_AMT</t>
  </si>
  <si>
    <t xml:space="preserve">COST AMOUNT </t>
  </si>
  <si>
    <t>과정</t>
  </si>
  <si>
    <t>COU</t>
  </si>
  <si>
    <t>COURSE</t>
  </si>
  <si>
    <t xml:space="preserve">COUNTRY CODE </t>
  </si>
  <si>
    <t>과정명</t>
  </si>
  <si>
    <t xml:space="preserve">COURSE NAME </t>
  </si>
  <si>
    <t>지방인제여부</t>
  </si>
  <si>
    <t xml:space="preserve">COUNTRY YES NO </t>
  </si>
  <si>
    <t>변동처리부서</t>
  </si>
  <si>
    <t>CPD_CD</t>
  </si>
  <si>
    <t xml:space="preserve">CHANGE PROCESS DEPARTMENT CODE </t>
  </si>
  <si>
    <t>배우자생년월일</t>
  </si>
  <si>
    <t>CPE_BDY</t>
  </si>
  <si>
    <t xml:space="preserve">COUPLE BIRTHDAY </t>
  </si>
  <si>
    <t>배우자출생지</t>
  </si>
  <si>
    <t>CPE_BON</t>
  </si>
  <si>
    <t xml:space="preserve">COUPLE BORN </t>
  </si>
  <si>
    <t xml:space="preserve">COUPLE COUNT </t>
  </si>
  <si>
    <t>결혼년월일</t>
  </si>
  <si>
    <t>CPE_DAT</t>
  </si>
  <si>
    <t xml:space="preserve">COUPLE DATE </t>
  </si>
  <si>
    <t>배우자취미특기</t>
  </si>
  <si>
    <t>CPE_HS</t>
  </si>
  <si>
    <t xml:space="preserve">COUPLE HOBBY AND SPECIALITY </t>
  </si>
  <si>
    <t>배우자직업</t>
  </si>
  <si>
    <t>CPE_JOB</t>
  </si>
  <si>
    <t xml:space="preserve">COUPLE JOB </t>
  </si>
  <si>
    <t>배우자성명</t>
  </si>
  <si>
    <t>CPE_NM</t>
  </si>
  <si>
    <t xml:space="preserve">COUPLE NAME </t>
  </si>
  <si>
    <t>배우자학력</t>
  </si>
  <si>
    <t>CPE_SCG</t>
  </si>
  <si>
    <t xml:space="preserve">COUPLE SCHOOLING </t>
  </si>
  <si>
    <t>배우자연락처</t>
  </si>
  <si>
    <t>CPE_TEL</t>
  </si>
  <si>
    <t xml:space="preserve">COUPLE TELEPHONE </t>
  </si>
  <si>
    <t>혼인여부</t>
  </si>
  <si>
    <t>CPE_YN</t>
  </si>
  <si>
    <t xml:space="preserve">COUPLE YES NO </t>
  </si>
  <si>
    <t>배우자학위자격</t>
  </si>
  <si>
    <t>CPEDEG_QLF</t>
  </si>
  <si>
    <t xml:space="preserve">COUPLE QUALIFICATIN </t>
  </si>
  <si>
    <t>배우자교육비</t>
  </si>
  <si>
    <t>CPEEDU_AMT</t>
  </si>
  <si>
    <t xml:space="preserve">COUPLE EDUCATION AMOUNT </t>
  </si>
  <si>
    <t>배우자졸업년도</t>
  </si>
  <si>
    <t>CPEGRT_YY</t>
  </si>
  <si>
    <t xml:space="preserve">COUPLE GRADUATION YEAR </t>
  </si>
  <si>
    <t>배우자공제액</t>
  </si>
  <si>
    <t>CPERMV_AMT</t>
  </si>
  <si>
    <t xml:space="preserve">COUPLE REMOVE AMOUNT </t>
  </si>
  <si>
    <t>CPT_AMT</t>
  </si>
  <si>
    <t xml:space="preserve">CAPTITAL AMOUNT </t>
  </si>
  <si>
    <t xml:space="preserve">CURRENT QUANTITY </t>
  </si>
  <si>
    <t>당좌수표번호</t>
  </si>
  <si>
    <t>CRACHK_NO</t>
  </si>
  <si>
    <t xml:space="preserve">CURRENT ACCOUNT CHECK NUMBER </t>
  </si>
  <si>
    <t>당좌수표번호순번</t>
  </si>
  <si>
    <t>CRACHK_SQN</t>
  </si>
  <si>
    <t xml:space="preserve">CURRENT ACCOUNT CHECK SEQUENCE </t>
  </si>
  <si>
    <t>생성여부</t>
    <phoneticPr fontId="3" type="noConversion"/>
  </si>
  <si>
    <t xml:space="preserve">CREATION YES NO </t>
  </si>
  <si>
    <t>1:생성안함, 2:자동생성, 3:전월생성</t>
    <phoneticPr fontId="3" type="noConversion"/>
  </si>
  <si>
    <t>경력계산구분</t>
  </si>
  <si>
    <t>CRRCCL_GB</t>
  </si>
  <si>
    <t xml:space="preserve">CURRENT CAREER CALCULATION GUBUN </t>
  </si>
  <si>
    <t>경력반영률</t>
  </si>
  <si>
    <t>CRRRFT_RAT</t>
  </si>
  <si>
    <t xml:space="preserve">CAREER REFLECTION  RATE </t>
  </si>
  <si>
    <t>도시계획저촉면적</t>
  </si>
  <si>
    <t>CSCNF_ARA</t>
  </si>
  <si>
    <t xml:space="preserve">CITY SCHEME CONFLICT AREA </t>
  </si>
  <si>
    <t>도시계획저촉내용</t>
  </si>
  <si>
    <t>CSCNF_TXT</t>
  </si>
  <si>
    <t xml:space="preserve">CITY SCHEME CONFLICT TEXT </t>
  </si>
  <si>
    <t>공사시작일</t>
  </si>
  <si>
    <t>CSRSTR_DAT</t>
  </si>
  <si>
    <t xml:space="preserve">CONSTRUCTION START DATE </t>
  </si>
  <si>
    <t>비용계</t>
  </si>
  <si>
    <t>CST_AMT</t>
  </si>
  <si>
    <t>비용구분</t>
  </si>
  <si>
    <t>CST_GB</t>
  </si>
  <si>
    <t xml:space="preserve">COST GUBUN </t>
  </si>
  <si>
    <t>세번</t>
  </si>
  <si>
    <t>CST_NO</t>
  </si>
  <si>
    <t xml:space="preserve">COST NUMBER </t>
  </si>
  <si>
    <t>순번</t>
    <phoneticPr fontId="3" type="noConversion"/>
  </si>
  <si>
    <t>기부금공제한도액(10%)</t>
  </si>
  <si>
    <t>CTBLMT10_AMT</t>
  </si>
  <si>
    <t xml:space="preserve">CONTRIBUTION LIMIT 10% AMOUNT </t>
  </si>
  <si>
    <t>기부금공제한도액(30%)</t>
  </si>
  <si>
    <t>CTBLMT30_AMT</t>
  </si>
  <si>
    <t xml:space="preserve">CONTRIBUTION LIMIT 30% AMOUNT </t>
  </si>
  <si>
    <t>기부금공제한도액(50%)</t>
  </si>
  <si>
    <t>CTBLMT50_AMT</t>
  </si>
  <si>
    <t xml:space="preserve">CONTRIBUTION LIMIT 50% AMOUNT </t>
  </si>
  <si>
    <t>기부금공제금액</t>
  </si>
  <si>
    <t>CTBRMV_AMT</t>
  </si>
  <si>
    <t xml:space="preserve">CONTRIBUTION REMOVE AMOUNT </t>
  </si>
  <si>
    <t>관할세관</t>
  </si>
  <si>
    <t>CTL_CST</t>
  </si>
  <si>
    <t xml:space="preserve">CONTROL CUSTOM </t>
  </si>
  <si>
    <t xml:space="preserve">한국산업인력공단 본부 및 지역본부, 지소가 속해 있는 세관 </t>
    <phoneticPr fontId="3" type="noConversion"/>
  </si>
  <si>
    <t>현재가액</t>
  </si>
  <si>
    <t>CUR_AMT</t>
  </si>
  <si>
    <t xml:space="preserve">CURRENT AMOUNT </t>
  </si>
  <si>
    <t>현재인원</t>
  </si>
  <si>
    <t>CUR_NMP</t>
  </si>
  <si>
    <t xml:space="preserve">CURRENT NUMBER OF PERSONS </t>
  </si>
  <si>
    <t>CUS_사유</t>
  </si>
  <si>
    <t>CUS</t>
  </si>
  <si>
    <t xml:space="preserve">CAUSE OCCUR DATE </t>
  </si>
  <si>
    <t>검사유효기관(까지)</t>
  </si>
  <si>
    <t>CVEND_DAT2</t>
  </si>
  <si>
    <t xml:space="preserve">CHECK VALID END DATE </t>
  </si>
  <si>
    <t>검사유효기관(부터)</t>
  </si>
  <si>
    <t>CVSTR_DAT1</t>
  </si>
  <si>
    <t xml:space="preserve">CHECK VALID START DATE </t>
  </si>
  <si>
    <t>당해년도통상임금</t>
  </si>
  <si>
    <t>CYB_WAG</t>
  </si>
  <si>
    <t xml:space="preserve">CURRENT YEAR  WAGES </t>
  </si>
  <si>
    <t>이월예산취득</t>
  </si>
  <si>
    <t>CYBAQU_AMT</t>
  </si>
  <si>
    <t xml:space="preserve">CARRIED BUDGET ACQUIT  AMOUNT </t>
  </si>
  <si>
    <t>이월요구금액</t>
  </si>
  <si>
    <t>CYFREQ_AMT</t>
  </si>
  <si>
    <t xml:space="preserve">CARRING FORWARD REQUIED AMOUNT </t>
  </si>
  <si>
    <t>근태일수</t>
  </si>
  <si>
    <t>D_CNT</t>
  </si>
  <si>
    <t xml:space="preserve">DUTY ON/OFF COUNT </t>
  </si>
  <si>
    <t>과세표준(미만)</t>
  </si>
  <si>
    <t>D_TXS</t>
    <phoneticPr fontId="3" type="noConversion"/>
  </si>
  <si>
    <t xml:space="preserve">DUTY TAX STANDARD </t>
    <phoneticPr fontId="3" type="noConversion"/>
  </si>
  <si>
    <t>대변금액</t>
  </si>
  <si>
    <t>DAE_AMT</t>
  </si>
  <si>
    <t xml:space="preserve">DAEBYUN AMOUNT </t>
  </si>
  <si>
    <t>대변금액누계</t>
  </si>
  <si>
    <t>DAENGE_AMT</t>
  </si>
  <si>
    <t xml:space="preserve">DAEBYUN NUGYE AMOUNT </t>
  </si>
  <si>
    <t xml:space="preserve">DATE  </t>
  </si>
  <si>
    <t xml:space="preserve">DAY COUNT </t>
  </si>
  <si>
    <t>1일수당액</t>
  </si>
  <si>
    <t>DAYALA_AMT</t>
  </si>
  <si>
    <t xml:space="preserve">DAY ALLOWANCE AMOUNT </t>
  </si>
  <si>
    <t>주소(동이하)</t>
  </si>
  <si>
    <t xml:space="preserve">DONG CURRENT DOWN ADDRESS </t>
  </si>
  <si>
    <t>세입징수관서동이하주소</t>
  </si>
  <si>
    <t>DCD_ADDR1</t>
  </si>
  <si>
    <t>결정세액(소득세)</t>
  </si>
  <si>
    <t>DCD_TAX</t>
  </si>
  <si>
    <t xml:space="preserve">DECIDE TAX </t>
  </si>
  <si>
    <t>산출세액에서 세액공제액과 감면세액을 공제한 세액</t>
    <phoneticPr fontId="3" type="noConversion"/>
  </si>
  <si>
    <t>처분일자</t>
  </si>
  <si>
    <t>DCI_DAT</t>
  </si>
  <si>
    <t xml:space="preserve">DISPOSAL DATE </t>
  </si>
  <si>
    <t>고장자산을 처분한 일자</t>
    <phoneticPr fontId="3" type="noConversion"/>
  </si>
  <si>
    <t xml:space="preserve">DISPOSAL REQUIED DATE </t>
  </si>
  <si>
    <t>고장자산을 처분 요청일</t>
    <phoneticPr fontId="3" type="noConversion"/>
  </si>
  <si>
    <t xml:space="preserve">DISPOSAL GUBUN </t>
  </si>
  <si>
    <t>고장자산을 처분구분(HM33)</t>
    <phoneticPr fontId="3" type="noConversion"/>
  </si>
  <si>
    <t xml:space="preserve">DISPOSAL NAME </t>
  </si>
  <si>
    <t>처분하고자 하는 고정자산 명</t>
    <phoneticPr fontId="3" type="noConversion"/>
  </si>
  <si>
    <t xml:space="preserve">DISPOSAL REMARK </t>
  </si>
  <si>
    <t>고장자산 처분사유</t>
    <phoneticPr fontId="3" type="noConversion"/>
  </si>
  <si>
    <t>결의서구분</t>
    <phoneticPr fontId="3" type="noConversion"/>
  </si>
  <si>
    <t>DCS_GB</t>
  </si>
  <si>
    <t xml:space="preserve">DECISION  GUBUN </t>
  </si>
  <si>
    <t>결의계약여부</t>
    <phoneticPr fontId="3" type="noConversion"/>
  </si>
  <si>
    <t>DCSPR_GB</t>
  </si>
  <si>
    <t xml:space="preserve">DECISION GUBUN </t>
  </si>
  <si>
    <t>1:결의, 2:계약</t>
    <phoneticPr fontId="3" type="noConversion"/>
  </si>
  <si>
    <t>주소(동이상)</t>
  </si>
  <si>
    <t xml:space="preserve">DONG CURRENT UPPER ADDRESS </t>
  </si>
  <si>
    <t>세입징수관서동이상주소</t>
  </si>
  <si>
    <t>DCU_ADDR1</t>
  </si>
  <si>
    <t>담당부서</t>
  </si>
  <si>
    <t>DD_DPT</t>
  </si>
  <si>
    <t xml:space="preserve">DAMDANG DEPARTMENT </t>
  </si>
  <si>
    <t>DD_UPM</t>
  </si>
  <si>
    <t xml:space="preserve">DAMDANG UPMU </t>
  </si>
  <si>
    <t>담당자</t>
    <phoneticPr fontId="3" type="noConversion"/>
  </si>
  <si>
    <t>DAMDANGJA</t>
  </si>
  <si>
    <t>DDJ_NM</t>
  </si>
  <si>
    <t xml:space="preserve">DAMDANGJA NAME </t>
  </si>
  <si>
    <t xml:space="preserve">DAMDANGJA UPMU </t>
  </si>
  <si>
    <t xml:space="preserve">DAMDANGJA DIRECT CODE </t>
  </si>
  <si>
    <t xml:space="preserve">DAMDANGJA DIRECT NAME </t>
  </si>
  <si>
    <t>차감소득금액</t>
  </si>
  <si>
    <t>DE_AMT</t>
  </si>
  <si>
    <t xml:space="preserve">DECREMENT EARN AMOUNT </t>
  </si>
  <si>
    <t>감소금액</t>
  </si>
  <si>
    <t>DEC_AMT</t>
  </si>
  <si>
    <t xml:space="preserve">DECREMENT  AMOUNT </t>
  </si>
  <si>
    <t xml:space="preserve">DEGREE CODE </t>
  </si>
  <si>
    <t xml:space="preserve">DEGREE NAME </t>
  </si>
  <si>
    <t>DEGREE_CODE</t>
  </si>
  <si>
    <t xml:space="preserve">DELETE YES NO </t>
  </si>
  <si>
    <t>요구금액합계</t>
  </si>
  <si>
    <t>DEMO_AMT</t>
  </si>
  <si>
    <t xml:space="preserve">DEMAND ORGANIZATION AMOUNT </t>
  </si>
  <si>
    <t>수요기관번호</t>
  </si>
  <si>
    <t>DEMO_NO</t>
  </si>
  <si>
    <t xml:space="preserve">DEMAND ORGANIZATION NUMBER </t>
  </si>
  <si>
    <t>증감요구금액합계</t>
  </si>
  <si>
    <t>DEMO1_AMT</t>
  </si>
  <si>
    <t xml:space="preserve">DEPARTMENT OFFICIAL ORDER DATE </t>
  </si>
  <si>
    <t xml:space="preserve">DEPARTMENT CODE </t>
  </si>
  <si>
    <t>발의부서명</t>
  </si>
  <si>
    <t>DEPT_NM</t>
  </si>
  <si>
    <t xml:space="preserve">DEPARTMENT NAME </t>
  </si>
  <si>
    <t>고충주요내용</t>
  </si>
  <si>
    <t>DFC_TXT</t>
  </si>
  <si>
    <t xml:space="preserve">DIFFICULTY TEXT </t>
  </si>
  <si>
    <t>일비금액</t>
  </si>
  <si>
    <t>DFE_AMT</t>
  </si>
  <si>
    <t xml:space="preserve">DAILY FEE AMOUNT </t>
  </si>
  <si>
    <t>차액기본연봉</t>
  </si>
  <si>
    <t>DFFBAS_ASL</t>
  </si>
  <si>
    <t xml:space="preserve">DIFFERENCE BASIC ANNUAL SALARY </t>
  </si>
  <si>
    <t>차액능력급기준금액</t>
  </si>
  <si>
    <t>DFFCBSL_AMT</t>
  </si>
  <si>
    <t xml:space="preserve">DIFFERENCE CAPACITY BASE LINE AMOUNT </t>
  </si>
  <si>
    <t>차액지급금액</t>
  </si>
  <si>
    <t>DFFPMT_AMT</t>
  </si>
  <si>
    <t xml:space="preserve">DIFFERENT PAYMENT AMOUNT </t>
  </si>
  <si>
    <t>등기일자</t>
  </si>
  <si>
    <t>DGI_DAT</t>
  </si>
  <si>
    <t xml:space="preserve">DEUNGGI DATE </t>
  </si>
  <si>
    <t>DGI_KND</t>
  </si>
  <si>
    <t xml:space="preserve">DEUNGGI KIND </t>
  </si>
  <si>
    <t>등기번호</t>
  </si>
  <si>
    <t>DGI_NO</t>
  </si>
  <si>
    <t xml:space="preserve">DEUNGGI NUMBER </t>
  </si>
  <si>
    <t>DGI_RGO</t>
  </si>
  <si>
    <t xml:space="preserve">DEUNGGI REGISTRY OFFICE </t>
  </si>
  <si>
    <t>할인율</t>
  </si>
  <si>
    <t>DIC_RAT</t>
  </si>
  <si>
    <t xml:space="preserve">DISCOUNT RATE </t>
  </si>
  <si>
    <t>분할납품</t>
  </si>
  <si>
    <t>DIV_NAB</t>
  </si>
  <si>
    <t xml:space="preserve">DEVIDE NABPOOM </t>
  </si>
  <si>
    <t>DLDATE</t>
  </si>
  <si>
    <t>납입일자</t>
  </si>
  <si>
    <t>DLI_DAT</t>
  </si>
  <si>
    <t xml:space="preserve">DELIVERY DATE </t>
  </si>
  <si>
    <t>납입내역</t>
  </si>
  <si>
    <t>DLI_TXT</t>
  </si>
  <si>
    <t xml:space="preserve">DELIVERY TEXT </t>
  </si>
  <si>
    <t>납입보험료</t>
  </si>
  <si>
    <t>DLIISU_AMT</t>
  </si>
  <si>
    <t xml:space="preserve">DELIVERY INSURRANCE AMOUNT </t>
  </si>
  <si>
    <t>납입대상회수</t>
  </si>
  <si>
    <t>DLIOBJ_CNT</t>
  </si>
  <si>
    <t xml:space="preserve">DELIVERY OBJECT COUNT </t>
  </si>
  <si>
    <t>납품기한</t>
  </si>
  <si>
    <t>DLV_DAT</t>
  </si>
  <si>
    <t xml:space="preserve">DELIVERY VALID DATE </t>
  </si>
  <si>
    <t>납품장소</t>
  </si>
  <si>
    <t>DLV_PLS</t>
  </si>
  <si>
    <t xml:space="preserve">DELIVERY VALID PLACE </t>
  </si>
  <si>
    <t>납품요구일자</t>
  </si>
  <si>
    <t>DLVREQ_DAT</t>
  </si>
  <si>
    <t xml:space="preserve">DELIVERY REQUEST DATE </t>
  </si>
  <si>
    <t>납품요구업체</t>
  </si>
  <si>
    <t>DLVREQ_VNM</t>
  </si>
  <si>
    <t xml:space="preserve">DELIVERY REQUEST VENDOR NAME </t>
  </si>
  <si>
    <t>연체금액</t>
  </si>
  <si>
    <t>DLY_AMT</t>
  </si>
  <si>
    <t xml:space="preserve">DELAY AMOUNT </t>
  </si>
  <si>
    <t>연체금리</t>
  </si>
  <si>
    <t>DLY_IRT</t>
  </si>
  <si>
    <t xml:space="preserve">DELAY INTEREST RATE </t>
  </si>
  <si>
    <t>지체상금율</t>
  </si>
  <si>
    <t>DLY_RAT</t>
  </si>
  <si>
    <t xml:space="preserve">DELAY RATE </t>
  </si>
  <si>
    <t>연체일수</t>
  </si>
  <si>
    <t>DLYDAY_CNT</t>
  </si>
  <si>
    <t xml:space="preserve">DELAY DAY COUNT </t>
  </si>
  <si>
    <t>연체기준일</t>
  </si>
  <si>
    <t>DLYSTE_DAT</t>
  </si>
  <si>
    <t xml:space="preserve">DELAY START POINT FOR CALCULATE DATE </t>
  </si>
  <si>
    <t>연대보증시 담보내용을 기록</t>
    <phoneticPr fontId="3" type="noConversion"/>
  </si>
  <si>
    <t>문서레벨</t>
  </si>
  <si>
    <t>DOC_LEVEL</t>
  </si>
  <si>
    <t xml:space="preserve">DOCUMENT LEVEL </t>
  </si>
  <si>
    <t>문서번호</t>
  </si>
  <si>
    <t>DOC_NO</t>
  </si>
  <si>
    <t xml:space="preserve">DOCUMENT NUMBER </t>
  </si>
  <si>
    <t>문서스텝</t>
  </si>
  <si>
    <t>DOC_STEP</t>
  </si>
  <si>
    <t xml:space="preserve">DOCUMENT STEP </t>
  </si>
  <si>
    <t xml:space="preserve">DOCUMENT IMPLEMENTATION DATE </t>
  </si>
  <si>
    <t>동명</t>
  </si>
  <si>
    <t>DONG_NM</t>
  </si>
  <si>
    <t xml:space="preserve">DONG NAME </t>
  </si>
  <si>
    <t>DPI_AMT</t>
  </si>
  <si>
    <t xml:space="preserve">DEPOSIT AMOUNT </t>
  </si>
  <si>
    <t>예금금액</t>
    <phoneticPr fontId="3" type="noConversion"/>
  </si>
  <si>
    <t>DPI_NM</t>
  </si>
  <si>
    <t xml:space="preserve">DEPOSIT NAME </t>
  </si>
  <si>
    <t>예금주명</t>
  </si>
  <si>
    <t>감가상각충담금</t>
  </si>
  <si>
    <t>DPRFLL_AMT</t>
  </si>
  <si>
    <t xml:space="preserve">DEPRECIATION FILL AMOUNT </t>
  </si>
  <si>
    <t>예치금액</t>
  </si>
  <si>
    <t>DPS_AMT</t>
  </si>
  <si>
    <t>예치기간</t>
  </si>
  <si>
    <t>DPS_TRM</t>
  </si>
  <si>
    <t xml:space="preserve">DEPOSIT TERM </t>
    <phoneticPr fontId="3" type="noConversion"/>
  </si>
  <si>
    <t>DPSAGN_NM</t>
  </si>
  <si>
    <t xml:space="preserve">DEPOSIT AGENCY NAME </t>
    <phoneticPr fontId="3" type="noConversion"/>
  </si>
  <si>
    <t>DPT_CD</t>
  </si>
  <si>
    <t>부서명</t>
  </si>
  <si>
    <t>DPT_NM</t>
  </si>
  <si>
    <t>징계구분</t>
    <phoneticPr fontId="3" type="noConversion"/>
  </si>
  <si>
    <t xml:space="preserve">DISCIPLINARY PUNISHMENT GUBUN </t>
  </si>
  <si>
    <t>1:감봉, 2: 정직, 3:직위해제</t>
    <phoneticPr fontId="3" type="noConversion"/>
  </si>
  <si>
    <t>외국인등록번호(6-7)</t>
  </si>
  <si>
    <t>DR_NO</t>
  </si>
  <si>
    <t xml:space="preserve">REGISTER NUMBER </t>
    <phoneticPr fontId="3" type="noConversion"/>
  </si>
  <si>
    <t>장래희망</t>
  </si>
  <si>
    <t>운임금액</t>
  </si>
  <si>
    <t>DRV_AMT</t>
  </si>
  <si>
    <t xml:space="preserve">DRIVING AMOUNT </t>
  </si>
  <si>
    <t>운임거리</t>
  </si>
  <si>
    <t>DRV_DST</t>
  </si>
  <si>
    <t xml:space="preserve">DRIVING DISTANCE </t>
  </si>
  <si>
    <t>DRV_KND</t>
  </si>
  <si>
    <t xml:space="preserve">DRIVING KIND </t>
  </si>
  <si>
    <t>DISTINGUISHED SERVICE CROSS</t>
  </si>
  <si>
    <t>규격번호</t>
  </si>
  <si>
    <t>DSC_NO</t>
  </si>
  <si>
    <t xml:space="preserve">DISTINGUISHED SERVICE CROSS NUMBER </t>
  </si>
  <si>
    <t>발송년월일</t>
  </si>
  <si>
    <t>DSP_DAT</t>
  </si>
  <si>
    <t xml:space="preserve">DESPATCH DATE </t>
  </si>
  <si>
    <t>발송구분</t>
    <phoneticPr fontId="3" type="noConversion"/>
  </si>
  <si>
    <t>DSP_GB</t>
  </si>
  <si>
    <t xml:space="preserve">DESPATCH GUBUN </t>
  </si>
  <si>
    <t>1:편성, 2:이동</t>
    <phoneticPr fontId="3" type="noConversion"/>
  </si>
  <si>
    <t>DSU_AMT</t>
  </si>
  <si>
    <t xml:space="preserve">DISUSE AMOUNT </t>
  </si>
  <si>
    <t>DSU_DAT</t>
  </si>
  <si>
    <t xml:space="preserve">DISUSE DATE </t>
  </si>
  <si>
    <t>직책명</t>
  </si>
  <si>
    <t>DUT_NM</t>
  </si>
  <si>
    <t xml:space="preserve">DUTIES NAME </t>
  </si>
  <si>
    <t>책임보험료</t>
  </si>
  <si>
    <t>DUTISU_AMT</t>
  </si>
  <si>
    <t xml:space="preserve">DUTIES INSURRANCE AMOUNT </t>
  </si>
  <si>
    <t>책임보험금액</t>
    <phoneticPr fontId="3" type="noConversion"/>
  </si>
  <si>
    <t>전자조달금액</t>
  </si>
  <si>
    <t>E_AMT</t>
  </si>
  <si>
    <t xml:space="preserve">ELECTRONIC PROCUREMENT AMOUNT </t>
  </si>
  <si>
    <t>전자조달건수</t>
  </si>
  <si>
    <t>E_CNT</t>
  </si>
  <si>
    <t xml:space="preserve">ELECTRONIC PROCUREMENT COUNT </t>
  </si>
  <si>
    <t xml:space="preserve">EMAIL </t>
  </si>
  <si>
    <t>전자조달비율</t>
  </si>
  <si>
    <t>E_RAT</t>
  </si>
  <si>
    <t xml:space="preserve">ELECTRONIC PROCUREMENT RATE </t>
  </si>
  <si>
    <t>영문품명</t>
  </si>
  <si>
    <t>EATC_NM</t>
  </si>
  <si>
    <t xml:space="preserve">ENGLISH ARTICLES NAME </t>
    <phoneticPr fontId="3" type="noConversion"/>
  </si>
  <si>
    <t>마감예산통제일자</t>
  </si>
  <si>
    <t>EBTON_DAT</t>
  </si>
  <si>
    <t xml:space="preserve">END BUDGET CONTROL DATE </t>
  </si>
  <si>
    <t>마감예산통제순번</t>
  </si>
  <si>
    <t>EBTON_SQN</t>
  </si>
  <si>
    <t xml:space="preserve">END BUDGET CONTROL SEQUENCE </t>
  </si>
  <si>
    <t>교육코드</t>
  </si>
  <si>
    <t>EDC_CD</t>
  </si>
  <si>
    <t xml:space="preserve">EDUCATION CODE </t>
  </si>
  <si>
    <t>교육차수</t>
    <phoneticPr fontId="3" type="noConversion"/>
  </si>
  <si>
    <t>EDC_CHA</t>
  </si>
  <si>
    <t xml:space="preserve">EDUCATION CHA </t>
  </si>
  <si>
    <t>0:기본, 1:1차, 2:2차</t>
    <phoneticPr fontId="3" type="noConversion"/>
  </si>
  <si>
    <t>교육일자</t>
  </si>
  <si>
    <t>EDC_DAT</t>
  </si>
  <si>
    <t xml:space="preserve">EDUCATION DATE </t>
  </si>
  <si>
    <t>교육기수</t>
  </si>
  <si>
    <t>EDC_HI</t>
  </si>
  <si>
    <t xml:space="preserve">EDUCATION - </t>
  </si>
  <si>
    <t>교육점수</t>
  </si>
  <si>
    <t>EDC_JUM</t>
  </si>
  <si>
    <t xml:space="preserve">EDUCATION JUMSI </t>
  </si>
  <si>
    <t>교육명</t>
  </si>
  <si>
    <t>EDC_NM</t>
  </si>
  <si>
    <t xml:space="preserve">EDUCATION NAME </t>
  </si>
  <si>
    <t>교육장소</t>
  </si>
  <si>
    <t>EDC_PLS</t>
  </si>
  <si>
    <t xml:space="preserve">EDUCATION PLACE </t>
  </si>
  <si>
    <t>교육시간</t>
  </si>
  <si>
    <t>EDC_TIM</t>
  </si>
  <si>
    <t xml:space="preserve">EDUCATION TIME </t>
  </si>
  <si>
    <t>교육년도</t>
  </si>
  <si>
    <t>EDC_YY</t>
  </si>
  <si>
    <t xml:space="preserve">EDUCATION YEAR </t>
  </si>
  <si>
    <t>교육과정명</t>
  </si>
  <si>
    <t>EDCCUR_NM</t>
  </si>
  <si>
    <t xml:space="preserve">EDUCATION CURRICULUM NAME </t>
  </si>
  <si>
    <t>교육담당자</t>
  </si>
  <si>
    <t>EDCDDJ_NM</t>
  </si>
  <si>
    <t xml:space="preserve">EDUCATION DAMDANGJA NAME </t>
  </si>
  <si>
    <t>교육종료일자</t>
  </si>
  <si>
    <t>EDCEND_DAT</t>
  </si>
  <si>
    <t xml:space="preserve">EDUCATION END DATE </t>
  </si>
  <si>
    <t>교육기관</t>
  </si>
  <si>
    <t>EDCO_CD</t>
  </si>
  <si>
    <t xml:space="preserve">EDUCATION ORGANIZATION CODE </t>
  </si>
  <si>
    <t>교육등록일자</t>
  </si>
  <si>
    <t>EDCREG_DAT</t>
  </si>
  <si>
    <t>교육시작일자</t>
  </si>
  <si>
    <t>EDCSTR_DAT</t>
  </si>
  <si>
    <t xml:space="preserve">EDUCATION START DATE </t>
    <phoneticPr fontId="3" type="noConversion"/>
  </si>
  <si>
    <t>교육비공제</t>
  </si>
  <si>
    <t>EDURMV_AMT</t>
  </si>
  <si>
    <t xml:space="preserve">EDUCATION REMOVED AMOUNT </t>
  </si>
  <si>
    <t>교육비공제금액</t>
    <phoneticPr fontId="3" type="noConversion"/>
  </si>
  <si>
    <t>학원비지로납부액</t>
  </si>
  <si>
    <t>EDUUSE_AMT</t>
  </si>
  <si>
    <t xml:space="preserve">EDUCATION USE AMOUNT </t>
  </si>
  <si>
    <t>지로납부금액</t>
    <phoneticPr fontId="3" type="noConversion"/>
  </si>
  <si>
    <t>EDUUSE_AMT1</t>
  </si>
  <si>
    <t>지로납부금액(국세청자료)</t>
  </si>
  <si>
    <t>집행금액</t>
  </si>
  <si>
    <t>EFR_AMT</t>
  </si>
  <si>
    <t xml:space="preserve">ENFORCEMENT AMOUNT </t>
    <phoneticPr fontId="3" type="noConversion"/>
  </si>
  <si>
    <t>집행예산금액</t>
  </si>
  <si>
    <t>EFRBUD_AMT</t>
  </si>
  <si>
    <t xml:space="preserve">ENFORCEMENT BUDGET AMOUNT </t>
  </si>
  <si>
    <t>이메일</t>
  </si>
  <si>
    <t>EMAIL</t>
  </si>
  <si>
    <t xml:space="preserve">EMERGENCY TELEPHONE NUMBER </t>
  </si>
  <si>
    <t xml:space="preserve">EMPLOYEE DATE </t>
  </si>
  <si>
    <t>고용보험</t>
  </si>
  <si>
    <t>EMP_ISU</t>
  </si>
  <si>
    <t xml:space="preserve">EMPLOYEE INSURANCE </t>
  </si>
  <si>
    <t>고용보험 이수 내용</t>
    <phoneticPr fontId="3" type="noConversion"/>
  </si>
  <si>
    <t>EMPEND_DAT</t>
    <phoneticPr fontId="3" type="noConversion"/>
  </si>
  <si>
    <t xml:space="preserve">EMPLOYEE END DATE </t>
  </si>
  <si>
    <t>임용끝일자</t>
    <phoneticPr fontId="3" type="noConversion"/>
  </si>
  <si>
    <t>EMPISU_AMT</t>
  </si>
  <si>
    <t xml:space="preserve">EMPLOYEE INSURRANCE AMOUNT </t>
  </si>
  <si>
    <t>고용보험금액</t>
    <phoneticPr fontId="3" type="noConversion"/>
  </si>
  <si>
    <t>고용보험료사업부부담금</t>
  </si>
  <si>
    <t>EMPISU_COM</t>
  </si>
  <si>
    <t xml:space="preserve">EMPLOYEE INSURRANCE COMPANY </t>
  </si>
  <si>
    <t>고용보험료개인부담금</t>
  </si>
  <si>
    <t>EMPISU_PER</t>
  </si>
  <si>
    <t xml:space="preserve">EMPLOYEE INSURRANCE PERSON </t>
    <phoneticPr fontId="3" type="noConversion"/>
  </si>
  <si>
    <t>EMPSTR_DAT</t>
    <phoneticPr fontId="3" type="noConversion"/>
  </si>
  <si>
    <t xml:space="preserve">EMPLOYEE START DATE </t>
  </si>
  <si>
    <t xml:space="preserve">END DATE </t>
  </si>
  <si>
    <t>종료월일</t>
  </si>
  <si>
    <t>END_MD</t>
  </si>
  <si>
    <t xml:space="preserve">END MONTH DATE </t>
  </si>
  <si>
    <t>공과코드</t>
  </si>
  <si>
    <t xml:space="preserve">ENGINEERING CODE </t>
  </si>
  <si>
    <t>공과명</t>
  </si>
  <si>
    <t xml:space="preserve">ENGINEERING NAME </t>
  </si>
  <si>
    <t>입대일자</t>
  </si>
  <si>
    <t>ENL_DAT</t>
  </si>
  <si>
    <t xml:space="preserve">ENROLLMEN DATE </t>
  </si>
  <si>
    <t xml:space="preserve">ENGLISH NAME  </t>
    <phoneticPr fontId="3" type="noConversion"/>
  </si>
  <si>
    <t>입학금</t>
  </si>
  <si>
    <t>ENT_AMT</t>
  </si>
  <si>
    <t xml:space="preserve">ENTRANCE AMOUNT </t>
  </si>
  <si>
    <t>가입일자</t>
  </si>
  <si>
    <t>ENT_DAT</t>
  </si>
  <si>
    <t xml:space="preserve">ENTRANCE DATE </t>
  </si>
  <si>
    <t>가입인원</t>
  </si>
  <si>
    <t>ENT_NMP</t>
  </si>
  <si>
    <t xml:space="preserve">ENTRANCE NUMBER OF PERSONS </t>
  </si>
  <si>
    <t>입학년월</t>
  </si>
  <si>
    <t>ENT_YYMM</t>
  </si>
  <si>
    <t xml:space="preserve">ENTRANCE YEAR MONTH </t>
  </si>
  <si>
    <t>기말잔액</t>
  </si>
  <si>
    <t>EOTJAN_AMT</t>
  </si>
  <si>
    <t xml:space="preserve">END OF TERM JANAK AMOUNT </t>
  </si>
  <si>
    <t>장비구분</t>
  </si>
  <si>
    <t>EQU_GB</t>
  </si>
  <si>
    <t xml:space="preserve">EQUIPMENT GUBUN </t>
  </si>
  <si>
    <t>장비일련번호</t>
  </si>
  <si>
    <t>EQU_SQN</t>
  </si>
  <si>
    <t xml:space="preserve">EQUIPMENT SEQUENCE </t>
  </si>
  <si>
    <t>장비기준등록일</t>
  </si>
  <si>
    <t>EQUBSL_DAT</t>
  </si>
  <si>
    <t xml:space="preserve">EQUIPMENT BASE LINE DATE </t>
  </si>
  <si>
    <t>장비요구기준</t>
  </si>
  <si>
    <t>EQUREQ_BSL</t>
  </si>
  <si>
    <t xml:space="preserve">EQUIPMENT REQUEST BASIS LEVEL </t>
  </si>
  <si>
    <t>EQUUSG_GB</t>
  </si>
  <si>
    <t xml:space="preserve">EQUIPMENT USAGE GUBUN </t>
  </si>
  <si>
    <t xml:space="preserve">ERASE YES NO </t>
  </si>
  <si>
    <t>ERN_AMT</t>
  </si>
  <si>
    <t xml:space="preserve">EARNINGS AMOUNT </t>
  </si>
  <si>
    <t>근로소득세</t>
    <phoneticPr fontId="3" type="noConversion"/>
  </si>
  <si>
    <t>ERN_ASX</t>
    <phoneticPr fontId="3" type="noConversion"/>
  </si>
  <si>
    <t xml:space="preserve">EARNINGS AGRICLUTUREAL SPECIAL TAX </t>
  </si>
  <si>
    <t>연말 또는 중도정산시 근로소득 간이세액특별세</t>
    <phoneticPr fontId="3" type="noConversion"/>
  </si>
  <si>
    <t>근로소득인원</t>
    <phoneticPr fontId="3" type="noConversion"/>
  </si>
  <si>
    <t>ERN_CNT</t>
    <phoneticPr fontId="3" type="noConversion"/>
  </si>
  <si>
    <t xml:space="preserve">EARNINGS COUNT </t>
  </si>
  <si>
    <t>연말 또는 중도정산시 근로소득 간이세액인원</t>
    <phoneticPr fontId="3" type="noConversion"/>
  </si>
  <si>
    <t>근로소득가산세</t>
    <phoneticPr fontId="3" type="noConversion"/>
  </si>
  <si>
    <t>ERN_GSS</t>
    <phoneticPr fontId="3" type="noConversion"/>
  </si>
  <si>
    <t xml:space="preserve">EARNING GASANSE </t>
  </si>
  <si>
    <t>연말 또는 중도정산시 근로소득 간이세액가산세</t>
    <phoneticPr fontId="3" type="noConversion"/>
  </si>
  <si>
    <t>근로소득주민세</t>
    <phoneticPr fontId="3" type="noConversion"/>
  </si>
  <si>
    <t>ERN_REX</t>
    <phoneticPr fontId="3" type="noConversion"/>
  </si>
  <si>
    <t xml:space="preserve">EARNINGS RESIDENTS EARNING TAX </t>
  </si>
  <si>
    <t>연말 또는 중도정산시 근로소득 간이세액주민세</t>
    <phoneticPr fontId="3" type="noConversion"/>
  </si>
  <si>
    <t>당해년도징수세액(소득세)</t>
  </si>
  <si>
    <t>ERN_TAX</t>
  </si>
  <si>
    <t xml:space="preserve">EARNINGS TAX </t>
  </si>
  <si>
    <t>연말 또는 중도정산시 당해년도징수세액(소득세)</t>
    <phoneticPr fontId="3" type="noConversion"/>
  </si>
  <si>
    <t>소득세</t>
    <phoneticPr fontId="3" type="noConversion"/>
  </si>
  <si>
    <t>연말 또는 중도정산시 소득세(추징;환급)</t>
    <phoneticPr fontId="3" type="noConversion"/>
  </si>
  <si>
    <t xml:space="preserve">EARNINGS REMOVE AMOUNT </t>
    <phoneticPr fontId="3" type="noConversion"/>
  </si>
  <si>
    <t>연말 또는 중도정산시 소득공제액</t>
    <phoneticPr fontId="3" type="noConversion"/>
  </si>
  <si>
    <t xml:space="preserve">EARNINGS TOTAL AMOUNT </t>
  </si>
  <si>
    <t>연말 또는 중도정산시 소득합계</t>
    <phoneticPr fontId="3" type="noConversion"/>
  </si>
  <si>
    <t>과오송금</t>
  </si>
  <si>
    <t>ERR_REM</t>
  </si>
  <si>
    <t xml:space="preserve">ERROR REMITTANCE </t>
  </si>
  <si>
    <t>숙박료금액</t>
  </si>
  <si>
    <t>ESL_AMT</t>
  </si>
  <si>
    <t xml:space="preserve">ESL AMOUNT </t>
    <phoneticPr fontId="3" type="noConversion"/>
  </si>
  <si>
    <t>숙박야수</t>
  </si>
  <si>
    <t>ESLNIG_CNT</t>
  </si>
  <si>
    <t xml:space="preserve">ESL NIGHT COUNT </t>
    <phoneticPr fontId="3" type="noConversion"/>
  </si>
  <si>
    <t>논문명</t>
  </si>
  <si>
    <t>ESSAY_NM</t>
  </si>
  <si>
    <t xml:space="preserve">ESSAY NAME </t>
  </si>
  <si>
    <t>설정번호</t>
  </si>
  <si>
    <t>EST_NO</t>
  </si>
  <si>
    <t xml:space="preserve">ESTABLISHMENT NUMBER </t>
  </si>
  <si>
    <t>기타소득총지급액</t>
  </si>
  <si>
    <t>ETC_AMT</t>
  </si>
  <si>
    <t xml:space="preserve">ETC AMOUNT </t>
  </si>
  <si>
    <t>기타소득인원</t>
  </si>
  <si>
    <t>ETC_CNT</t>
  </si>
  <si>
    <t xml:space="preserve">ETC COUNT </t>
  </si>
  <si>
    <t>기타소득주민세</t>
  </si>
  <si>
    <t>ETC_REX</t>
  </si>
  <si>
    <t xml:space="preserve">ETC RESIDENTS EARNING TAX </t>
  </si>
  <si>
    <t>기타소득소득세</t>
  </si>
  <si>
    <t>ETC_TAX</t>
  </si>
  <si>
    <t xml:space="preserve">ETC TAX </t>
  </si>
  <si>
    <t>기타비과세</t>
  </si>
  <si>
    <t>ETC_TSS</t>
  </si>
  <si>
    <t xml:space="preserve">ETC TAX EXEMPTION </t>
  </si>
  <si>
    <t>기타사항(내역)</t>
  </si>
  <si>
    <t>ETC_TXT</t>
  </si>
  <si>
    <t xml:space="preserve">ETC TEXT </t>
  </si>
  <si>
    <t>기타취득</t>
  </si>
  <si>
    <t>ETCAQU_AMT</t>
  </si>
  <si>
    <t xml:space="preserve">ETC ACQUIT AMOUNT </t>
  </si>
  <si>
    <t>기타소득1</t>
  </si>
  <si>
    <t>ETCERN_AMT1</t>
  </si>
  <si>
    <t xml:space="preserve">ETC EARNNIG AMOUNT </t>
  </si>
  <si>
    <t>기타소득2</t>
  </si>
  <si>
    <t>ETCERN_AMT2</t>
  </si>
  <si>
    <t>기타소득3</t>
  </si>
  <si>
    <t>ETCERN_AMT3</t>
  </si>
  <si>
    <t>기타비과세합</t>
  </si>
  <si>
    <t>ETCSUM_TSS</t>
  </si>
  <si>
    <t>ETC SUM TAXEXEMPT</t>
  </si>
  <si>
    <t>EVI_GB</t>
  </si>
  <si>
    <t xml:space="preserve">EVIDENCE GUBUN </t>
  </si>
  <si>
    <t>증빙서번호</t>
  </si>
  <si>
    <t>EVI_NO</t>
  </si>
  <si>
    <t xml:space="preserve">EVIDENCE NUMBER </t>
  </si>
  <si>
    <t>증빙순번</t>
  </si>
  <si>
    <t>EVI_SQN</t>
  </si>
  <si>
    <t xml:space="preserve">EVIDENCE SEQUENCE </t>
  </si>
  <si>
    <t>평가액</t>
  </si>
  <si>
    <t>EVL_AMT</t>
  </si>
  <si>
    <t xml:space="preserve">EVALUATION AMOUNT </t>
  </si>
  <si>
    <t>현재 시점에서 재 평가금액</t>
    <phoneticPr fontId="3" type="noConversion"/>
  </si>
  <si>
    <t>평가분(M2)</t>
  </si>
  <si>
    <t>EVL_AMT1</t>
  </si>
  <si>
    <t>현재 시점에서 재 평가금액( M2 로 했을 경우)</t>
    <phoneticPr fontId="3" type="noConversion"/>
  </si>
  <si>
    <t>평가분(평)</t>
  </si>
  <si>
    <t>EVL_AMT2</t>
  </si>
  <si>
    <t>현재 시점에서 재 평가금액 (평 으로 했을 경우)</t>
    <phoneticPr fontId="3" type="noConversion"/>
  </si>
  <si>
    <t>평가년도</t>
  </si>
  <si>
    <t>EVL_YY</t>
  </si>
  <si>
    <t xml:space="preserve">EVALUATION YEAR </t>
  </si>
  <si>
    <t>자산의 재평가 년도</t>
    <phoneticPr fontId="3" type="noConversion"/>
  </si>
  <si>
    <t>마감일자</t>
  </si>
  <si>
    <t>EWK_DAT</t>
  </si>
  <si>
    <t xml:space="preserve">EVALUATION DATE </t>
  </si>
  <si>
    <t>마감시간</t>
  </si>
  <si>
    <t>EWK_TIM</t>
  </si>
  <si>
    <t xml:space="preserve">END WORK TIME </t>
  </si>
  <si>
    <t>자료마감여부</t>
  </si>
  <si>
    <t>EWK_YN</t>
  </si>
  <si>
    <t xml:space="preserve">END WORK YES NO </t>
  </si>
  <si>
    <t>절감제외금액</t>
  </si>
  <si>
    <t>EX_JULGAM_AMT</t>
  </si>
  <si>
    <t>EXCLUSION JULGAM AMOUNT</t>
  </si>
  <si>
    <t>면제사유</t>
  </si>
  <si>
    <t>EXO_RMK</t>
  </si>
  <si>
    <t xml:space="preserve">EXEMPTION REMARK </t>
  </si>
  <si>
    <t>면제종료일</t>
  </si>
  <si>
    <t>EXOEND_DAT</t>
  </si>
  <si>
    <t xml:space="preserve">EXEMPTION END DATE </t>
  </si>
  <si>
    <t>면제시작일</t>
  </si>
  <si>
    <t>EXOSTR_DAT</t>
  </si>
  <si>
    <t xml:space="preserve">EXEMPTION START DATE </t>
  </si>
  <si>
    <t xml:space="preserve">EXTENDED TIME </t>
  </si>
  <si>
    <t>125%적용시간</t>
  </si>
  <si>
    <t>EXT_TIM1</t>
  </si>
  <si>
    <t>150%적용시간</t>
  </si>
  <si>
    <t>EXT_TIM2</t>
  </si>
  <si>
    <t>당월전용금액</t>
  </si>
  <si>
    <t>EXU_AMT</t>
  </si>
  <si>
    <t xml:space="preserve">EXCLUSIVE AMOUNT </t>
  </si>
  <si>
    <t>전용일자</t>
  </si>
  <si>
    <t>EXU_DAT</t>
  </si>
  <si>
    <t xml:space="preserve">EXCLUSIVE DATE </t>
  </si>
  <si>
    <t>예산 전용일자</t>
    <phoneticPr fontId="3" type="noConversion"/>
  </si>
  <si>
    <t>전용순번</t>
  </si>
  <si>
    <t>EXU_SQN</t>
  </si>
  <si>
    <t xml:space="preserve">EXCLUSIVE SEQUENCE </t>
  </si>
  <si>
    <t>예산 전용시 일령번호</t>
    <phoneticPr fontId="3" type="noConversion"/>
  </si>
  <si>
    <t>전용회차</t>
  </si>
  <si>
    <t>예산 전용 횟수</t>
    <phoneticPr fontId="3" type="noConversion"/>
  </si>
  <si>
    <t>전용내역</t>
  </si>
  <si>
    <t>EXU_TXT</t>
  </si>
  <si>
    <t xml:space="preserve">EXCLUSIVE TEXT </t>
  </si>
  <si>
    <t>예산 전용 내용을 상세히 관리</t>
    <phoneticPr fontId="3" type="noConversion"/>
  </si>
  <si>
    <t>전용금액누계</t>
  </si>
  <si>
    <t>EXUTOT_AMT</t>
  </si>
  <si>
    <t xml:space="preserve">EXCLUSIVE TOTAL AMOUNT </t>
  </si>
  <si>
    <t>예산 전용 금액 누계</t>
    <phoneticPr fontId="3" type="noConversion"/>
  </si>
  <si>
    <t>시력(좌)</t>
  </si>
  <si>
    <t>EYE_LEF</t>
  </si>
  <si>
    <t xml:space="preserve">EYE LEFT </t>
  </si>
  <si>
    <t>시력(우)</t>
  </si>
  <si>
    <t>EYE_RIG</t>
  </si>
  <si>
    <t xml:space="preserve">EYE RIGHT </t>
  </si>
  <si>
    <t>자녀생년월일</t>
  </si>
  <si>
    <t>F_BDY</t>
  </si>
  <si>
    <t xml:space="preserve">FAMILY BIRTHDAY </t>
  </si>
  <si>
    <t>자녀입학년월</t>
  </si>
  <si>
    <t>F_ENT_DAT</t>
  </si>
  <si>
    <t>FAMILY ENTRANCE DATE</t>
  </si>
  <si>
    <t>자녀졸업년월</t>
  </si>
  <si>
    <t>F_GRA_DAT</t>
  </si>
  <si>
    <t>FAMILY GRADUATION DATE</t>
  </si>
  <si>
    <t>자녀학년</t>
  </si>
  <si>
    <t>F_GRADE</t>
  </si>
  <si>
    <t xml:space="preserve">FAMILY GRADE </t>
  </si>
  <si>
    <t>자녀성명</t>
  </si>
  <si>
    <t>F_NM</t>
  </si>
  <si>
    <t xml:space="preserve">FAMILY NAME </t>
  </si>
  <si>
    <t>자녀학교명</t>
  </si>
  <si>
    <t>F_SCL</t>
  </si>
  <si>
    <t xml:space="preserve">FAMILY SCHOOL </t>
  </si>
  <si>
    <t>자녀학기</t>
  </si>
  <si>
    <t>F_TERM</t>
  </si>
  <si>
    <t xml:space="preserve">FAMILY TERM </t>
  </si>
  <si>
    <t>질의구분</t>
  </si>
  <si>
    <t>FAQDSI</t>
  </si>
  <si>
    <t>FREQUENTLY ASKED QUESTIONS DIVISION</t>
  </si>
  <si>
    <t>질문과 답변시 분류</t>
    <phoneticPr fontId="3" type="noConversion"/>
  </si>
  <si>
    <t>팩스번호</t>
  </si>
  <si>
    <t>FAX_NO</t>
  </si>
  <si>
    <t xml:space="preserve">FACSIMILE NUMBER </t>
  </si>
  <si>
    <t>FCO_AMT</t>
  </si>
  <si>
    <t xml:space="preserve">FOOD COST AMOUNT </t>
  </si>
  <si>
    <t>기성회비</t>
  </si>
  <si>
    <t>FEE_AMT</t>
  </si>
  <si>
    <t xml:space="preserve">FEE AMOUNT </t>
  </si>
  <si>
    <t>무상대부기간</t>
  </si>
  <si>
    <t>FEN_TRM</t>
  </si>
  <si>
    <t xml:space="preserve">FREE LOAN TERM </t>
  </si>
  <si>
    <t>무상대부자산여부</t>
  </si>
  <si>
    <t>FENAST_YN</t>
  </si>
  <si>
    <t xml:space="preserve">FREE LOAN ASSET YES NO </t>
  </si>
  <si>
    <t>상호(법인명)</t>
  </si>
  <si>
    <t>FIM_NM</t>
  </si>
  <si>
    <t xml:space="preserve">FIRM NAME </t>
  </si>
  <si>
    <t>상호(약명)</t>
  </si>
  <si>
    <t>FIMS_NM</t>
  </si>
  <si>
    <t xml:space="preserve">FIRM SMALL NAME </t>
  </si>
  <si>
    <t>층구분</t>
  </si>
  <si>
    <t>FLO_GB</t>
  </si>
  <si>
    <t xml:space="preserve">FLOOR GUBUN </t>
  </si>
  <si>
    <t xml:space="preserve">FAMILY COUNT </t>
  </si>
  <si>
    <t xml:space="preserve">FAMILY YES NO </t>
  </si>
  <si>
    <t>당월자금집행금액</t>
  </si>
  <si>
    <t>FNDEFR_AMT</t>
  </si>
  <si>
    <t xml:space="preserve">FUND ENFORCE AMOUNT </t>
  </si>
  <si>
    <t>자금집행금액누계</t>
  </si>
  <si>
    <t>FNDEFRTOT_AMT</t>
  </si>
  <si>
    <t xml:space="preserve">FUND ENFORCE TOTAL AMOUNT </t>
  </si>
  <si>
    <t>자금한도액</t>
  </si>
  <si>
    <t>FNDLMT_AMT</t>
  </si>
  <si>
    <t xml:space="preserve">FUND LIMIT AMOUNT </t>
  </si>
  <si>
    <t>자금보유액</t>
  </si>
  <si>
    <t>FNDRTT_AMT</t>
  </si>
  <si>
    <t xml:space="preserve">FUND RETENTION AMOUNT </t>
  </si>
  <si>
    <t xml:space="preserve">FIRST OF ALL RANK </t>
  </si>
  <si>
    <t>외국납부세액공제</t>
  </si>
  <si>
    <t>FOCTAX_RMV</t>
  </si>
  <si>
    <t xml:space="preserve">FOREIGN COUNTRY TAX REMOVE </t>
  </si>
  <si>
    <t>외국어명</t>
  </si>
  <si>
    <t>FON_NM</t>
  </si>
  <si>
    <t xml:space="preserve">FOREIGN NAME </t>
  </si>
  <si>
    <t xml:space="preserve">FAMILY ORIGIN  </t>
  </si>
  <si>
    <t>한 집안의 시조가 난 땅</t>
    <phoneticPr fontId="3" type="noConversion"/>
  </si>
  <si>
    <t>가는편출발구간코드</t>
  </si>
  <si>
    <t>FR_CD</t>
    <phoneticPr fontId="3" type="noConversion"/>
  </si>
  <si>
    <t xml:space="preserve">FROM CODE </t>
  </si>
  <si>
    <t>FR_DAT</t>
  </si>
  <si>
    <t xml:space="preserve">FROM DATE </t>
  </si>
  <si>
    <t>가는편출발구간명</t>
  </si>
  <si>
    <t>FR_NM</t>
    <phoneticPr fontId="3" type="noConversion"/>
  </si>
  <si>
    <t xml:space="preserve">FROM NAME </t>
  </si>
  <si>
    <t>가는편차종코드</t>
  </si>
  <si>
    <t>FR_TRAIN</t>
  </si>
  <si>
    <t xml:space="preserve">FROM TRAIN </t>
  </si>
  <si>
    <t>가는편차종명</t>
  </si>
  <si>
    <t>FR_TRAIN_NM</t>
  </si>
  <si>
    <t>FROM TRAIN NAME</t>
  </si>
  <si>
    <t>해지일자</t>
  </si>
  <si>
    <t>FRE_DAT</t>
  </si>
  <si>
    <t xml:space="preserve">FREE DATE </t>
  </si>
  <si>
    <t>형식승인번호</t>
  </si>
  <si>
    <t>FRMAPP_NO</t>
  </si>
  <si>
    <t xml:space="preserve">FORM APPROVAL NUMBER </t>
  </si>
  <si>
    <t>이수증번호</t>
  </si>
  <si>
    <t>FSH_NO</t>
  </si>
  <si>
    <t xml:space="preserve">FINISH NUMBER </t>
  </si>
  <si>
    <t>이수이자</t>
  </si>
  <si>
    <t>FSHINT_AMT</t>
  </si>
  <si>
    <t xml:space="preserve">FINISH INTEREST AMOUNT </t>
  </si>
  <si>
    <t>가계지원비계산액(3개월)</t>
  </si>
  <si>
    <t>FSUCOM_AMT</t>
  </si>
  <si>
    <t xml:space="preserve">FAMILY SUPPORT COMPUTATION AMOUNT </t>
  </si>
  <si>
    <t>가계지원비합계</t>
  </si>
  <si>
    <t>FSUTOT_AMT</t>
  </si>
  <si>
    <t xml:space="preserve">FAMILY SUPPORT TOTAL AMOUNT </t>
  </si>
  <si>
    <t>장례건수</t>
  </si>
  <si>
    <t>FUNERAL_CNT</t>
    <phoneticPr fontId="3" type="noConversion"/>
  </si>
  <si>
    <t xml:space="preserve">FUNERAL COUNT </t>
  </si>
  <si>
    <t>과세대상금액</t>
  </si>
  <si>
    <t>G_AMT</t>
  </si>
  <si>
    <t xml:space="preserve">GWASE AMOUNT </t>
  </si>
  <si>
    <t>G_NM</t>
  </si>
  <si>
    <t xml:space="preserve">GIGWAN NAME </t>
  </si>
  <si>
    <t>고유번호</t>
    <phoneticPr fontId="3" type="noConversion"/>
  </si>
  <si>
    <t>G_NUM</t>
  </si>
  <si>
    <t xml:space="preserve">GOYU NUMBER </t>
  </si>
  <si>
    <t>GUBUN</t>
  </si>
  <si>
    <t>구분코드</t>
  </si>
  <si>
    <t>GB_CD</t>
  </si>
  <si>
    <t xml:space="preserve">GUBUN CODE </t>
  </si>
  <si>
    <t>구분명</t>
  </si>
  <si>
    <t>GB_NM</t>
  </si>
  <si>
    <t xml:space="preserve">GUBUN NAME </t>
  </si>
  <si>
    <t>구분의순번</t>
  </si>
  <si>
    <t>GB_SQN</t>
  </si>
  <si>
    <t xml:space="preserve">GUBUN SEQUENCE </t>
  </si>
  <si>
    <t>GB_TXT</t>
  </si>
  <si>
    <t xml:space="preserve">GUBUN TEXT </t>
  </si>
  <si>
    <t>거치년수</t>
  </si>
  <si>
    <t>GCHYY_CNT</t>
  </si>
  <si>
    <t xml:space="preserve">GUCHI YEAR COUNT </t>
  </si>
  <si>
    <t xml:space="preserve">GEJWA NUMBER </t>
    <phoneticPr fontId="3" type="noConversion"/>
  </si>
  <si>
    <t>계좌번호입력여부</t>
  </si>
  <si>
    <t>GEJ_YN</t>
  </si>
  <si>
    <t xml:space="preserve">GEJWA YES NO </t>
  </si>
  <si>
    <t>과목간대체</t>
  </si>
  <si>
    <t>GENDCH_AMT</t>
  </si>
  <si>
    <t xml:space="preserve">GENUS DAECHE AMOUNT </t>
  </si>
  <si>
    <t>기교부금액</t>
  </si>
  <si>
    <t>GGTD_AMT</t>
  </si>
  <si>
    <t xml:space="preserve">GI GRANTED AMOUNT </t>
  </si>
  <si>
    <t>GI</t>
  </si>
  <si>
    <t>회계결산 기</t>
    <phoneticPr fontId="3" type="noConversion"/>
  </si>
  <si>
    <t>GUBJI</t>
  </si>
  <si>
    <t>기부금액</t>
  </si>
  <si>
    <t>GIBU_AMT</t>
  </si>
  <si>
    <t xml:space="preserve">GIBU AMOUNT </t>
  </si>
  <si>
    <t>GIBU_CD</t>
  </si>
  <si>
    <t xml:space="preserve">GIBU CODE </t>
  </si>
  <si>
    <t>기부일자</t>
  </si>
  <si>
    <t>GIBU_DAT</t>
  </si>
  <si>
    <t xml:space="preserve">GIBU DATE </t>
  </si>
  <si>
    <t>GIBU_DESC</t>
  </si>
  <si>
    <t xml:space="preserve">GIBU DESCRIPTION </t>
  </si>
  <si>
    <t>기부종류</t>
    <phoneticPr fontId="3" type="noConversion"/>
  </si>
  <si>
    <t>GIBU_KND</t>
  </si>
  <si>
    <t xml:space="preserve">GIBU KIND </t>
  </si>
  <si>
    <t>1:성금,2:기부금공제,3:기타</t>
    <phoneticPr fontId="3" type="noConversion"/>
  </si>
  <si>
    <t>지급율</t>
    <phoneticPr fontId="3" type="noConversion"/>
  </si>
  <si>
    <t>GIBU_RAT</t>
  </si>
  <si>
    <t xml:space="preserve">GIBU RATE </t>
  </si>
  <si>
    <t>여러기부처로기부시지급율</t>
    <phoneticPr fontId="3" type="noConversion"/>
  </si>
  <si>
    <t>기배정액</t>
  </si>
  <si>
    <t>GIEBAE_AMT</t>
  </si>
  <si>
    <t xml:space="preserve">GIE BAEJUNG AMOUNT </t>
  </si>
  <si>
    <t>기예산액</t>
  </si>
  <si>
    <t>GIEBUD_AMT</t>
  </si>
  <si>
    <t xml:space="preserve">GIE BUDGET AMOUNT </t>
  </si>
  <si>
    <t>GIJUN_AMT</t>
  </si>
  <si>
    <t xml:space="preserve">GIJUN AMOUNT </t>
  </si>
  <si>
    <t>보장성보험공제</t>
  </si>
  <si>
    <t>GIRMV_AMT</t>
  </si>
  <si>
    <t xml:space="preserve">GUARANTEE INSURANCE REMOVE AMOUNT </t>
  </si>
  <si>
    <t>인도조건</t>
  </si>
  <si>
    <t>GIV_COD</t>
  </si>
  <si>
    <t xml:space="preserve">GIVE CONDITION </t>
  </si>
  <si>
    <t xml:space="preserve">JIKGUP JIKWI GUBUN </t>
  </si>
  <si>
    <t>내외자구분</t>
  </si>
  <si>
    <t>GL_GB</t>
  </si>
  <si>
    <t xml:space="preserve">GL GUBUN </t>
  </si>
  <si>
    <t>안경여부</t>
  </si>
  <si>
    <t>GLS_GB</t>
  </si>
  <si>
    <t xml:space="preserve">GLASS GUBUN </t>
  </si>
  <si>
    <t>GMNG_AMT</t>
  </si>
  <si>
    <t xml:space="preserve">GENERAL MANAGEMENT AMOUNT </t>
  </si>
  <si>
    <t>GOD_NM</t>
  </si>
  <si>
    <t xml:space="preserve">GOODS NAME </t>
  </si>
  <si>
    <t>품번</t>
  </si>
  <si>
    <t>GOD_NO</t>
  </si>
  <si>
    <t xml:space="preserve">GOODS NUMBER </t>
  </si>
  <si>
    <t>공고번호</t>
  </si>
  <si>
    <t>GONG_NO</t>
  </si>
  <si>
    <t xml:space="preserve">GONGGO NUMBER </t>
  </si>
  <si>
    <t>재경원고시이자율</t>
  </si>
  <si>
    <t>GOSI_RAT</t>
  </si>
  <si>
    <t xml:space="preserve">GOSI RATE </t>
  </si>
  <si>
    <t>정부물품분류번호</t>
  </si>
  <si>
    <t>GOV_NO</t>
  </si>
  <si>
    <t xml:space="preserve">GOVERNMENT NUMBER </t>
  </si>
  <si>
    <t>기부정치자금</t>
  </si>
  <si>
    <t>GOVCTB_AMT</t>
  </si>
  <si>
    <t xml:space="preserve">GOVERNMENT CONTRIBUTION AMOUNT </t>
  </si>
  <si>
    <t>GOVCTB_RMV</t>
  </si>
  <si>
    <t xml:space="preserve">GOVERNMENT CONTRIBUTION REMOVE </t>
  </si>
  <si>
    <t>직원외보증금액</t>
  </si>
  <si>
    <t>GRA_AMT</t>
  </si>
  <si>
    <t xml:space="preserve">GURRANTEE AMOUNT </t>
    <phoneticPr fontId="3" type="noConversion"/>
  </si>
  <si>
    <t>직원외보증인보증일자</t>
  </si>
  <si>
    <t>GRA_DAT</t>
  </si>
  <si>
    <t xml:space="preserve">GURRANTEE DATE </t>
  </si>
  <si>
    <t>공단보증인</t>
  </si>
  <si>
    <t>GRA_NM</t>
  </si>
  <si>
    <t xml:space="preserve">GURRANTEE NAME </t>
  </si>
  <si>
    <t>증권번호</t>
  </si>
  <si>
    <t>GRA_NUM</t>
  </si>
  <si>
    <t xml:space="preserve">GURRANTEE NUMBER </t>
  </si>
  <si>
    <t>증권보증금액</t>
  </si>
  <si>
    <t>GRA_NUM_AMT</t>
  </si>
  <si>
    <t>GURRANTEE NUMBER AMOUNT</t>
  </si>
  <si>
    <t>증권발급일</t>
  </si>
  <si>
    <t>GRA_NUM_DAT</t>
  </si>
  <si>
    <t>GURRANTEE NUMBER DATE</t>
  </si>
  <si>
    <t xml:space="preserve">GRADE CODE </t>
  </si>
  <si>
    <t xml:space="preserve">GRADE NAME </t>
  </si>
  <si>
    <t xml:space="preserve">GRADE OFFICIAL ORDER DATE </t>
  </si>
  <si>
    <t>군급명(영)</t>
  </si>
  <si>
    <t>GRE_ENM</t>
  </si>
  <si>
    <t xml:space="preserve">GRADE ENGLISH NAME </t>
  </si>
  <si>
    <t>군급명(한)</t>
  </si>
  <si>
    <t>GRE_KNM</t>
  </si>
  <si>
    <t xml:space="preserve">GRADE KOREAN NAME </t>
  </si>
  <si>
    <t>급명</t>
  </si>
  <si>
    <t>GRE_NM</t>
  </si>
  <si>
    <t>군급해설</t>
  </si>
  <si>
    <t>GRE_RMK</t>
  </si>
  <si>
    <t xml:space="preserve">GRADE REMARK </t>
  </si>
  <si>
    <t>보증금내역구분</t>
  </si>
  <si>
    <t>GRNTXT_GB</t>
  </si>
  <si>
    <t xml:space="preserve">GURRANTEE TEXT GUBUN </t>
  </si>
  <si>
    <t>군급코드</t>
  </si>
  <si>
    <t>GRP_CD</t>
  </si>
  <si>
    <t xml:space="preserve">GROUP CODE </t>
  </si>
  <si>
    <t>군별구분(HM34)</t>
  </si>
  <si>
    <t>GRP_GB</t>
  </si>
  <si>
    <t xml:space="preserve">GROUP GUBUN </t>
  </si>
  <si>
    <t>군명</t>
  </si>
  <si>
    <t>GRP_NM</t>
  </si>
  <si>
    <t xml:space="preserve">GROUP NAME </t>
  </si>
  <si>
    <t>군별명</t>
  </si>
  <si>
    <t>졸업년월</t>
  </si>
  <si>
    <t>GRT_YYMM</t>
  </si>
  <si>
    <t xml:space="preserve">GRADUATE YEAR MONTH </t>
  </si>
  <si>
    <t>졸업예정년월</t>
  </si>
  <si>
    <t>GRTP_YYMM</t>
  </si>
  <si>
    <t xml:space="preserve">GRADUATE PLAN YEAR MONTH </t>
  </si>
  <si>
    <t>교부금액</t>
  </si>
  <si>
    <t>GTD_AMT</t>
  </si>
  <si>
    <t xml:space="preserve">GRANTED AMOUNT </t>
  </si>
  <si>
    <t>교부일자</t>
  </si>
  <si>
    <t>GTD_DAT</t>
  </si>
  <si>
    <t xml:space="preserve">GRANTED DATE </t>
  </si>
  <si>
    <t>교부순번</t>
  </si>
  <si>
    <t>GTD_SQN</t>
  </si>
  <si>
    <t xml:space="preserve">GRANTED SEQUENCE </t>
  </si>
  <si>
    <t>교부잔액</t>
  </si>
  <si>
    <t>GTDJAN_AMT</t>
  </si>
  <si>
    <t xml:space="preserve">GRANTED JAN AMOUNT </t>
  </si>
  <si>
    <t>교부금액누계</t>
  </si>
  <si>
    <t>GTDTOT_AMT</t>
  </si>
  <si>
    <t xml:space="preserve">GRANTED TOTAL AMOUNT </t>
  </si>
  <si>
    <t>GU_NM</t>
  </si>
  <si>
    <t>보장성보험</t>
  </si>
  <si>
    <t>GUA_ISU</t>
  </si>
  <si>
    <t xml:space="preserve">GUARANTEE INSURANCE </t>
  </si>
  <si>
    <t>계좌그룹구분</t>
  </si>
  <si>
    <t>건(층수)</t>
    <phoneticPr fontId="3" type="noConversion"/>
  </si>
  <si>
    <t>건(층수)</t>
  </si>
  <si>
    <t>GWAN</t>
  </si>
  <si>
    <t>예산코드는 "장-관-항-세목…" 형식으로 구성되는데 두번째 관코드</t>
    <phoneticPr fontId="3" type="noConversion"/>
  </si>
  <si>
    <t>관명</t>
  </si>
  <si>
    <t>GWN_NM</t>
  </si>
  <si>
    <t xml:space="preserve">GWAN NAME </t>
  </si>
  <si>
    <t>예산코드는 "장-관-항-세목…" 형식으로 구성되는데 두번째 관 명</t>
    <phoneticPr fontId="3" type="noConversion"/>
  </si>
  <si>
    <t>자택주소</t>
  </si>
  <si>
    <t>H_ADDR</t>
  </si>
  <si>
    <t xml:space="preserve">HOME ADDRESS </t>
  </si>
  <si>
    <t>자택전화번호</t>
  </si>
  <si>
    <t>H_TEL</t>
  </si>
  <si>
    <t xml:space="preserve">HOME TELEPHONE </t>
  </si>
  <si>
    <t>자택우편번호</t>
  </si>
  <si>
    <t>H_ZIP_NO</t>
  </si>
  <si>
    <t>HOME ZIP CODE NUMBER</t>
  </si>
  <si>
    <t>H_ZIPSQN</t>
  </si>
  <si>
    <t xml:space="preserve">HOME ZIP SEQUENCE </t>
  </si>
  <si>
    <t>향후집행예산금액</t>
  </si>
  <si>
    <t>HAEBUD_AMT</t>
  </si>
  <si>
    <t xml:space="preserve">HEREAFTER BUDGET AMOUNT </t>
  </si>
  <si>
    <t>HANG</t>
  </si>
  <si>
    <t>예산코드는 "장-관-항-세목…" 형식으로 구성되는데 세번째 항코드</t>
    <phoneticPr fontId="3" type="noConversion"/>
  </si>
  <si>
    <t>항명</t>
  </si>
  <si>
    <t>HAG_NM</t>
  </si>
  <si>
    <t xml:space="preserve">HANG NAME </t>
  </si>
  <si>
    <t>예산코드는 "장-관-항-세목…" 형식으로 구성되는데 세번째 항명칭</t>
    <phoneticPr fontId="3" type="noConversion"/>
  </si>
  <si>
    <t>하자보수보증금</t>
  </si>
  <si>
    <t>HAJA_AMT</t>
  </si>
  <si>
    <t xml:space="preserve">HAJA AMOUNT </t>
  </si>
  <si>
    <t>하자책임기간(월)</t>
  </si>
  <si>
    <t>HAJA_MM</t>
  </si>
  <si>
    <t xml:space="preserve">HAJA MONTH </t>
  </si>
  <si>
    <t>하자보수보증금율</t>
  </si>
  <si>
    <t>HAJA_RAT</t>
  </si>
  <si>
    <t xml:space="preserve">HAJA RATE </t>
  </si>
  <si>
    <t>취미</t>
  </si>
  <si>
    <t>HBY</t>
  </si>
  <si>
    <t>HOBY</t>
  </si>
  <si>
    <t>신장</t>
  </si>
  <si>
    <t>HEI</t>
  </si>
  <si>
    <t>HEIGHT</t>
  </si>
  <si>
    <t>휴가실시가능일수</t>
  </si>
  <si>
    <t>HEPDAY_CNT</t>
  </si>
  <si>
    <t xml:space="preserve">HOLIDAY ENFORCE POSSIBLE COUNT </t>
  </si>
  <si>
    <t>건강상태</t>
  </si>
  <si>
    <t>HLT_STS</t>
  </si>
  <si>
    <t xml:space="preserve">HEALTH STATUS </t>
  </si>
  <si>
    <t>HAND PHONE</t>
  </si>
  <si>
    <t xml:space="preserve">HOBONG DATE </t>
  </si>
  <si>
    <t xml:space="preserve">HOBONG NEXT DATE </t>
  </si>
  <si>
    <t>공휴일여부</t>
  </si>
  <si>
    <t xml:space="preserve">HOLIDAY YES NO </t>
  </si>
  <si>
    <t xml:space="preserve">HOME TELEPHONE NUMBER </t>
  </si>
  <si>
    <t>주택마련저축불입액</t>
  </si>
  <si>
    <t>HUSFND_AMT</t>
  </si>
  <si>
    <t xml:space="preserve">HOUSE FUND AMOUNT </t>
  </si>
  <si>
    <t>장기(10년)주택저당차입금이자상환액</t>
  </si>
  <si>
    <t>HUSINT10_AMT</t>
  </si>
  <si>
    <t xml:space="preserve">HOUSE INTEREST 10 AMOUNT </t>
  </si>
  <si>
    <t>장기(15년)주택저당차입금이자상환액</t>
  </si>
  <si>
    <t>HUSINT15_AMT</t>
  </si>
  <si>
    <t xml:space="preserve">HOUSE INTEREST 15 AMOUNT </t>
  </si>
  <si>
    <t>주택임차차입금원리금</t>
  </si>
  <si>
    <t>HUSLAN_AMT</t>
  </si>
  <si>
    <t xml:space="preserve">HOUSE LOAN AMOUNT </t>
  </si>
  <si>
    <t>주택자금공제한도액</t>
  </si>
  <si>
    <t>HUSLMT_AMT</t>
  </si>
  <si>
    <t xml:space="preserve">HOUSE LIMIT AMOUNT </t>
  </si>
  <si>
    <t>주택자금공제액</t>
  </si>
  <si>
    <t>HUSRMV_AMT</t>
  </si>
  <si>
    <t xml:space="preserve">HOUSE REMOVE AMOUNT </t>
  </si>
  <si>
    <t>주택차입금이자상환액</t>
  </si>
  <si>
    <t>HUSTAX_AMT</t>
  </si>
  <si>
    <t xml:space="preserve">HOUSE TAX AMOUNT </t>
  </si>
  <si>
    <t>주택차입금이자상환액공제</t>
  </si>
  <si>
    <t>HUSTAX_RMV</t>
  </si>
  <si>
    <t xml:space="preserve">HOUSE TAX REMOVE </t>
  </si>
  <si>
    <t>인상년도</t>
  </si>
  <si>
    <t>ICS_YY</t>
  </si>
  <si>
    <t xml:space="preserve">INCREASE YEAR </t>
  </si>
  <si>
    <t>인상기본연봉</t>
  </si>
  <si>
    <t>ICSBAS_ASL</t>
  </si>
  <si>
    <t xml:space="preserve">INCREASE BASIC ANNUAL SALARY </t>
  </si>
  <si>
    <t>인상능력급기준금액</t>
  </si>
  <si>
    <t>ICSCBSL_AMT</t>
  </si>
  <si>
    <t xml:space="preserve">INCREASE CAPACITY BASE LINE AMOUNT </t>
  </si>
  <si>
    <t>인상지급금액</t>
  </si>
  <si>
    <t>ICSPMT_AMT</t>
  </si>
  <si>
    <t xml:space="preserve">INCREASE PAYMENT AMOUNT </t>
  </si>
  <si>
    <t>IDENTITY</t>
  </si>
  <si>
    <t>ID_AMT</t>
  </si>
  <si>
    <t xml:space="preserve">INCREASE DECREASE AMOUNT </t>
  </si>
  <si>
    <t>증감사유</t>
  </si>
  <si>
    <t>ID_CUS</t>
  </si>
  <si>
    <t xml:space="preserve">INCREASE DECREASE CAUSE </t>
  </si>
  <si>
    <t>증감구분</t>
  </si>
  <si>
    <t>ID_GB</t>
  </si>
  <si>
    <t xml:space="preserve">INCREASE DECREASE GUBUN </t>
  </si>
  <si>
    <t>증감내역</t>
  </si>
  <si>
    <t>ID_TXT</t>
  </si>
  <si>
    <t xml:space="preserve">INCREASE DECREASE TEXT </t>
  </si>
  <si>
    <t>증감지출원인행위순번</t>
  </si>
  <si>
    <t>IDACT_SQN</t>
  </si>
  <si>
    <t xml:space="preserve">INCREASE DECREASE ACT SEQUENCE </t>
  </si>
  <si>
    <t>증감예산통제일자</t>
  </si>
  <si>
    <t>IDBTON_DAT</t>
  </si>
  <si>
    <t xml:space="preserve">INCREASE DECREASE BUDGET TONGJE DATE </t>
  </si>
  <si>
    <t>증감예산통제순번</t>
  </si>
  <si>
    <t>IDBTON_SQN</t>
  </si>
  <si>
    <t xml:space="preserve">INCREASE DECREASE BUDGET TONGJE SEQUENCE </t>
  </si>
  <si>
    <t>증감예산통제자명</t>
  </si>
  <si>
    <t>IDBTONJA_NM</t>
  </si>
  <si>
    <t xml:space="preserve">INCREASE DECREASE BUDGET TONGJEJA NAME </t>
  </si>
  <si>
    <t>증감결의여부</t>
  </si>
  <si>
    <t>IDDCS_YN</t>
  </si>
  <si>
    <t xml:space="preserve">INCREASE DECREASE DESISION YES NO </t>
  </si>
  <si>
    <t>증감발의담당자</t>
  </si>
  <si>
    <t>IDDDJ_NM</t>
  </si>
  <si>
    <t xml:space="preserve">INCREASE DECREASE DAMDANGJA NAME </t>
  </si>
  <si>
    <t>증감발의부서</t>
  </si>
  <si>
    <t>IDDEPT_CD</t>
  </si>
  <si>
    <t xml:space="preserve">INCREASE DECREASE DEPARTMENT CODE </t>
  </si>
  <si>
    <t>증감지출원인행위일자</t>
  </si>
  <si>
    <t>IDPAYCSE_DAT</t>
  </si>
  <si>
    <t xml:space="preserve">INCREASE DECREASE PAYMENT CAUSE DATE </t>
  </si>
  <si>
    <t>증감지출원인행위자명</t>
  </si>
  <si>
    <t>IDPAYCSEJA_NM</t>
  </si>
  <si>
    <t xml:space="preserve">INCREASE DECREASE PAYMENT CAUSE JA NAME </t>
  </si>
  <si>
    <t>증감발의일자</t>
  </si>
  <si>
    <t>IDPPL_DAT</t>
  </si>
  <si>
    <t xml:space="preserve">INCREASE DECREASE PROPOSAL DATE </t>
  </si>
  <si>
    <t>이전비</t>
  </si>
  <si>
    <t>IJ_AMT</t>
  </si>
  <si>
    <t xml:space="preserve">IJUN AMOUNT </t>
  </si>
  <si>
    <t>이관근거</t>
  </si>
  <si>
    <t>IKN_BAS</t>
  </si>
  <si>
    <t xml:space="preserve">IKAN BASIS </t>
  </si>
  <si>
    <t>이관일자</t>
  </si>
  <si>
    <t>IKN_DAT</t>
  </si>
  <si>
    <t xml:space="preserve">IKAN DATE </t>
  </si>
  <si>
    <t>인근공시지가A</t>
  </si>
  <si>
    <t>ILN_AMTA</t>
  </si>
  <si>
    <t xml:space="preserve">INKUN LAND AMOUNT </t>
  </si>
  <si>
    <t>인근공시지가B</t>
  </si>
  <si>
    <t>ILN_AMTB</t>
  </si>
  <si>
    <t>IMPLEMENTATION AGENCY</t>
  </si>
  <si>
    <t>수입지세관</t>
  </si>
  <si>
    <t>IMP_CST</t>
  </si>
  <si>
    <t xml:space="preserve">IMPORT CUSTOM </t>
  </si>
  <si>
    <t>시행일자</t>
  </si>
  <si>
    <t>IMP_DAT</t>
  </si>
  <si>
    <t xml:space="preserve">IMPLEMENTATION DATE </t>
  </si>
  <si>
    <t>수입신고번호</t>
  </si>
  <si>
    <t>IMP_RPT_NO</t>
  </si>
  <si>
    <t>IMPORT REDUCE POINT NUMBER</t>
  </si>
  <si>
    <t>수입면허일</t>
  </si>
  <si>
    <t>IMPLCN_DAT</t>
  </si>
  <si>
    <t xml:space="preserve">IMPORT LICENSE DATE </t>
  </si>
  <si>
    <t>임의보험료</t>
  </si>
  <si>
    <t>IMSISU_AMT</t>
  </si>
  <si>
    <t xml:space="preserve">IMSI INSURANCE AMOUNT </t>
  </si>
  <si>
    <t>입사일자</t>
  </si>
  <si>
    <t>IN_DAT</t>
  </si>
  <si>
    <t xml:space="preserve">IN DATE </t>
  </si>
  <si>
    <t>절감대상금액</t>
  </si>
  <si>
    <t>IN_JULGAM_AMT</t>
  </si>
  <si>
    <t>IN JULGAM AMOUNT</t>
  </si>
  <si>
    <t>산재보험료</t>
  </si>
  <si>
    <t>IND_ISU</t>
  </si>
  <si>
    <t xml:space="preserve">INDUSTRIAL DISASTER INSURANCE </t>
  </si>
  <si>
    <t>INDATE</t>
  </si>
  <si>
    <t xml:space="preserve">INPUT DATE  </t>
  </si>
  <si>
    <t>증가금액</t>
  </si>
  <si>
    <t>INE_AMT</t>
  </si>
  <si>
    <t xml:space="preserve">INCREASE AMOUNT </t>
  </si>
  <si>
    <t>인정비</t>
  </si>
  <si>
    <t>INJ_AMT</t>
  </si>
  <si>
    <t xml:space="preserve">INJUNG AMOUNT </t>
  </si>
  <si>
    <t>소정의 이자상당액의 수입이 있었던 것으로 인정하여 과세소득계산상 益金 에 산입</t>
    <phoneticPr fontId="3" type="noConversion"/>
  </si>
  <si>
    <t>년도별 총인정이자</t>
  </si>
  <si>
    <t>INJ_TOT</t>
  </si>
  <si>
    <t xml:space="preserve">INJUNG TOTAL </t>
  </si>
  <si>
    <t>INJTOT_AMT</t>
  </si>
  <si>
    <t xml:space="preserve">INJUNG TOTAL AMOUNT </t>
  </si>
  <si>
    <t>법인세법상 상여로 처분된 금액</t>
    <phoneticPr fontId="3" type="noConversion"/>
  </si>
  <si>
    <t>인근지번A</t>
  </si>
  <si>
    <t>INK_JIBA</t>
  </si>
  <si>
    <t>INKUN JIBUN A</t>
  </si>
  <si>
    <t>인근지번B</t>
  </si>
  <si>
    <t>INK_JIBB</t>
  </si>
  <si>
    <t>INKUN JIBUN B</t>
  </si>
  <si>
    <t>설치일자</t>
  </si>
  <si>
    <t>INL_DAT</t>
  </si>
  <si>
    <t xml:space="preserve">ISNTALL DATE </t>
  </si>
  <si>
    <t>설치사용장소</t>
  </si>
  <si>
    <t>INLUSE_PLS</t>
  </si>
  <si>
    <t xml:space="preserve">ISNTALL USE PLACE </t>
  </si>
  <si>
    <t>입력일</t>
    <phoneticPr fontId="3" type="noConversion"/>
  </si>
  <si>
    <t xml:space="preserve">INPUT DATE </t>
  </si>
  <si>
    <t xml:space="preserve">INPUT NAME </t>
  </si>
  <si>
    <t>입력여부</t>
  </si>
  <si>
    <t>INP_YN</t>
  </si>
  <si>
    <t xml:space="preserve">INPUT YES NO </t>
  </si>
  <si>
    <t>INS_DAT</t>
  </si>
  <si>
    <t xml:space="preserve">INSTALL DATE </t>
  </si>
  <si>
    <t>설차자성명</t>
    <phoneticPr fontId="3" type="noConversion"/>
  </si>
  <si>
    <t>INS_NAM</t>
  </si>
  <si>
    <t xml:space="preserve">INSTALL NAME </t>
  </si>
  <si>
    <t>설치자사번</t>
    <phoneticPr fontId="3" type="noConversion"/>
  </si>
  <si>
    <t>INS_NO</t>
  </si>
  <si>
    <t xml:space="preserve">INSTALL NUMBER </t>
  </si>
  <si>
    <t>사번</t>
  </si>
  <si>
    <t>직불카드사용금액</t>
  </si>
  <si>
    <t>INSTANT_AMT</t>
    <phoneticPr fontId="3" type="noConversion"/>
  </si>
  <si>
    <t xml:space="preserve">INSTANT AMOUNT </t>
  </si>
  <si>
    <t>이자액</t>
  </si>
  <si>
    <t>INT_AMT</t>
  </si>
  <si>
    <t xml:space="preserve">INTEREST AMOUNT </t>
  </si>
  <si>
    <t>주택대부이자율</t>
  </si>
  <si>
    <t>INT_RAT</t>
  </si>
  <si>
    <t xml:space="preserve">INTEREST RATE </t>
  </si>
  <si>
    <t>이자기간</t>
  </si>
  <si>
    <t>INT_TIM</t>
  </si>
  <si>
    <t xml:space="preserve">INTEREST TIME </t>
  </si>
  <si>
    <t>IP주소</t>
  </si>
  <si>
    <t>IPADDR</t>
  </si>
  <si>
    <t>IP ADDRESS</t>
  </si>
  <si>
    <t>인터넷 IP주소</t>
    <phoneticPr fontId="3" type="noConversion"/>
  </si>
  <si>
    <t>수입예산금액</t>
  </si>
  <si>
    <t>IPTBUD_AMT</t>
  </si>
  <si>
    <t xml:space="preserve">IMPORT BUDGET AMOUNT </t>
  </si>
  <si>
    <t>한 회계 연도에 들어올 돈에 대한 예산</t>
    <phoneticPr fontId="3" type="noConversion"/>
  </si>
  <si>
    <t>수입예산코드</t>
  </si>
  <si>
    <t>IPTBUD_CD</t>
  </si>
  <si>
    <t xml:space="preserve">IMPORT BUDGET CODE </t>
  </si>
  <si>
    <t>수입예산명</t>
  </si>
  <si>
    <t>IPTBUD_NM</t>
  </si>
  <si>
    <t xml:space="preserve">IMPORT BUDGET NAME </t>
  </si>
  <si>
    <t>수입지출구분</t>
  </si>
  <si>
    <t>IPTPAY_GB</t>
  </si>
  <si>
    <t xml:space="preserve">IMPORT PAYMENT GUBUN </t>
  </si>
  <si>
    <t>심의일자</t>
  </si>
  <si>
    <t>ISP_DAT</t>
  </si>
  <si>
    <t xml:space="preserve">INSPECTOR DATE </t>
  </si>
  <si>
    <t>사업의 타당이 있는지 검토한 일자</t>
    <phoneticPr fontId="3" type="noConversion"/>
  </si>
  <si>
    <t>심의자</t>
  </si>
  <si>
    <t>ISP_NM</t>
  </si>
  <si>
    <t xml:space="preserve">INSPECTOR NAME </t>
  </si>
  <si>
    <t>사업의 타당성을 검토한 담당자</t>
    <phoneticPr fontId="3" type="noConversion"/>
  </si>
  <si>
    <t>심의등급</t>
  </si>
  <si>
    <t>ISP_RMK</t>
  </si>
  <si>
    <t xml:space="preserve">INSPECTOR REMARK </t>
  </si>
  <si>
    <t>사업의 타당성 기준 정의 (적정/부적합 등)</t>
    <phoneticPr fontId="3" type="noConversion"/>
  </si>
  <si>
    <t>심의여부</t>
  </si>
  <si>
    <t>ISP_YN</t>
  </si>
  <si>
    <t xml:space="preserve">INSPECTOR YES NO </t>
  </si>
  <si>
    <t>사업의 타당성 검토 여부</t>
    <phoneticPr fontId="3" type="noConversion"/>
  </si>
  <si>
    <t>심의부서</t>
  </si>
  <si>
    <t>ISPD_CD</t>
  </si>
  <si>
    <t xml:space="preserve">INSPECTOR DEPARTMENT CODE </t>
  </si>
  <si>
    <t>사업의 타당성을 검토한 부서</t>
    <phoneticPr fontId="3" type="noConversion"/>
  </si>
  <si>
    <t>당좌수표발행일자</t>
    <phoneticPr fontId="3" type="noConversion"/>
  </si>
  <si>
    <t>ISS_DAT</t>
  </si>
  <si>
    <t xml:space="preserve">ISSUE DATE </t>
  </si>
  <si>
    <t>은행에서 당좌수표를 발행한 일자</t>
    <phoneticPr fontId="3" type="noConversion"/>
  </si>
  <si>
    <t>당좌수표발행순번</t>
    <phoneticPr fontId="3" type="noConversion"/>
  </si>
  <si>
    <t xml:space="preserve">ISSUE SEQUENCE </t>
  </si>
  <si>
    <t>은행에 당좌 예금 거래를 하는 사람이 그 예금을 기초로 하여 그 은행 앞으로 발행하는 수표번호</t>
    <phoneticPr fontId="3" type="noConversion"/>
  </si>
  <si>
    <t>보험금액</t>
  </si>
  <si>
    <t>ISU_AMT</t>
  </si>
  <si>
    <t xml:space="preserve">INSURANCE AMOUNT </t>
  </si>
  <si>
    <t>손해를 물어 주겠다는 보증금액</t>
    <phoneticPr fontId="3" type="noConversion"/>
  </si>
  <si>
    <t>손해를 물어 주겠다는 보증금액의 유지를 위해 매월 납부하는 금액</t>
    <phoneticPr fontId="3" type="noConversion"/>
  </si>
  <si>
    <t>보험회사</t>
  </si>
  <si>
    <t>ISU_COM</t>
  </si>
  <si>
    <t xml:space="preserve">INSURANCE COMPANY </t>
  </si>
  <si>
    <t>손해를 물어 주겠다는 보증보험을 가입한 회사</t>
    <phoneticPr fontId="3" type="noConversion"/>
  </si>
  <si>
    <t>ISU_KND</t>
  </si>
  <si>
    <t xml:space="preserve">INSURANCE KIND </t>
  </si>
  <si>
    <t>손해를 물어 주겠다는 보험 종류</t>
    <phoneticPr fontId="3" type="noConversion"/>
  </si>
  <si>
    <t>보험대상물</t>
  </si>
  <si>
    <t>ISU_OBJ</t>
  </si>
  <si>
    <t xml:space="preserve">INSURANCE OBJECT </t>
  </si>
  <si>
    <t>손해를 물어 주겠다는 보험의 대상</t>
    <phoneticPr fontId="3" type="noConversion"/>
  </si>
  <si>
    <t>보험료납입구분</t>
  </si>
  <si>
    <t>ISUDLI_GB</t>
  </si>
  <si>
    <t xml:space="preserve">INSURANCE DELIVERY GUBUN </t>
  </si>
  <si>
    <t>손해를 물어 주겠다는 보증금액의 유지를 위해 매월 납부 여부</t>
    <phoneticPr fontId="3" type="noConversion"/>
  </si>
  <si>
    <t>보험종료일자</t>
  </si>
  <si>
    <t>ISUEND_DAT</t>
  </si>
  <si>
    <t xml:space="preserve">INSURANCE END DATE </t>
  </si>
  <si>
    <t>손해를 물어 주겠다는 보증의 만기일자</t>
    <phoneticPr fontId="3" type="noConversion"/>
  </si>
  <si>
    <t>보험시작일자</t>
  </si>
  <si>
    <t>ISUSTR_DAT</t>
  </si>
  <si>
    <t xml:space="preserve">INSURANCE START DATE </t>
  </si>
  <si>
    <t>손해를 물어 주겠다는 보증의 시작일자</t>
    <phoneticPr fontId="3" type="noConversion"/>
  </si>
  <si>
    <t>보험료계</t>
  </si>
  <si>
    <t>ISUTOT_AMT</t>
  </si>
  <si>
    <t xml:space="preserve">INSURANCE TOTAL AMOUNT </t>
  </si>
  <si>
    <t>손해를 물어 주겠다는 보증금액 총액</t>
    <phoneticPr fontId="3" type="noConversion"/>
  </si>
  <si>
    <t>보유 자격증 종목</t>
    <phoneticPr fontId="3" type="noConversion"/>
  </si>
  <si>
    <t>창업투자공제금액</t>
    <phoneticPr fontId="3" type="noConversion"/>
  </si>
  <si>
    <t>IVERMV_AMT</t>
  </si>
  <si>
    <t xml:space="preserve">INVESTMENT REMOVE AMOUNT </t>
  </si>
  <si>
    <t>중소기업 창업투자에의 출자(出資) 등에 대한 소득공제</t>
    <phoneticPr fontId="3" type="noConversion"/>
  </si>
  <si>
    <t>분개일자</t>
  </si>
  <si>
    <t>J_DAT</t>
  </si>
  <si>
    <t xml:space="preserve">JOURNALIZE DATE </t>
  </si>
  <si>
    <t>전표작성 일자</t>
    <phoneticPr fontId="3" type="noConversion"/>
  </si>
  <si>
    <t>분개번호</t>
  </si>
  <si>
    <t>J_NO</t>
  </si>
  <si>
    <t xml:space="preserve">JOURNALIZE NUMBER </t>
  </si>
  <si>
    <t>전표번호</t>
    <phoneticPr fontId="3" type="noConversion"/>
  </si>
  <si>
    <t>분개여부</t>
  </si>
  <si>
    <t>J_YN</t>
  </si>
  <si>
    <t xml:space="preserve">JOURNALIZE YES NO </t>
  </si>
  <si>
    <t>전표발행여부</t>
    <phoneticPr fontId="3" type="noConversion"/>
  </si>
  <si>
    <t>당월자금배정금액</t>
  </si>
  <si>
    <t>JABAE_AMT</t>
  </si>
  <si>
    <t xml:space="preserve">JAKUM BAEJUNG AMOUNT </t>
  </si>
  <si>
    <t>예산을 집행하기 위하여 예산과목별 자금(돈)을 해당원에 배분한 금액</t>
    <phoneticPr fontId="3" type="noConversion"/>
  </si>
  <si>
    <t>자금배정일자</t>
  </si>
  <si>
    <t>JABAE_DAT</t>
  </si>
  <si>
    <t xml:space="preserve">JAKUM BAEJUNG DATE </t>
  </si>
  <si>
    <t>자금배정순번</t>
  </si>
  <si>
    <t>JABAE_SQN</t>
  </si>
  <si>
    <t xml:space="preserve">JAKUM BAEJUNG SEQUENCE </t>
  </si>
  <si>
    <t>자금배정누계</t>
  </si>
  <si>
    <t>JABAENGE_AMT</t>
  </si>
  <si>
    <t xml:space="preserve">JAKUM BAEJUNG NUGE AMOUNT </t>
  </si>
  <si>
    <t>자금배정금액누계</t>
  </si>
  <si>
    <t>JABAETOT_AMT</t>
  </si>
  <si>
    <t xml:space="preserve">JAKUM BAEJUNG TOTAL AMOUNT </t>
  </si>
  <si>
    <t>JAE_CD</t>
  </si>
  <si>
    <t xml:space="preserve">JAE CODE </t>
  </si>
  <si>
    <t>제코드명</t>
  </si>
  <si>
    <t>JAE_NM</t>
  </si>
  <si>
    <t xml:space="preserve">JAE NAME </t>
  </si>
  <si>
    <t>제코드입력여부</t>
  </si>
  <si>
    <t>JAE_YN</t>
  </si>
  <si>
    <t xml:space="preserve">JAE YES NO </t>
  </si>
  <si>
    <t>JAN_AMT</t>
  </si>
  <si>
    <t xml:space="preserve">JAN AMOUNT </t>
  </si>
  <si>
    <t>잔액구분</t>
  </si>
  <si>
    <t>JAN_GB</t>
  </si>
  <si>
    <t xml:space="preserve">JAN GUBUN </t>
  </si>
  <si>
    <t>예산코드는 "장-관-항-세목…" 형식으로 구성되는데 첫번째 장코드</t>
    <phoneticPr fontId="3" type="noConversion"/>
  </si>
  <si>
    <t>장명</t>
  </si>
  <si>
    <t>JANG_NM</t>
  </si>
  <si>
    <t xml:space="preserve">JANG NAME </t>
  </si>
  <si>
    <t>예산코드는 "장-관-항-세목…" 형식으로 구성되는데 첫번째 장명칭</t>
    <phoneticPr fontId="3" type="noConversion"/>
  </si>
  <si>
    <t>정액법</t>
  </si>
  <si>
    <t>JAR_RAT</t>
  </si>
  <si>
    <t xml:space="preserve">JUNGAEK RULE RATE </t>
  </si>
  <si>
    <t xml:space="preserve">고장자산 감가상각비 계산방법 </t>
    <phoneticPr fontId="3" type="noConversion"/>
  </si>
  <si>
    <t>연대보증인보증주택자금</t>
  </si>
  <si>
    <t>JASSHOU_AMT</t>
  </si>
  <si>
    <t xml:space="preserve">JOIN ASSET HOUSE AMOUNT </t>
  </si>
  <si>
    <t>연대보증인보증학자금</t>
  </si>
  <si>
    <t>JASSSCH_AMT</t>
  </si>
  <si>
    <t xml:space="preserve">JOIN ASSET SCHOOL AMOUNT </t>
  </si>
  <si>
    <t>JD_RNK</t>
  </si>
  <si>
    <t xml:space="preserve">JD RANK </t>
  </si>
  <si>
    <t>가동정도</t>
  </si>
  <si>
    <t>JDO</t>
  </si>
  <si>
    <t>JUNGDO</t>
  </si>
  <si>
    <t xml:space="preserve">JANGOEJA COUNT </t>
  </si>
  <si>
    <t>장애자전용보장성보험료</t>
  </si>
  <si>
    <t>JGJ_ISU</t>
  </si>
  <si>
    <t xml:space="preserve">JANGOEJA INSURANCE </t>
  </si>
  <si>
    <t>장애등급</t>
  </si>
  <si>
    <t>JGJ_RNK</t>
  </si>
  <si>
    <t xml:space="preserve">JANGOEJA RANK </t>
  </si>
  <si>
    <t>JGJ_TYP</t>
  </si>
  <si>
    <t xml:space="preserve">JANGOEJA TYPE </t>
  </si>
  <si>
    <t>장애인특수교육비</t>
  </si>
  <si>
    <t>JGJEDU_AMT</t>
  </si>
  <si>
    <t xml:space="preserve">JANGOEJA EDUCATION AMOUNT </t>
  </si>
  <si>
    <t>장애의료비</t>
  </si>
  <si>
    <t>JGJMED_AMT</t>
  </si>
  <si>
    <t xml:space="preserve">JANGOEJA MEDICAL AMOUNT </t>
  </si>
  <si>
    <t>장애자공제액</t>
  </si>
  <si>
    <t>JGJRMV_AMT</t>
  </si>
  <si>
    <t xml:space="preserve">JANGOEJA REMOVE AMOUNT </t>
  </si>
  <si>
    <t>부동산 번지</t>
    <phoneticPr fontId="3" type="noConversion"/>
  </si>
  <si>
    <t>집행자</t>
  </si>
  <si>
    <t>JIB_EMP</t>
  </si>
  <si>
    <t xml:space="preserve">JIBHAENG EMPLOYEE </t>
  </si>
  <si>
    <t>지번(끝)</t>
  </si>
  <si>
    <t>JIEND_NO</t>
  </si>
  <si>
    <t xml:space="preserve">JIBUN END NUMBER </t>
  </si>
  <si>
    <t>부동산 번지(끝)</t>
    <phoneticPr fontId="3" type="noConversion"/>
  </si>
  <si>
    <t>지급퇴직금</t>
  </si>
  <si>
    <t>JIGUB_AMT</t>
  </si>
  <si>
    <t xml:space="preserve">JIGUB AMOUNT </t>
  </si>
  <si>
    <t>원천징수의무자 지점명</t>
  </si>
  <si>
    <t>JIJUM_NM</t>
    <phoneticPr fontId="3" type="noConversion"/>
  </si>
  <si>
    <t xml:space="preserve">JIJUM NAME </t>
  </si>
  <si>
    <t xml:space="preserve">JIKRYUL CODE </t>
  </si>
  <si>
    <t>직무분야</t>
    <phoneticPr fontId="3" type="noConversion"/>
  </si>
  <si>
    <t xml:space="preserve">JIKRYUL NAME </t>
  </si>
  <si>
    <t>직무분야 명</t>
    <phoneticPr fontId="3" type="noConversion"/>
  </si>
  <si>
    <t>지번(시작)</t>
  </si>
  <si>
    <t>JISTR_NO</t>
  </si>
  <si>
    <t xml:space="preserve">JIBUN START NUMBER </t>
  </si>
  <si>
    <t>연대보증인직급</t>
  </si>
  <si>
    <t>JJIK_NM</t>
  </si>
  <si>
    <t xml:space="preserve">JOIN JIKRYUL NAME </t>
  </si>
  <si>
    <t>정격출력</t>
  </si>
  <si>
    <t>JK_PRN</t>
  </si>
  <si>
    <t xml:space="preserve">JUNGKYUK PRINT </t>
  </si>
  <si>
    <t>담당자직번</t>
  </si>
  <si>
    <t>JIKBUN</t>
  </si>
  <si>
    <t xml:space="preserve">JIKWI CODE </t>
  </si>
  <si>
    <t xml:space="preserve">JIKWI NAME </t>
  </si>
  <si>
    <t xml:space="preserve">JIKWI OFFICIAL ORDER DATE </t>
  </si>
  <si>
    <t>종목번호</t>
  </si>
  <si>
    <t>JMCD</t>
  </si>
  <si>
    <t>JONGMOK CODE</t>
  </si>
  <si>
    <t>종목분야명</t>
  </si>
  <si>
    <t>JMFDNM</t>
  </si>
  <si>
    <t>JONGMOK FIELD NAME</t>
  </si>
  <si>
    <t>JAN MONTH</t>
  </si>
  <si>
    <t>연대보증인성명</t>
  </si>
  <si>
    <t>JNM</t>
  </si>
  <si>
    <t>JOIN NAME</t>
  </si>
  <si>
    <t>JOINER</t>
  </si>
  <si>
    <t>연대계약자주소</t>
  </si>
  <si>
    <t>JNT_ADDR</t>
  </si>
  <si>
    <t xml:space="preserve">JOINT ADDRESS </t>
  </si>
  <si>
    <t>연대보증</t>
  </si>
  <si>
    <t>JNT_AMT</t>
  </si>
  <si>
    <t xml:space="preserve">JOINT AMOUNT </t>
  </si>
  <si>
    <t>연대법인번호</t>
  </si>
  <si>
    <t>JNT_BPINO</t>
  </si>
  <si>
    <t xml:space="preserve">JOINT BUPIN NUMBER </t>
  </si>
  <si>
    <t>연대대표자</t>
  </si>
  <si>
    <t>JNT_CEONM</t>
  </si>
  <si>
    <t xml:space="preserve">JOINT CEO NAME </t>
  </si>
  <si>
    <t>연대자전화번호</t>
  </si>
  <si>
    <t>JNT_TEL</t>
  </si>
  <si>
    <t xml:space="preserve">JOINT TELEPHONE </t>
  </si>
  <si>
    <t>연대업체</t>
  </si>
  <si>
    <t>JNT_VNM</t>
  </si>
  <si>
    <t xml:space="preserve">JOINT VENDOR NAME </t>
  </si>
  <si>
    <t>조(골조구조)</t>
  </si>
  <si>
    <t>JO</t>
  </si>
  <si>
    <t>담당업무(HM11)</t>
  </si>
  <si>
    <t>JOB_CD</t>
  </si>
  <si>
    <t xml:space="preserve">JOB CODE </t>
  </si>
  <si>
    <t>연대보증인채권압류액</t>
  </si>
  <si>
    <t>JOBLSZR_AMT</t>
  </si>
  <si>
    <t xml:space="preserve">JOIN OBLIGATORY RIGHT SEIZURE AMOUNT </t>
  </si>
  <si>
    <t>조달청물품여부</t>
  </si>
  <si>
    <t>JOD_YN</t>
  </si>
  <si>
    <t xml:space="preserve">JODAL YES NO </t>
  </si>
  <si>
    <t>비취업무담당</t>
  </si>
  <si>
    <t>JPD</t>
  </si>
  <si>
    <t>JP DAMDANG</t>
  </si>
  <si>
    <t>연대보증인본인주택자금</t>
  </si>
  <si>
    <t>JPERHOU_AMT</t>
  </si>
  <si>
    <t xml:space="preserve">JOIN PERSONAL HOUSE AMOUNT </t>
  </si>
  <si>
    <t>연대보증인본인학자금</t>
  </si>
  <si>
    <t>JPERSCH_AMT</t>
  </si>
  <si>
    <t xml:space="preserve">JOIN PERSONAL SCHOOL AMOUNT </t>
  </si>
  <si>
    <t>조달청계약번호</t>
  </si>
  <si>
    <t>JPR_NO</t>
  </si>
  <si>
    <t xml:space="preserve">JODAL PROMISE NUMBER </t>
  </si>
  <si>
    <t>연대보증인본인퇴직급여충당금</t>
  </si>
  <si>
    <t>JPRERTIA_AMT</t>
  </si>
  <si>
    <t xml:space="preserve">JOIN PRERETIREMENT ASSURANCE AMOUNT </t>
  </si>
  <si>
    <t>정년잔여월수</t>
  </si>
  <si>
    <t>JRMDMM_CNT</t>
  </si>
  <si>
    <t xml:space="preserve">JUNNYUN REMAINDER COUNT </t>
  </si>
  <si>
    <t>연대보증인퇴직금액</t>
  </si>
  <si>
    <t>JRTI_AMT</t>
  </si>
  <si>
    <t xml:space="preserve">JOIN RETIREMENT AMOUNT </t>
  </si>
  <si>
    <t>연대보증인소속기관</t>
  </si>
  <si>
    <t>JSOSOK</t>
  </si>
  <si>
    <t>JOIN SOSOK</t>
  </si>
  <si>
    <t>주특기</t>
  </si>
  <si>
    <t>JU_SPE</t>
  </si>
  <si>
    <t xml:space="preserve">JI SPECIALITY </t>
  </si>
  <si>
    <t>즙(지붕구조)</t>
  </si>
  <si>
    <t>JUB</t>
  </si>
  <si>
    <t>감정가격</t>
  </si>
  <si>
    <t>JUD_PRI</t>
  </si>
  <si>
    <t xml:space="preserve">JUDGMENT PRICE </t>
  </si>
  <si>
    <t>정율법</t>
  </si>
  <si>
    <t>JUL_RAT</t>
  </si>
  <si>
    <t xml:space="preserve">JUNGRYL RATE </t>
  </si>
  <si>
    <t>절감금액</t>
  </si>
  <si>
    <t>JULGAM_AMT</t>
    <phoneticPr fontId="3" type="noConversion"/>
  </si>
  <si>
    <t xml:space="preserve">JULGAM AMOUNT </t>
  </si>
  <si>
    <t>절감작업일자</t>
  </si>
  <si>
    <t>JULGAM_DAT</t>
  </si>
  <si>
    <t xml:space="preserve">JULGAM DATE </t>
  </si>
  <si>
    <t>절감율</t>
  </si>
  <si>
    <t>JULGAM_RAT</t>
  </si>
  <si>
    <t xml:space="preserve">JULGAM RATE </t>
  </si>
  <si>
    <t>주민번호/법인(사업자)번호</t>
  </si>
  <si>
    <t xml:space="preserve">JUMIN NUMBER </t>
    <phoneticPr fontId="3" type="noConversion"/>
  </si>
  <si>
    <t>전역일자</t>
  </si>
  <si>
    <t>JUN_DAT</t>
  </si>
  <si>
    <t xml:space="preserve">JUNYUK DATE </t>
  </si>
  <si>
    <t>전역근거</t>
  </si>
  <si>
    <t>JUNBAS</t>
  </si>
  <si>
    <t>JUNYUK BASIS</t>
  </si>
  <si>
    <t>건강보험료정산금</t>
  </si>
  <si>
    <t>JUNG_AMT</t>
  </si>
  <si>
    <t xml:space="preserve">JUNGSAN AMOUNT </t>
  </si>
  <si>
    <t>정산일자</t>
  </si>
  <si>
    <t>JUNG_DAT</t>
  </si>
  <si>
    <t xml:space="preserve">JUNGSAN DATE </t>
  </si>
  <si>
    <t>전역구분(HM38)</t>
  </si>
  <si>
    <t>JUNGB_GB</t>
  </si>
  <si>
    <t xml:space="preserve">JUNYUK GUBUN </t>
  </si>
  <si>
    <t>전역명</t>
  </si>
  <si>
    <t>JUNGB_NM</t>
  </si>
  <si>
    <t xml:space="preserve">JUNYUK NAME </t>
  </si>
  <si>
    <t>JW_QN</t>
  </si>
  <si>
    <t xml:space="preserve">JUNGWON QUANTITY </t>
  </si>
  <si>
    <t xml:space="preserve">JUNGWON SEQUENCE </t>
  </si>
  <si>
    <t>JWA_NO</t>
  </si>
  <si>
    <t xml:space="preserve">JWA NUMBER </t>
  </si>
  <si>
    <t xml:space="preserve">JUNGWON GRADE CODE </t>
  </si>
  <si>
    <t xml:space="preserve">JUNGWON GRADE NAME </t>
  </si>
  <si>
    <t xml:space="preserve">JUNGWON JUKRYUL CODE </t>
  </si>
  <si>
    <t xml:space="preserve">JUNGWON JUKRYUL NAME </t>
  </si>
  <si>
    <t xml:space="preserve">KABGUN TAX </t>
  </si>
  <si>
    <t>한글품명</t>
  </si>
  <si>
    <t>KATC_NM</t>
  </si>
  <si>
    <t xml:space="preserve">KOREA ARTICLES NAME </t>
  </si>
  <si>
    <t xml:space="preserve">KONGGWA BUNYA CODE </t>
  </si>
  <si>
    <t xml:space="preserve">KONGGWA BUNYA NAME </t>
  </si>
  <si>
    <t>KUJO</t>
  </si>
  <si>
    <t>공단근무여부</t>
  </si>
  <si>
    <t>KMAWRK_YN</t>
  </si>
  <si>
    <t xml:space="preserve">KMA WORK YES NO </t>
  </si>
  <si>
    <t>KIND</t>
  </si>
  <si>
    <t>지목(공부상)</t>
  </si>
  <si>
    <t>KOB_COL</t>
  </si>
  <si>
    <t xml:space="preserve">KONGBU CLASSIFICATION OF LAND </t>
  </si>
  <si>
    <t>KOK</t>
  </si>
  <si>
    <t>KONGKWA</t>
  </si>
  <si>
    <t>공과직종</t>
  </si>
  <si>
    <t>KOK_OCC</t>
  </si>
  <si>
    <t xml:space="preserve">KONGKWA OCCUR </t>
  </si>
  <si>
    <t>한국어구사능력</t>
    <phoneticPr fontId="3" type="noConversion"/>
  </si>
  <si>
    <t>KOL_GB</t>
  </si>
  <si>
    <t xml:space="preserve">KOREA LANGUAGE GUBUN </t>
  </si>
  <si>
    <t>1:상, 2:중, 3:하</t>
    <phoneticPr fontId="3" type="noConversion"/>
  </si>
  <si>
    <t xml:space="preserve">KUKSIL OFFICIAL ORDER DATE </t>
  </si>
  <si>
    <t>자격취득일</t>
  </si>
  <si>
    <t>L_DAT</t>
  </si>
  <si>
    <t xml:space="preserve">LICENSE DATE </t>
  </si>
  <si>
    <t>LAB_AMT</t>
  </si>
  <si>
    <t xml:space="preserve">LABOR AMOUNT </t>
  </si>
  <si>
    <t>최종공기지가</t>
  </si>
  <si>
    <t>LASLN_AMT</t>
  </si>
  <si>
    <t xml:space="preserve">LAST LAND AMOUNT </t>
  </si>
  <si>
    <t xml:space="preserve">LICENSE CODE </t>
  </si>
  <si>
    <t>면허구분</t>
  </si>
  <si>
    <t>LCN_GB</t>
  </si>
  <si>
    <t xml:space="preserve">LICENSE GUBUN </t>
  </si>
  <si>
    <t xml:space="preserve">LICENSE NAME </t>
  </si>
  <si>
    <t>인계부서</t>
  </si>
  <si>
    <t>LDEPT_CD</t>
  </si>
  <si>
    <t xml:space="preserve">TRANSFER DEPARTMENT CODE </t>
  </si>
  <si>
    <t>인계자</t>
  </si>
  <si>
    <t>LEA_NM</t>
  </si>
  <si>
    <t xml:space="preserve">LEASE NAME </t>
  </si>
  <si>
    <t>퇴거일자</t>
  </si>
  <si>
    <t>LEAV_DT</t>
  </si>
  <si>
    <t xml:space="preserve">LEAVE DATE </t>
  </si>
  <si>
    <t>전임지퇴거여부</t>
  </si>
  <si>
    <t>LEAV_YN</t>
  </si>
  <si>
    <t xml:space="preserve">LEAVE YES NO </t>
  </si>
  <si>
    <t xml:space="preserve">LECTURE TIME </t>
  </si>
  <si>
    <t>외국인강사구분</t>
  </si>
  <si>
    <t>LECTURE_FLAG</t>
    <phoneticPr fontId="3" type="noConversion"/>
  </si>
  <si>
    <t xml:space="preserve">LECTURE FLAG </t>
  </si>
  <si>
    <t>수업료</t>
  </si>
  <si>
    <t>LES_AMT</t>
  </si>
  <si>
    <t xml:space="preserve">LESSON AMOUNT </t>
  </si>
  <si>
    <t>수업년한</t>
  </si>
  <si>
    <t>LES_YYMM</t>
  </si>
  <si>
    <t xml:space="preserve">LESSON YEAR MONTH </t>
  </si>
  <si>
    <t>일정한도(10%)공제기부금</t>
  </si>
  <si>
    <t>LMTCTB10_AMT</t>
  </si>
  <si>
    <t xml:space="preserve">10% LIMIT CONTRIBUTION AMOUNT </t>
  </si>
  <si>
    <t>일정한도(100%)공제기부금</t>
  </si>
  <si>
    <t>LMTCTB100_AMT</t>
  </si>
  <si>
    <t xml:space="preserve">100% LIMIT CONTRIBUTION AMOUNT </t>
  </si>
  <si>
    <t>일정한도(30%)공제기부금</t>
  </si>
  <si>
    <t>LMTCTB30_AMT</t>
  </si>
  <si>
    <t xml:space="preserve">30% LIMIT CONTRIBUTION AMOUNT </t>
  </si>
  <si>
    <t>일정한도(50%)공제기부금</t>
  </si>
  <si>
    <t>LMTCTB50_AMT</t>
  </si>
  <si>
    <t xml:space="preserve">50% LIMIT CONTRIBUTION AMOUNT </t>
  </si>
  <si>
    <t>공시지가</t>
  </si>
  <si>
    <t>LN_AMT</t>
  </si>
  <si>
    <t xml:space="preserve">LAND AMOUNT </t>
  </si>
  <si>
    <t>토지등급</t>
  </si>
  <si>
    <t>LN_RNK</t>
  </si>
  <si>
    <t xml:space="preserve">LAND RANK </t>
  </si>
  <si>
    <t>대여금종류</t>
  </si>
  <si>
    <t>LOAN_KND</t>
  </si>
  <si>
    <t xml:space="preserve">LOAN KIND </t>
  </si>
  <si>
    <t>사용시간</t>
  </si>
  <si>
    <t>LOG_TIME</t>
  </si>
  <si>
    <t xml:space="preserve">LOG TIME </t>
  </si>
  <si>
    <t>로그인일자</t>
  </si>
  <si>
    <t>LOGDATE</t>
  </si>
  <si>
    <t>LOG DATE</t>
  </si>
  <si>
    <t>로그인구분</t>
  </si>
  <si>
    <t>LOGINGB</t>
  </si>
  <si>
    <t>LOGIN GUBUN</t>
  </si>
  <si>
    <t>LOGSQ</t>
  </si>
  <si>
    <t>LOG SEQUENCE</t>
  </si>
  <si>
    <t>대부주택주소</t>
  </si>
  <si>
    <t>LON_ADDR</t>
  </si>
  <si>
    <t xml:space="preserve">LOAN ADDRESS </t>
  </si>
  <si>
    <t>대부금액</t>
  </si>
  <si>
    <t>LON_AMT</t>
  </si>
  <si>
    <t xml:space="preserve">LOAN AMOUNT </t>
  </si>
  <si>
    <t>대부사유</t>
  </si>
  <si>
    <t>LON_CUS</t>
  </si>
  <si>
    <t xml:space="preserve">LOAN CAUSE </t>
  </si>
  <si>
    <t>대부일자</t>
  </si>
  <si>
    <t>LON_DAT</t>
  </si>
  <si>
    <t xml:space="preserve">LOAN DATE </t>
  </si>
  <si>
    <t>대부종류</t>
    <phoneticPr fontId="3" type="noConversion"/>
  </si>
  <si>
    <t>LON_KND</t>
  </si>
  <si>
    <t>1:주택대부, 2:퇴충대부</t>
    <phoneticPr fontId="3" type="noConversion"/>
  </si>
  <si>
    <t>대부종류명</t>
    <phoneticPr fontId="3" type="noConversion"/>
  </si>
  <si>
    <t>LON_KND_NM</t>
  </si>
  <si>
    <t>LOAN KIND NAME</t>
  </si>
  <si>
    <t>대부지급학기</t>
  </si>
  <si>
    <t>LON_TERM</t>
  </si>
  <si>
    <t xml:space="preserve">LOAN TERM </t>
  </si>
  <si>
    <t>장기증권저축당해년도불입금액</t>
  </si>
  <si>
    <t>LONGSTC_AMT</t>
    <phoneticPr fontId="3" type="noConversion"/>
  </si>
  <si>
    <t xml:space="preserve">LONG STOCK AMOUNT </t>
  </si>
  <si>
    <t>장기증권저축 공제금액</t>
  </si>
  <si>
    <t>LONGSTC_RMV</t>
  </si>
  <si>
    <t xml:space="preserve">LONG STOCK REMOVE </t>
  </si>
  <si>
    <t>대부잔액</t>
  </si>
  <si>
    <t>LONJAN_AMT</t>
  </si>
  <si>
    <t xml:space="preserve">LOAN JAN AMOUNT </t>
  </si>
  <si>
    <t>임대료</t>
  </si>
  <si>
    <t>LSD_AMT</t>
  </si>
  <si>
    <t xml:space="preserve">LEASED AMOUNT </t>
  </si>
  <si>
    <t>임대위치</t>
  </si>
  <si>
    <t>LSD_LOC</t>
  </si>
  <si>
    <t xml:space="preserve">LEASED LOCATION </t>
  </si>
  <si>
    <t>임대인</t>
  </si>
  <si>
    <t>LSD_NM</t>
  </si>
  <si>
    <t xml:space="preserve">LEASED NAME </t>
  </si>
  <si>
    <t>임대료부가세</t>
  </si>
  <si>
    <t>LSD_VAT</t>
  </si>
  <si>
    <t xml:space="preserve">LEASED VALUE-ADDED TAX </t>
  </si>
  <si>
    <t>임대기관명</t>
  </si>
  <si>
    <t>LSDAGN_NM</t>
  </si>
  <si>
    <t xml:space="preserve">LEASED AGENCY NAME </t>
  </si>
  <si>
    <t>임대종료일</t>
  </si>
  <si>
    <t>LSDEND_DAT</t>
  </si>
  <si>
    <t xml:space="preserve">LEASED END DATE </t>
  </si>
  <si>
    <t>임대보증금</t>
  </si>
  <si>
    <t>LSDGRA_AMT</t>
  </si>
  <si>
    <t xml:space="preserve">LEASED GURRANTEE AMOUNT </t>
  </si>
  <si>
    <t>임대시작일</t>
  </si>
  <si>
    <t>LSDSTR_DAT</t>
  </si>
  <si>
    <t xml:space="preserve">LEASED START DATE </t>
  </si>
  <si>
    <t>임차구분</t>
  </si>
  <si>
    <t>LSE_GB</t>
  </si>
  <si>
    <t xml:space="preserve">LEASE GUBUN </t>
  </si>
  <si>
    <t>리스자산여부</t>
  </si>
  <si>
    <t>LSE_YN</t>
  </si>
  <si>
    <t xml:space="preserve">LEASE YES NO </t>
  </si>
  <si>
    <t>최종월정급여</t>
  </si>
  <si>
    <t>LSTMDI_PAM</t>
  </si>
  <si>
    <t xml:space="preserve">LAST MONTHLY DEFINE PAYMENT </t>
  </si>
  <si>
    <t>최종합격일자</t>
  </si>
  <si>
    <t>LTHPDT</t>
  </si>
  <si>
    <t>LAST SUCCESS DATE</t>
  </si>
  <si>
    <t>음력날짜</t>
  </si>
  <si>
    <t>LUNAR_DATE</t>
  </si>
  <si>
    <t xml:space="preserve">LUNAR DATE </t>
  </si>
  <si>
    <t>레벨번호</t>
  </si>
  <si>
    <t>LVL_NO</t>
  </si>
  <si>
    <t xml:space="preserve">LEVEL NUMBER </t>
  </si>
  <si>
    <t>법정기부금</t>
  </si>
  <si>
    <t>LWCCTB_AMT</t>
  </si>
  <si>
    <t xml:space="preserve">LAWCOURT CONTRIBUTION AMOUNT </t>
  </si>
  <si>
    <t>전년재고자산</t>
  </si>
  <si>
    <t>LYJAST_AMT</t>
  </si>
  <si>
    <t xml:space="preserve">LAST YEAR JAEGO ASSET AMOUNT </t>
  </si>
  <si>
    <t>수정등록일</t>
  </si>
  <si>
    <t>M_DT</t>
  </si>
  <si>
    <t xml:space="preserve">MODIFY DATE </t>
  </si>
  <si>
    <t>남직번</t>
  </si>
  <si>
    <t>M_JKN</t>
  </si>
  <si>
    <t xml:space="preserve">MAN JIK NUMBER </t>
  </si>
  <si>
    <t>혼인,이사,장례비</t>
  </si>
  <si>
    <t>M_M_F_AMT</t>
  </si>
  <si>
    <t xml:space="preserve">MARRY MOVE FUNERAL AMOUNT </t>
  </si>
  <si>
    <t>M_TEL</t>
  </si>
  <si>
    <t xml:space="preserve">MAIN TELEPHONE </t>
  </si>
  <si>
    <t>중요물품여부</t>
  </si>
  <si>
    <t>MACT_YN</t>
  </si>
  <si>
    <t xml:space="preserve">MOMENTOUS ARTICLE YES NO </t>
  </si>
  <si>
    <t>관리기관</t>
  </si>
  <si>
    <t>MAG_AGN</t>
  </si>
  <si>
    <t xml:space="preserve">MANAGEMENT AGENCY </t>
  </si>
  <si>
    <t>MAG_AMT</t>
  </si>
  <si>
    <t xml:space="preserve">MANAGEMENT AMOUNT </t>
  </si>
  <si>
    <t xml:space="preserve">MAJOR NAME </t>
  </si>
  <si>
    <t xml:space="preserve">MAJOR KWAMOK CODE </t>
  </si>
  <si>
    <t xml:space="preserve">MAJOR KWAMOK NAME </t>
  </si>
  <si>
    <t>MAT_AMT</t>
  </si>
  <si>
    <t xml:space="preserve">MATERIAL AMOUNT </t>
  </si>
  <si>
    <t>배정차수</t>
  </si>
  <si>
    <t>MBAE_SQN</t>
  </si>
  <si>
    <t xml:space="preserve">MAIN BAEJUNG SEQUENCE </t>
  </si>
  <si>
    <t xml:space="preserve">MATCHING AMOUNT </t>
  </si>
  <si>
    <t xml:space="preserve">MATCHING GRANT </t>
  </si>
  <si>
    <t>MONTH DIFFER HOLIDAY</t>
  </si>
  <si>
    <t>월차일수</t>
  </si>
  <si>
    <t>MDHDAY_CNT</t>
  </si>
  <si>
    <t xml:space="preserve">MONTH DIFFER HOLIDAY COUNT </t>
  </si>
  <si>
    <t xml:space="preserve">MEDICAL AMOUNT </t>
  </si>
  <si>
    <t>의료비의내용</t>
  </si>
  <si>
    <t>MED_DESC</t>
  </si>
  <si>
    <t xml:space="preserve">MEDICAL DESCRIPTION </t>
  </si>
  <si>
    <t>현재건강보험공제금액</t>
  </si>
  <si>
    <t>MED_RMV</t>
  </si>
  <si>
    <t xml:space="preserve">MEDICAL REMOVE </t>
  </si>
  <si>
    <t>의료기관현금영수증금액</t>
  </si>
  <si>
    <t>MEDCASH_AMT</t>
  </si>
  <si>
    <t xml:space="preserve">MEDICAL CASH AMOUNT </t>
  </si>
  <si>
    <t>의료기관신용카드사용금액(그밖의자료)</t>
  </si>
  <si>
    <t>MEDUSE_AMT</t>
  </si>
  <si>
    <t xml:space="preserve">MEDICAL USE AMOUNT </t>
  </si>
  <si>
    <t>미평가분</t>
  </si>
  <si>
    <t>MEEEVL_AMT</t>
  </si>
  <si>
    <t xml:space="preserve">MEE EVALUATE AMOUNT </t>
  </si>
  <si>
    <t>미상각액</t>
  </si>
  <si>
    <t>MEESGK_AMT</t>
  </si>
  <si>
    <t xml:space="preserve">MEE SANGGAK AMOUNT </t>
  </si>
  <si>
    <t>미상각잔액</t>
  </si>
  <si>
    <t>MEESGKJAN_AMT</t>
  </si>
  <si>
    <t xml:space="preserve">MEE SANGGAK JAN AMOUNT </t>
  </si>
  <si>
    <t>사용메뉴</t>
  </si>
  <si>
    <t>MENU_ID</t>
  </si>
  <si>
    <t xml:space="preserve">MENU IDENTITY </t>
  </si>
  <si>
    <t>사용화면ID</t>
  </si>
  <si>
    <t>메뉴ID</t>
  </si>
  <si>
    <t>MENUID</t>
  </si>
  <si>
    <t>메뉴명</t>
  </si>
  <si>
    <t>MENUNAME</t>
  </si>
  <si>
    <t>의료보험번호</t>
    <phoneticPr fontId="3" type="noConversion"/>
  </si>
  <si>
    <t>MES</t>
  </si>
  <si>
    <t>MEDICAL INSURANCE</t>
  </si>
  <si>
    <t xml:space="preserve">의료보험번호 </t>
    <phoneticPr fontId="3" type="noConversion"/>
  </si>
  <si>
    <t xml:space="preserve">MEDICAL INSURANCE NUMBER </t>
  </si>
  <si>
    <t>의료보험번호(200710부터 전환자 예산코드)</t>
    <phoneticPr fontId="3" type="noConversion"/>
  </si>
  <si>
    <t>현재건강보험등급</t>
  </si>
  <si>
    <t xml:space="preserve">MEDICAL INSURANCE RANK </t>
  </si>
  <si>
    <t>의료보험</t>
  </si>
  <si>
    <t>MESTOT_AMT</t>
  </si>
  <si>
    <t xml:space="preserve">MEDICAL INSURANCE TOTAL AMOUNT </t>
  </si>
  <si>
    <t>중간정산기준일</t>
  </si>
  <si>
    <t>MIDEMP_DAT</t>
  </si>
  <si>
    <t xml:space="preserve">MIDDLE EMPLOYEE DATE </t>
  </si>
  <si>
    <t>미지급확정채무액</t>
    <phoneticPr fontId="3" type="noConversion"/>
  </si>
  <si>
    <t>MIJIGUB_AMT</t>
    <phoneticPr fontId="3" type="noConversion"/>
  </si>
  <si>
    <t xml:space="preserve">MIJIGUB AMOUNT </t>
  </si>
  <si>
    <t>미지급확정채무액(단리)</t>
  </si>
  <si>
    <t>국산외산구분</t>
  </si>
  <si>
    <t>MIO_GB</t>
  </si>
  <si>
    <t xml:space="preserve">MADE IN OVERSEA GUBUN </t>
  </si>
  <si>
    <t>출판사명</t>
  </si>
  <si>
    <t>MKE_COM</t>
  </si>
  <si>
    <t xml:space="preserve">MAKE COMPANY </t>
  </si>
  <si>
    <t>제작일자</t>
  </si>
  <si>
    <t>MKE_DAT</t>
  </si>
  <si>
    <t xml:space="preserve">MAKE DATE </t>
  </si>
  <si>
    <t>정산월</t>
  </si>
  <si>
    <t>MM</t>
  </si>
  <si>
    <t>MONTH</t>
  </si>
  <si>
    <t>월부금</t>
  </si>
  <si>
    <t>MM_AMT</t>
  </si>
  <si>
    <t xml:space="preserve">MONTH AMOUNT </t>
  </si>
  <si>
    <t>MM_CNT</t>
  </si>
  <si>
    <t xml:space="preserve">MONTH COUNT </t>
  </si>
  <si>
    <t xml:space="preserve">MONTH OUT TAX </t>
  </si>
  <si>
    <t>MNC_AMT</t>
  </si>
  <si>
    <t xml:space="preserve">MANAGEMENT CHANGE AMOUNT </t>
  </si>
  <si>
    <t>관리전환자</t>
  </si>
  <si>
    <t>MNC_NM</t>
  </si>
  <si>
    <t xml:space="preserve">MANAGEMENT CHANGE NAME </t>
  </si>
  <si>
    <t>관리전환인수자</t>
  </si>
  <si>
    <t>MNCACP_NM</t>
  </si>
  <si>
    <t xml:space="preserve">MANAGEMENT CHANGE ACCEPTANCE NAME </t>
  </si>
  <si>
    <t>관리전환부서</t>
  </si>
  <si>
    <t>MNCAD_CD</t>
  </si>
  <si>
    <t xml:space="preserve">MANAGEMENT CHANGE DEPARTMENT CODE </t>
  </si>
  <si>
    <t>관리전환인수부서</t>
  </si>
  <si>
    <t>MNCBD_CD</t>
  </si>
  <si>
    <t xml:space="preserve">MANAGEMENT CHANGE ACCEPTANCE DEPARTMENT CODE </t>
  </si>
  <si>
    <t>관리전환기타</t>
  </si>
  <si>
    <t>MNCETC_AMT</t>
  </si>
  <si>
    <t xml:space="preserve">MANAGEMENT CHANGE ETC AMOUNT </t>
  </si>
  <si>
    <t>MNG_AMT</t>
  </si>
  <si>
    <t>관리비부가세</t>
  </si>
  <si>
    <t>MNG_VAT</t>
  </si>
  <si>
    <t xml:space="preserve">MANAGEMENT VALUE-ADDED TAX </t>
  </si>
  <si>
    <t>제조원</t>
  </si>
  <si>
    <t>MNU_CMP</t>
  </si>
  <si>
    <t xml:space="preserve">MANUFACTURE COMPANY </t>
  </si>
  <si>
    <t>이동후위치</t>
  </si>
  <si>
    <t>MOA_LOC</t>
  </si>
  <si>
    <t xml:space="preserve">MODIFY AFER LOCATION </t>
  </si>
  <si>
    <t>이동전위치</t>
  </si>
  <si>
    <t>MOB_LOC</t>
  </si>
  <si>
    <t xml:space="preserve">MODIFY BEFORE LOCATION </t>
  </si>
  <si>
    <t>이동부서</t>
  </si>
  <si>
    <t>MODEPT_CD</t>
  </si>
  <si>
    <t xml:space="preserve">MODIFY DEPARTMENT CODE </t>
  </si>
  <si>
    <t>예산코드는 "장-관-항-목…" 형식으로 구성되는데 네번째 목코드</t>
    <phoneticPr fontId="3" type="noConversion"/>
  </si>
  <si>
    <t>목명</t>
  </si>
  <si>
    <t>MOK_NM</t>
  </si>
  <si>
    <t xml:space="preserve">MOK NAME </t>
  </si>
  <si>
    <t>예산코드는 "장-관-항-목…" 형식으로 구성되는데 네번째 목명칭</t>
    <phoneticPr fontId="3" type="noConversion"/>
  </si>
  <si>
    <t>근저당권채권보전방법</t>
  </si>
  <si>
    <t>MOTOBP_MTH</t>
  </si>
  <si>
    <t xml:space="preserve">MONEY TOTAL OBLIGATORY RIGHT PRESERVATION METHOD </t>
  </si>
  <si>
    <t>이동코드</t>
  </si>
  <si>
    <t>MOVE_CD</t>
  </si>
  <si>
    <t xml:space="preserve">MOVE CODE </t>
  </si>
  <si>
    <t>이사건수</t>
  </si>
  <si>
    <t>MOVE_CNT</t>
  </si>
  <si>
    <t xml:space="preserve">MOVE COUNT </t>
  </si>
  <si>
    <t>명예퇴직수당</t>
  </si>
  <si>
    <t>MRTI_ARA</t>
  </si>
  <si>
    <t xml:space="preserve">MAIN RETIREMENT AREA </t>
  </si>
  <si>
    <t>입주자</t>
  </si>
  <si>
    <t>MVI_NM</t>
  </si>
  <si>
    <t xml:space="preserve">MOVE IN NAME </t>
  </si>
  <si>
    <t>성별</t>
    <phoneticPr fontId="3" type="noConversion"/>
  </si>
  <si>
    <t xml:space="preserve">MAN WOMAN GUBUN </t>
  </si>
  <si>
    <t>남 : 1,5  여 : 2, 6</t>
    <phoneticPr fontId="3" type="noConversion"/>
  </si>
  <si>
    <t>2000년이후근속월수</t>
  </si>
  <si>
    <t>MWRK_NMS</t>
  </si>
  <si>
    <t xml:space="preserve">MILLENNIUM WORK NUMBER OF MONTH SERVICE </t>
  </si>
  <si>
    <t>2000년이후근속년수</t>
  </si>
  <si>
    <t>MWRK_NYS</t>
  </si>
  <si>
    <t xml:space="preserve">MILLENNIUM WORK NUMBER OF YEAR SERVICE </t>
  </si>
  <si>
    <t>내,외국인구분</t>
    <phoneticPr fontId="3" type="noConversion"/>
  </si>
  <si>
    <t>N_GB</t>
  </si>
  <si>
    <t xml:space="preserve">NATIONALITY GUBUN </t>
  </si>
  <si>
    <t>1:내국인,9:외국인</t>
    <phoneticPr fontId="3" type="noConversion"/>
  </si>
  <si>
    <t>NAB_DAT</t>
  </si>
  <si>
    <t xml:space="preserve">NABPUM DATE </t>
  </si>
  <si>
    <t>납품기간(FROM)</t>
  </si>
  <si>
    <t>NAB_FRDAT</t>
  </si>
  <si>
    <t xml:space="preserve">NABPUM FROM DATE </t>
  </si>
  <si>
    <t>NAB_PLS</t>
  </si>
  <si>
    <t xml:space="preserve">NABPUM PLACE </t>
  </si>
  <si>
    <t>NAB_TERM</t>
  </si>
  <si>
    <t xml:space="preserve">NABPUM TERM </t>
  </si>
  <si>
    <t>납품기간(TO)</t>
  </si>
  <si>
    <t>NAB_TODAT</t>
  </si>
  <si>
    <t xml:space="preserve">NABPUM TO DATE </t>
  </si>
  <si>
    <t>납품요구번호</t>
  </si>
  <si>
    <t>NABREQ_NO</t>
  </si>
  <si>
    <t xml:space="preserve">NABPUM REQUEST NUMBER </t>
  </si>
  <si>
    <t>NAI</t>
  </si>
  <si>
    <t>야당숙박료</t>
  </si>
  <si>
    <t>NALESL_AMT</t>
    <phoneticPr fontId="3" type="noConversion"/>
  </si>
  <si>
    <t xml:space="preserve">NALESL AMOUNT </t>
  </si>
  <si>
    <t>한자성명</t>
  </si>
  <si>
    <t>NAME_CHN</t>
  </si>
  <si>
    <t xml:space="preserve">NAME CHINA </t>
  </si>
  <si>
    <t>NAME_KOR</t>
  </si>
  <si>
    <t xml:space="preserve">NAME KOREA </t>
  </si>
  <si>
    <t>국가코드</t>
  </si>
  <si>
    <t>NAT_CD</t>
  </si>
  <si>
    <t xml:space="preserve">NATION CODE </t>
  </si>
  <si>
    <t>NAT_NM</t>
  </si>
  <si>
    <t xml:space="preserve">NATION NAME </t>
  </si>
  <si>
    <t>불참내역</t>
  </si>
  <si>
    <t>NATN_TXT</t>
  </si>
  <si>
    <t xml:space="preserve">NOT ATTENDANCE TEXT </t>
  </si>
  <si>
    <t>NENU_NM</t>
  </si>
  <si>
    <t xml:space="preserve">MENU NAME </t>
  </si>
  <si>
    <t xml:space="preserve">NEW DEPARTMENT OFFICIAL ORDER DATE </t>
  </si>
  <si>
    <t>누진공제액</t>
  </si>
  <si>
    <t>NGJ_RMP</t>
  </si>
  <si>
    <t xml:space="preserve">NUJIN GONGJE REMOVE </t>
  </si>
  <si>
    <t>NAME</t>
  </si>
  <si>
    <t>NMFNED_AMT</t>
  </si>
  <si>
    <t>NEXT MONTH FUND NEED AMOUNT</t>
  </si>
  <si>
    <t>NOJ_AMT</t>
  </si>
  <si>
    <t xml:space="preserve">NOJO AMOUNT </t>
  </si>
  <si>
    <t xml:space="preserve">NOJO YES NO </t>
  </si>
  <si>
    <t>불용예정수량</t>
    <phoneticPr fontId="3" type="noConversion"/>
  </si>
  <si>
    <t>NOT_SCH_QNT</t>
    <phoneticPr fontId="3" type="noConversion"/>
  </si>
  <si>
    <t>NOT SCHEDULE QUANTITY</t>
    <phoneticPr fontId="3" type="noConversion"/>
  </si>
  <si>
    <t>활용 용도가 없어지거나, 파손(파괴)로 인하여 사용하지 않을 예상 수량</t>
    <phoneticPr fontId="3" type="noConversion"/>
  </si>
  <si>
    <t>불용처리구분</t>
  </si>
  <si>
    <t>NOTPRC_GB</t>
  </si>
  <si>
    <t xml:space="preserve">NOT PROCESS GUBUN </t>
  </si>
  <si>
    <t>불용처리한 구분자</t>
    <phoneticPr fontId="3" type="noConversion"/>
  </si>
  <si>
    <t>신기술장비여부</t>
  </si>
  <si>
    <t>NTEQU_YN</t>
  </si>
  <si>
    <t xml:space="preserve">NEW TECHNOLOGY EQUIPMENT YES NO </t>
  </si>
  <si>
    <t xml:space="preserve">NATION AMOUNT </t>
  </si>
  <si>
    <t>전년도 평균소득월액을 기준으로 당해년도 부과 (단, 비과세제외)</t>
    <phoneticPr fontId="3" type="noConversion"/>
  </si>
  <si>
    <t xml:space="preserve">NATION RANK </t>
  </si>
  <si>
    <t>NTRCON_AMT</t>
  </si>
  <si>
    <t xml:space="preserve">NATION RETIREMENT CONVERSION AMOUNT </t>
  </si>
  <si>
    <t>99년 3월 이전 입사자는 회사가 근로자 분담금 1/3 대신 납부해 준 금액</t>
    <phoneticPr fontId="3" type="noConversion"/>
  </si>
  <si>
    <t>국민연금퇴직전환금지급구분</t>
  </si>
  <si>
    <t>NTRCON_YN</t>
  </si>
  <si>
    <t xml:space="preserve">NATION RETIREMENT CONVERSION YES NO </t>
  </si>
  <si>
    <t>99년 3월 이전 입사자는 회사가 근로자 분담금 1/3 대신 납부 구분</t>
    <phoneticPr fontId="3" type="noConversion"/>
  </si>
  <si>
    <t xml:space="preserve">ORGAN CODE </t>
  </si>
  <si>
    <t xml:space="preserve">ORGAN GUBUN </t>
  </si>
  <si>
    <t xml:space="preserve">ORGAN GUBUN NAME </t>
  </si>
  <si>
    <t xml:space="preserve">ORGAN NAME </t>
  </si>
  <si>
    <t xml:space="preserve">ORGAN SMALL NAME </t>
  </si>
  <si>
    <t xml:space="preserve">OVERS AND SHORTS QUANTITY </t>
  </si>
  <si>
    <r>
      <t xml:space="preserve">장부의 수량과 실제 수량이 틀리고 그 원인을 알 수 없는 경우에 일시적으로 </t>
    </r>
    <r>
      <rPr>
        <sz val="9"/>
        <color indexed="8"/>
        <rFont val="굴림"/>
        <family val="3"/>
        <charset val="129"/>
      </rPr>
      <t>과부족을 처리하는 수량</t>
    </r>
    <phoneticPr fontId="3" type="noConversion"/>
  </si>
  <si>
    <t>대상구분</t>
  </si>
  <si>
    <t>OBJ_GB</t>
  </si>
  <si>
    <t xml:space="preserve">OBJECT GUBUN </t>
  </si>
  <si>
    <t>채권금액</t>
  </si>
  <si>
    <t>OBL_AMT</t>
  </si>
  <si>
    <t xml:space="preserve">OBLIGATORY RIGHT AMOUNT </t>
  </si>
  <si>
    <t>국가, 지자체,회사 따위가 필요한 자금을 차입하기 위하여 발행하는 유가증권.국공채, 사채, 지방채 금액</t>
    <phoneticPr fontId="3" type="noConversion"/>
  </si>
  <si>
    <t>채권압류액</t>
  </si>
  <si>
    <t>OBLSZR_AMT</t>
  </si>
  <si>
    <t xml:space="preserve">OBLIGATORY RIGHT SEIZURE AMOUNT </t>
  </si>
  <si>
    <t>국가, 지자체,회사가 발행한 유가증권.국공채, 사채, 지방채 를 압류한 금액</t>
    <phoneticPr fontId="3" type="noConversion"/>
  </si>
  <si>
    <t xml:space="preserve">OBLIGATORY RIGHT SEIZURE YES NO </t>
  </si>
  <si>
    <t>국가, 지자체,회사가 발행한 유가증권.국공채, 사채, 지방채 를 압류여부를 관리</t>
    <phoneticPr fontId="3" type="noConversion"/>
  </si>
  <si>
    <t xml:space="preserve">OCCUPATION NAME </t>
  </si>
  <si>
    <t>직업이나 직무의 종류</t>
    <phoneticPr fontId="3" type="noConversion"/>
  </si>
  <si>
    <t>직종그룹명</t>
  </si>
  <si>
    <t>OCCG_NM</t>
  </si>
  <si>
    <t xml:space="preserve">OCCUPATION GROUP NAME </t>
  </si>
  <si>
    <t>직업이나 직무의 종류를 분류명</t>
    <phoneticPr fontId="3" type="noConversion"/>
  </si>
  <si>
    <t>직종그룹</t>
  </si>
  <si>
    <t>OCCG_SQN</t>
  </si>
  <si>
    <t xml:space="preserve">OCCUPATION GROUP SEQUENCE </t>
  </si>
  <si>
    <t>직업이나 직무의 종류를 분류</t>
    <phoneticPr fontId="3" type="noConversion"/>
  </si>
  <si>
    <t xml:space="preserve">OFFICIAL ORDER DATE </t>
  </si>
  <si>
    <t>직책이나 직위와 관계된 명령을 내린일</t>
    <phoneticPr fontId="3" type="noConversion"/>
  </si>
  <si>
    <t xml:space="preserve">OFFICIAL ORDER GUBUN </t>
  </si>
  <si>
    <t>직책이나 직위와 관계된 명령 구분자</t>
    <phoneticPr fontId="3" type="noConversion"/>
  </si>
  <si>
    <t xml:space="preserve">OFFICIAL ORDER GROUP </t>
  </si>
  <si>
    <t>직책이나 직위와 관계된 명령 분류</t>
    <phoneticPr fontId="3" type="noConversion"/>
  </si>
  <si>
    <t xml:space="preserve">OFFICIAL ORDER NUMBER </t>
  </si>
  <si>
    <t>직책이나 직위와 관계된 명령을 내린 문서번호</t>
    <phoneticPr fontId="3" type="noConversion"/>
  </si>
  <si>
    <t xml:space="preserve">OFFICIAL ORDER ORGAN CODE </t>
  </si>
  <si>
    <t>직책이나 직위와 관계된 명령을 내린 상위기관</t>
    <phoneticPr fontId="3" type="noConversion"/>
  </si>
  <si>
    <t xml:space="preserve">OFFICIAL ORDER GUBUN NAME </t>
  </si>
  <si>
    <t>직책이나 직위와 관계된 명령 구분명칭</t>
    <phoneticPr fontId="3" type="noConversion"/>
  </si>
  <si>
    <t>직책이나 직위와 관계된 명령을 내린 기관이나 부서</t>
    <phoneticPr fontId="3" type="noConversion"/>
  </si>
  <si>
    <t>인사발령처리일자</t>
  </si>
  <si>
    <t>OFOPR_DAT</t>
  </si>
  <si>
    <t xml:space="preserve">OFFICIAL ORDER PROCESS DATE </t>
  </si>
  <si>
    <t>직책이나 직위와 관계된 명령을 내린것을 실제로 처리한 일자</t>
    <phoneticPr fontId="3" type="noConversion"/>
  </si>
  <si>
    <t>개인이 태어난 본적지</t>
    <phoneticPr fontId="3" type="noConversion"/>
  </si>
  <si>
    <t>원장일자</t>
  </si>
  <si>
    <t>OGL_DAT</t>
  </si>
  <si>
    <t xml:space="preserve">ORIGINAL LEDGER DATE </t>
  </si>
  <si>
    <t>OL_KND</t>
  </si>
  <si>
    <t xml:space="preserve">OIL KIND </t>
  </si>
  <si>
    <t>노후수량</t>
  </si>
  <si>
    <t>OLD_QNT</t>
  </si>
  <si>
    <t xml:space="preserve">OLD QUANTITY </t>
  </si>
  <si>
    <t>단체명</t>
  </si>
  <si>
    <t>ONC_NM</t>
  </si>
  <si>
    <t xml:space="preserve">ONE COMPANY NAME </t>
  </si>
  <si>
    <t>기관번호</t>
  </si>
  <si>
    <t>ORG_NO</t>
  </si>
  <si>
    <t xml:space="preserve">ORGAN NUMBER </t>
  </si>
  <si>
    <t xml:space="preserve">ORGAN TYPE CODE </t>
  </si>
  <si>
    <t xml:space="preserve">ORGAN TYPE NAME </t>
  </si>
  <si>
    <t>기관유형약어</t>
  </si>
  <si>
    <t>OTYP_SNM</t>
  </si>
  <si>
    <t xml:space="preserve">ORGAN TYPE SMALL NAME </t>
  </si>
  <si>
    <t>OUT_AMT</t>
  </si>
  <si>
    <t xml:space="preserve">OUT AMOUNT </t>
  </si>
  <si>
    <t>퇴사일자</t>
  </si>
  <si>
    <t>OUT_DAT</t>
  </si>
  <si>
    <t xml:space="preserve">OUT DATE </t>
  </si>
  <si>
    <t>산출비율</t>
  </si>
  <si>
    <t>OUT_RAT</t>
  </si>
  <si>
    <t xml:space="preserve">OUT RATE </t>
  </si>
  <si>
    <t xml:space="preserve">OUT SEQUENCE </t>
  </si>
  <si>
    <t>산출세액</t>
  </si>
  <si>
    <t>OUT_TAX</t>
    <phoneticPr fontId="3" type="noConversion"/>
  </si>
  <si>
    <t xml:space="preserve">OUT TAX </t>
    <phoneticPr fontId="3" type="noConversion"/>
  </si>
  <si>
    <t>세법 기준으로 근로소득세, 양도세, 취득세 등를 계산하여 산출된 금액</t>
    <phoneticPr fontId="3" type="noConversion"/>
  </si>
  <si>
    <t>산출내역</t>
  </si>
  <si>
    <t>OUT_TXT</t>
  </si>
  <si>
    <t xml:space="preserve">OUT TEXT </t>
  </si>
  <si>
    <t>세액 산출 근거</t>
    <phoneticPr fontId="3" type="noConversion"/>
  </si>
  <si>
    <t>OWN_GB</t>
  </si>
  <si>
    <t xml:space="preserve">OWN GUBUN </t>
  </si>
  <si>
    <t>소유자명</t>
  </si>
  <si>
    <t>OWN_NM</t>
  </si>
  <si>
    <t xml:space="preserve">OWN NAME </t>
  </si>
  <si>
    <t>P_ALA</t>
  </si>
  <si>
    <t xml:space="preserve">PAYMENT ALLOWANCE </t>
  </si>
  <si>
    <t>필요경비</t>
  </si>
  <si>
    <t>P_AMT</t>
  </si>
  <si>
    <t xml:space="preserve">PAYMENT AMOUNT </t>
  </si>
  <si>
    <t>급여소득, 퇴직소득,법인세 등 에는 필요경비를 대신하여 소득공제하는 금액</t>
    <phoneticPr fontId="3" type="noConversion"/>
  </si>
  <si>
    <t>지급일/거래일자/발행일</t>
  </si>
  <si>
    <t>P_DAT</t>
  </si>
  <si>
    <t xml:space="preserve">PAYMENT DATE </t>
  </si>
  <si>
    <t>여비등기타</t>
  </si>
  <si>
    <t>P_ETC</t>
  </si>
  <si>
    <t xml:space="preserve">PAYMENT ETC </t>
  </si>
  <si>
    <t>P_FCO</t>
  </si>
  <si>
    <t xml:space="preserve">PAYMENT FOOD COST </t>
  </si>
  <si>
    <t>수동변경여부</t>
  </si>
  <si>
    <t>PAC_YN</t>
  </si>
  <si>
    <t xml:space="preserve">PASSIVITY CHANGE YES NO </t>
  </si>
  <si>
    <t>월급여</t>
  </si>
  <si>
    <t>PAYMENT OF MONTH</t>
  </si>
  <si>
    <t>급여총액</t>
  </si>
  <si>
    <t>PAMTOT_AMT</t>
  </si>
  <si>
    <t xml:space="preserve">PAYMENT TOTAL AMOUNT </t>
  </si>
  <si>
    <t>고지서구분</t>
  </si>
  <si>
    <t>PAP_GB</t>
  </si>
  <si>
    <t xml:space="preserve">PAPER GUBUN </t>
  </si>
  <si>
    <t>참여자</t>
  </si>
  <si>
    <t>PART_EMP</t>
  </si>
  <si>
    <t xml:space="preserve">PARTICIPATION EMPLOYEE </t>
  </si>
  <si>
    <t>편성금액</t>
  </si>
  <si>
    <t>PAT_AMT</t>
  </si>
  <si>
    <t xml:space="preserve">PART AMOUNT </t>
  </si>
  <si>
    <t>예산을 조직별 배분한 금액</t>
    <phoneticPr fontId="3" type="noConversion"/>
  </si>
  <si>
    <t>편성완료여부</t>
  </si>
  <si>
    <t>PAT_COM_YN</t>
  </si>
  <si>
    <t>PART COMPANY YES NO</t>
  </si>
  <si>
    <t>예산을 조직별 배분 여부</t>
    <phoneticPr fontId="3" type="noConversion"/>
  </si>
  <si>
    <t>편성수량</t>
  </si>
  <si>
    <t>PAT_QNT</t>
  </si>
  <si>
    <t xml:space="preserve">PART QUANTITY </t>
  </si>
  <si>
    <t>수량을 조직별 배분한 수량</t>
    <phoneticPr fontId="3" type="noConversion"/>
  </si>
  <si>
    <t>편성단가</t>
  </si>
  <si>
    <t>PATPRI_AMT</t>
  </si>
  <si>
    <t xml:space="preserve">PART PRICE AMOUNT </t>
  </si>
  <si>
    <t>예산을 조직별 항목별 배분한 금액</t>
    <phoneticPr fontId="3" type="noConversion"/>
  </si>
  <si>
    <t>지출원인행위</t>
    <phoneticPr fontId="3" type="noConversion"/>
  </si>
  <si>
    <t>PAYCSE_AMT</t>
  </si>
  <si>
    <t xml:space="preserve">PAYMENT CAUSE AMOUNT </t>
  </si>
  <si>
    <r>
      <t xml:space="preserve">세출 예산에 채무 부담 </t>
    </r>
    <r>
      <rPr>
        <sz val="9"/>
        <color indexed="8"/>
        <rFont val="굴림"/>
        <family val="3"/>
        <charset val="129"/>
      </rPr>
      <t>행위</t>
    </r>
    <phoneticPr fontId="3" type="noConversion"/>
  </si>
  <si>
    <t>지출원인행위일자</t>
  </si>
  <si>
    <t>PAYCSE_DAT</t>
  </si>
  <si>
    <t xml:space="preserve">PAYMENT CAUSE DATE </t>
  </si>
  <si>
    <r>
      <t xml:space="preserve">세출 예산에 채무 부담 </t>
    </r>
    <r>
      <rPr>
        <sz val="9"/>
        <color indexed="8"/>
        <rFont val="굴림"/>
        <family val="3"/>
        <charset val="129"/>
      </rPr>
      <t>행위를 시행한 날</t>
    </r>
    <phoneticPr fontId="3" type="noConversion"/>
  </si>
  <si>
    <t>지출원인행위자</t>
  </si>
  <si>
    <t>PAYCSEJA_NM</t>
  </si>
  <si>
    <t xml:space="preserve">PAYMENT CAUSE JA NAME </t>
  </si>
  <si>
    <r>
      <t xml:space="preserve">세출 예산에 채무 부담 </t>
    </r>
    <r>
      <rPr>
        <sz val="9"/>
        <color indexed="8"/>
        <rFont val="굴림"/>
        <family val="3"/>
        <charset val="129"/>
      </rPr>
      <t>행위를 한 사람</t>
    </r>
    <phoneticPr fontId="3" type="noConversion"/>
  </si>
  <si>
    <t>조서일자</t>
  </si>
  <si>
    <t>PCL_DAT</t>
  </si>
  <si>
    <t xml:space="preserve">PROTOCOL DATE </t>
  </si>
  <si>
    <t>소송 절차의 경과 및 내용을 공증하기 위하여 기관이 작성하는 문서 기록일</t>
    <phoneticPr fontId="3" type="noConversion"/>
  </si>
  <si>
    <t>조달수수료</t>
  </si>
  <si>
    <t>PCM_CMF</t>
  </si>
  <si>
    <t xml:space="preserve">PROCUREMENT COMMISSION FEE </t>
  </si>
  <si>
    <t>조달청에서 입찰을 대행하면서 받는 수수료</t>
    <phoneticPr fontId="3" type="noConversion"/>
  </si>
  <si>
    <t>연금저축</t>
  </si>
  <si>
    <t>PEN_SAV</t>
  </si>
  <si>
    <t xml:space="preserve">PENSION SAVE </t>
  </si>
  <si>
    <t>생명 보험 회사나 신탁 은행이 개인에게 상품으로 판매하는 연금 지불형 저축</t>
    <phoneticPr fontId="3" type="noConversion"/>
  </si>
  <si>
    <t>연금소득</t>
    <phoneticPr fontId="3" type="noConversion"/>
  </si>
  <si>
    <t>PENERN_AMT</t>
  </si>
  <si>
    <t xml:space="preserve">PENSION EARN AMOUNT </t>
  </si>
  <si>
    <r>
      <t>연금</t>
    </r>
    <r>
      <rPr>
        <sz val="9"/>
        <color indexed="8"/>
        <rFont val="굴림"/>
        <family val="3"/>
        <charset val="129"/>
      </rPr>
      <t xml:space="preserve"> 저축에서 발생한 소득</t>
    </r>
    <phoneticPr fontId="3" type="noConversion"/>
  </si>
  <si>
    <t>국민연금공제금액</t>
  </si>
  <si>
    <t>PENRMV_AMT</t>
  </si>
  <si>
    <t xml:space="preserve">PENSION REMOVE AMOUNT </t>
  </si>
  <si>
    <t>매월 국민연금에 가입하여 매월 납입하는 금액</t>
    <phoneticPr fontId="3" type="noConversion"/>
  </si>
  <si>
    <t>연금퇴직금</t>
    <phoneticPr fontId="3" type="noConversion"/>
  </si>
  <si>
    <t>PENRTI_AMT</t>
  </si>
  <si>
    <t xml:space="preserve">PENSION RETIREMENT AMOUNT </t>
  </si>
  <si>
    <t>기업이 퇴직 연금 보험 따위에 가입하여 근로자가 퇴직할 때 지급하여야 할 퇴직금</t>
    <phoneticPr fontId="3" type="noConversion"/>
  </si>
  <si>
    <t>본인주택자금</t>
  </si>
  <si>
    <t>PERHOU_AMT</t>
  </si>
  <si>
    <t xml:space="preserve">PERSONAL HOUSE AMOUNT </t>
  </si>
  <si>
    <t>개인연금</t>
  </si>
  <si>
    <t>PERPEN_AMT</t>
  </si>
  <si>
    <t xml:space="preserve">PERSONAL PENSION AMOUNT </t>
  </si>
  <si>
    <r>
      <t>개인</t>
    </r>
    <r>
      <rPr>
        <sz val="9"/>
        <color indexed="8"/>
        <rFont val="굴림"/>
        <family val="3"/>
        <charset val="129"/>
      </rPr>
      <t xml:space="preserve">이 보험 회사나 은행에 개인연금을 가입하여 매월 일정액을 납입하는 금액 </t>
    </r>
    <phoneticPr fontId="3" type="noConversion"/>
  </si>
  <si>
    <t>개인연금공제</t>
  </si>
  <si>
    <t>PERRMV_AMT</t>
  </si>
  <si>
    <t xml:space="preserve">PERSONAL REMOVE AMOUNT </t>
  </si>
  <si>
    <t>본인학자금</t>
  </si>
  <si>
    <t>PERSCH_AMT</t>
  </si>
  <si>
    <t xml:space="preserve">PERSONAL SCHOOL AMOUNT </t>
  </si>
  <si>
    <t>기업에서 근무하는 직원 본인이 대학(원)에서 학업시 기관에서 지급하는 등록금 보조금액</t>
    <phoneticPr fontId="3" type="noConversion"/>
  </si>
  <si>
    <t>PIC_AM</t>
  </si>
  <si>
    <t>PICTURE AM</t>
    <phoneticPr fontId="3" type="noConversion"/>
  </si>
  <si>
    <t>사진명</t>
  </si>
  <si>
    <t>PIC_NM</t>
  </si>
  <si>
    <t xml:space="preserve">PICTURE NAME </t>
  </si>
  <si>
    <t>PL계정과목명</t>
    <phoneticPr fontId="3" type="noConversion"/>
  </si>
  <si>
    <t>PL_NM</t>
  </si>
  <si>
    <t xml:space="preserve">PL NAME </t>
  </si>
  <si>
    <t>기업회계 기준에 따른 손익계산서에 표현되는 계정과목</t>
    <phoneticPr fontId="3" type="noConversion"/>
  </si>
  <si>
    <t>PL순번</t>
  </si>
  <si>
    <t>PL_SQN</t>
  </si>
  <si>
    <t xml:space="preserve">PL SEQUENCE </t>
  </si>
  <si>
    <t>기업회계 기준에 따른 손익계산서에 계정과목을 표현하는 순서</t>
    <phoneticPr fontId="3" type="noConversion"/>
  </si>
  <si>
    <t>대외 기관에 제출하고자 하는 대상기관</t>
    <phoneticPr fontId="3" type="noConversion"/>
  </si>
  <si>
    <t>PLAN_AMT</t>
  </si>
  <si>
    <t xml:space="preserve">PLAN AMOUNT </t>
  </si>
  <si>
    <t>시도</t>
  </si>
  <si>
    <t>PLS_DO</t>
  </si>
  <si>
    <t xml:space="preserve">PLACE DO </t>
  </si>
  <si>
    <t>PM</t>
  </si>
  <si>
    <t>PMN_AMT</t>
  </si>
  <si>
    <t xml:space="preserve">PAYMENT  AMOUNT </t>
  </si>
  <si>
    <t>근로자자가 하루간 근로를 제공하고 받는 돈</t>
    <phoneticPr fontId="3" type="noConversion"/>
  </si>
  <si>
    <t>승급일자</t>
  </si>
  <si>
    <t>PMO_DAT</t>
  </si>
  <si>
    <t xml:space="preserve">PROMOTION DATE </t>
  </si>
  <si>
    <t>인사명령에 의해 직급이 한 단계 이상 올라간 일자</t>
    <phoneticPr fontId="3" type="noConversion"/>
  </si>
  <si>
    <t>승급구분(HM56)</t>
  </si>
  <si>
    <t>PMO_GB</t>
  </si>
  <si>
    <t xml:space="preserve">PROMOTION GUBUN </t>
  </si>
  <si>
    <t>인사명령에 의해 직급이 한 단계 이상 올라간 승급 구분자</t>
    <phoneticPr fontId="3" type="noConversion"/>
  </si>
  <si>
    <t>승급호봉(직급+호봉)</t>
  </si>
  <si>
    <t>PMO_HOB</t>
  </si>
  <si>
    <t xml:space="preserve">PROMOTION HOBONG </t>
  </si>
  <si>
    <t>인사명령에 의해 직급이 한 단계 이상 올라간 직급과 호봉</t>
    <phoneticPr fontId="3" type="noConversion"/>
  </si>
  <si>
    <t>승급사유</t>
  </si>
  <si>
    <t>PMO_RMK</t>
  </si>
  <si>
    <t xml:space="preserve">PROMOTION REMARK </t>
  </si>
  <si>
    <t>인사명령에 의해 직급이 한 단계 이상 올라간 사유 (정기습급, 특별승급 등)</t>
    <phoneticPr fontId="3" type="noConversion"/>
  </si>
  <si>
    <t>월보수</t>
  </si>
  <si>
    <t>근로자자가 한 달간 만근시 받는 돈 (급여)</t>
    <phoneticPr fontId="3" type="noConversion"/>
  </si>
  <si>
    <t xml:space="preserve">PAYMENT CODE </t>
  </si>
  <si>
    <t xml:space="preserve">PAYMENT CAUSE </t>
  </si>
  <si>
    <t>원천징수일(납부일)</t>
  </si>
  <si>
    <t>급여지급시 대납을 하기위해서 세금을 제외하고 집행한 일자</t>
    <phoneticPr fontId="3" type="noConversion"/>
  </si>
  <si>
    <t xml:space="preserve">PAYMENT GUBUN </t>
  </si>
  <si>
    <t>산출근거</t>
  </si>
  <si>
    <t>PMT_GIJUN</t>
  </si>
  <si>
    <t xml:space="preserve">PAYMENT GIJUN </t>
  </si>
  <si>
    <t xml:space="preserve">PAYMENT KIND </t>
  </si>
  <si>
    <t>지급내역명</t>
  </si>
  <si>
    <t xml:space="preserve">PAYMENT NAME </t>
  </si>
  <si>
    <t xml:space="preserve">PAYMENT RATE </t>
  </si>
  <si>
    <t>지급상태</t>
    <phoneticPr fontId="3" type="noConversion"/>
  </si>
  <si>
    <t xml:space="preserve">PAYMENT STATUS </t>
  </si>
  <si>
    <t>1:정상, 2:소급분</t>
    <phoneticPr fontId="3" type="noConversion"/>
  </si>
  <si>
    <t xml:space="preserve">PAYMENT TERM </t>
  </si>
  <si>
    <t xml:space="preserve">PAYMENT YEAR MONTH </t>
  </si>
  <si>
    <t>승진소요연수</t>
  </si>
  <si>
    <t>PMT_YNM</t>
  </si>
  <si>
    <t xml:space="preserve">PAYMENT YEAR NUMBER </t>
  </si>
  <si>
    <t xml:space="preserve">PAYMENT YEAR </t>
  </si>
  <si>
    <t>지급액한글</t>
  </si>
  <si>
    <t>PMTAMT_KOR</t>
  </si>
  <si>
    <t xml:space="preserve">PAYMENT AMOUNT KORRA </t>
  </si>
  <si>
    <t xml:space="preserve">PAYMENT DAY COUNT </t>
  </si>
  <si>
    <t xml:space="preserve">PAYMENT END DATE </t>
  </si>
  <si>
    <t>지급공제구분</t>
    <phoneticPr fontId="3" type="noConversion"/>
  </si>
  <si>
    <t>PMTRMV_GB</t>
  </si>
  <si>
    <t xml:space="preserve">PAYMENT REMOVE GUBUN </t>
  </si>
  <si>
    <t>1:지급, 2:공제</t>
    <phoneticPr fontId="3" type="noConversion"/>
  </si>
  <si>
    <t xml:space="preserve">PAYMENT START DATE </t>
  </si>
  <si>
    <t>납부금액</t>
  </si>
  <si>
    <t>PMY_AMT</t>
  </si>
  <si>
    <t xml:space="preserve">PAY MONEY AMOUNT </t>
  </si>
  <si>
    <t>납부기한</t>
  </si>
  <si>
    <t>PMY_DAT</t>
  </si>
  <si>
    <t xml:space="preserve">PAY MONEY DATE </t>
  </si>
  <si>
    <t>납부완료일자</t>
  </si>
  <si>
    <t>PMYCOM_DAT</t>
  </si>
  <si>
    <t xml:space="preserve">PAY MONEY COMPLETE DATE </t>
  </si>
  <si>
    <t>납부한글금액</t>
  </si>
  <si>
    <t>PMYKOR_AMT</t>
  </si>
  <si>
    <t xml:space="preserve">PAY MONEY KOREA AMOUNT </t>
  </si>
  <si>
    <t>증명서구분</t>
  </si>
  <si>
    <t>POF_GB</t>
  </si>
  <si>
    <t xml:space="preserve">PROOF GUBUN </t>
  </si>
  <si>
    <t>증명서번호</t>
  </si>
  <si>
    <t>POF_NO</t>
  </si>
  <si>
    <t xml:space="preserve">PROOF NUMBER </t>
  </si>
  <si>
    <t>원동기형식</t>
  </si>
  <si>
    <t>POG_FRM</t>
  </si>
  <si>
    <t>PRIME MOVER FORM</t>
  </si>
  <si>
    <t>지정일반기부금</t>
  </si>
  <si>
    <t>POPCTB_AMT</t>
  </si>
  <si>
    <t xml:space="preserve">POPULAR CONTRIBUTION AMOUNT </t>
  </si>
  <si>
    <t>일반의료비</t>
  </si>
  <si>
    <t>POPMED_AMT</t>
  </si>
  <si>
    <t xml:space="preserve">POPULAR MEDICAL AMOUNT </t>
  </si>
  <si>
    <t>보직코드(HM02)</t>
  </si>
  <si>
    <t xml:space="preserve">POSITION CODE </t>
  </si>
  <si>
    <t xml:space="preserve">POSITION NAME </t>
  </si>
  <si>
    <t>발의일자</t>
  </si>
  <si>
    <t>PPL_DAT</t>
  </si>
  <si>
    <t xml:space="preserve">PROPOSAL DATE </t>
  </si>
  <si>
    <t>최초 기획 및 지출결의 한 일자</t>
    <phoneticPr fontId="3" type="noConversion"/>
  </si>
  <si>
    <t>발의순번</t>
  </si>
  <si>
    <t>PPL_SQN</t>
  </si>
  <si>
    <t xml:space="preserve">PROPOSAL SEQUENCE </t>
  </si>
  <si>
    <t>최초 기획 및 지출결의 한 문서번호</t>
    <phoneticPr fontId="3" type="noConversion"/>
  </si>
  <si>
    <t>발의자명</t>
  </si>
  <si>
    <t>PPLJA_NM</t>
  </si>
  <si>
    <t xml:space="preserve">PROPOSAL JA NAME </t>
  </si>
  <si>
    <t>최초 기획 및 지출결의 한 사람</t>
    <phoneticPr fontId="3" type="noConversion"/>
  </si>
  <si>
    <t>선급법인세</t>
  </si>
  <si>
    <t>PPYBPI_TAX</t>
  </si>
  <si>
    <t xml:space="preserve">PREPAY BUPIN TAX </t>
  </si>
  <si>
    <t>중간예납한 법인세</t>
    <phoneticPr fontId="3" type="noConversion"/>
  </si>
  <si>
    <t>계약자주소</t>
  </si>
  <si>
    <t>PR_ADDR</t>
  </si>
  <si>
    <t xml:space="preserve">PROMISE ADDRESS </t>
  </si>
  <si>
    <t>계약금액</t>
  </si>
  <si>
    <t>PR_AMT</t>
  </si>
  <si>
    <t xml:space="preserve">PROMISE AMOUNT </t>
  </si>
  <si>
    <t>계약자법인번호</t>
  </si>
  <si>
    <t>PR_BPINO</t>
  </si>
  <si>
    <t xml:space="preserve">PROMISE BUPIN NUMBER </t>
  </si>
  <si>
    <t>계약대표자</t>
  </si>
  <si>
    <t>PR_CEONM</t>
  </si>
  <si>
    <t xml:space="preserve">PROMISE CEO NAME </t>
  </si>
  <si>
    <t>계약일자</t>
  </si>
  <si>
    <t>PR_DAT</t>
  </si>
  <si>
    <t xml:space="preserve">PROMISE DATE </t>
  </si>
  <si>
    <t>PR_GB</t>
  </si>
  <si>
    <t xml:space="preserve">PREROGATIVE GUBUN </t>
  </si>
  <si>
    <t>PR_MTH</t>
  </si>
  <si>
    <t xml:space="preserve">PROMISE METHOD </t>
  </si>
  <si>
    <t>현재권한</t>
  </si>
  <si>
    <t>PR_NEWV</t>
  </si>
  <si>
    <t>PREROGATIVE NEW VALUE</t>
  </si>
  <si>
    <t>PR_NM</t>
  </si>
  <si>
    <t xml:space="preserve">PROMISE NAME </t>
  </si>
  <si>
    <t>계약번호</t>
  </si>
  <si>
    <t>PR_NO</t>
  </si>
  <si>
    <t xml:space="preserve">PROMISE NUMBER </t>
  </si>
  <si>
    <t>이전권한</t>
  </si>
  <si>
    <t>PR_OLDV</t>
  </si>
  <si>
    <t>PREROGATIVE OLD VALUE</t>
  </si>
  <si>
    <t>계약상대자</t>
  </si>
  <si>
    <t>PR_PRR</t>
  </si>
  <si>
    <t>PROMISE PARTNER</t>
  </si>
  <si>
    <t>계약변경순번</t>
  </si>
  <si>
    <t>PR_SQN</t>
  </si>
  <si>
    <t xml:space="preserve">PROMISE SEQUENCE </t>
  </si>
  <si>
    <t>계약자전화번호</t>
  </si>
  <si>
    <t>PR_TEL</t>
  </si>
  <si>
    <t xml:space="preserve">PROMISE TELEPHONE </t>
  </si>
  <si>
    <t>PR_TYP</t>
  </si>
  <si>
    <t xml:space="preserve">PROMISE TYPE </t>
  </si>
  <si>
    <t>계약업체</t>
  </si>
  <si>
    <t>PR_VNM</t>
  </si>
  <si>
    <t xml:space="preserve">PROMISE VENDOR NAME </t>
  </si>
  <si>
    <t>계약년도</t>
  </si>
  <si>
    <t>PR_YY</t>
  </si>
  <si>
    <t xml:space="preserve">PROMISE YEAR </t>
  </si>
  <si>
    <t>당기감소액</t>
  </si>
  <si>
    <t>PRDDEC_AMT</t>
  </si>
  <si>
    <t xml:space="preserve">PARTY DISCIPLINE DECREASE AMOUNT </t>
  </si>
  <si>
    <t>해당 회계연도에서 자산이 감소한 금액</t>
    <phoneticPr fontId="3" type="noConversion"/>
  </si>
  <si>
    <t>당기증가액</t>
  </si>
  <si>
    <t>PRDINE_AMT</t>
  </si>
  <si>
    <t xml:space="preserve">PARTY DISCIPLINE INCREASE AMOUNT </t>
  </si>
  <si>
    <t>해당 회계연도에서 자산이 증가한 금액</t>
    <phoneticPr fontId="3" type="noConversion"/>
  </si>
  <si>
    <t>당기상각액</t>
  </si>
  <si>
    <t>PRDSGK_AMT</t>
  </si>
  <si>
    <t xml:space="preserve">PARTY DISCIPLINE SANGGAK AMOUNT </t>
  </si>
  <si>
    <t>해당 회계연도에서 계산한 고정자산 감가상각비</t>
    <phoneticPr fontId="3" type="noConversion"/>
  </si>
  <si>
    <t>계약집행금액</t>
  </si>
  <si>
    <t>PREFR_AMT</t>
  </si>
  <si>
    <t xml:space="preserve">PROMISE ENFORCE AMOUNT </t>
  </si>
  <si>
    <t>계약종료일자</t>
  </si>
  <si>
    <t>PREND_DAT</t>
  </si>
  <si>
    <t xml:space="preserve">PROMISE END DATE </t>
  </si>
  <si>
    <t>본인퇴직금</t>
  </si>
  <si>
    <t>PRERTI_AMT</t>
  </si>
  <si>
    <t xml:space="preserve">PERSON HIMSELF RETIREMENT AMOUNT </t>
  </si>
  <si>
    <t>전년도퇴직충당금</t>
  </si>
  <si>
    <t>PRERTIA_AMT</t>
  </si>
  <si>
    <t xml:space="preserve">PRERETIREMENT APPROPRIATION AMOUNT </t>
  </si>
  <si>
    <t>직원이 퇴직할시 지급할 퇴직금을 적립하는 금액 (부채에 해당 함)</t>
    <phoneticPr fontId="3" type="noConversion"/>
  </si>
  <si>
    <t>경과년수</t>
  </si>
  <si>
    <t>PRG_NYS</t>
  </si>
  <si>
    <t xml:space="preserve">PROGRESS NUMBER OF YEAR SERVICE </t>
  </si>
  <si>
    <t>프로그램ID</t>
  </si>
  <si>
    <t>PRGID</t>
  </si>
  <si>
    <t>PROGRAM ID</t>
  </si>
  <si>
    <t>프로그램명</t>
  </si>
  <si>
    <t>PRGNAME</t>
  </si>
  <si>
    <t>PROGRAM NAME</t>
  </si>
  <si>
    <t>프로그램경로</t>
  </si>
  <si>
    <t>PRGPATH</t>
  </si>
  <si>
    <t>PROGRAM PATH</t>
  </si>
  <si>
    <t>프로그래머</t>
  </si>
  <si>
    <t>PRGPGMR</t>
  </si>
  <si>
    <t>PROGRAMMER</t>
  </si>
  <si>
    <t>PRGPRM</t>
  </si>
  <si>
    <t>계약보증금</t>
  </si>
  <si>
    <t>PRGRN_AMT</t>
  </si>
  <si>
    <t xml:space="preserve">PROMISE GUARANTEE AMOUNT </t>
  </si>
  <si>
    <t>계약을 이행하기 위하여 보증회사에 가입한 계약보증금을 의미</t>
    <phoneticPr fontId="3" type="noConversion"/>
  </si>
  <si>
    <t>PRGYY_CNT</t>
  </si>
  <si>
    <t xml:space="preserve">PROGRESS YEAR COUNT </t>
  </si>
  <si>
    <t>PRI_AMT</t>
  </si>
  <si>
    <t xml:space="preserve">PRICE AMOUNT </t>
  </si>
  <si>
    <t>PRMM_AMT</t>
  </si>
  <si>
    <t xml:space="preserve">PRINT DATE </t>
  </si>
  <si>
    <t xml:space="preserve">PRINT JIK NUMBER </t>
  </si>
  <si>
    <t xml:space="preserve">PRINT NAME </t>
  </si>
  <si>
    <t xml:space="preserve">PRINT QUANTITY </t>
  </si>
  <si>
    <t xml:space="preserve">PRINT YEAR MONTH </t>
  </si>
  <si>
    <t>PRR_PLC</t>
  </si>
  <si>
    <t xml:space="preserve">PARTNER PLACE </t>
  </si>
  <si>
    <t>계약명세순번</t>
  </si>
  <si>
    <t>PRSPC_SQN</t>
  </si>
  <si>
    <t xml:space="preserve">PROMISE SPECIFIC SEQUENCE </t>
  </si>
  <si>
    <t>계약시작일</t>
  </si>
  <si>
    <t>PRSTR_DAT</t>
  </si>
  <si>
    <t xml:space="preserve">PROMISE START DATE </t>
  </si>
  <si>
    <t>급여상여총계</t>
  </si>
  <si>
    <t>PRTOT_AMT</t>
  </si>
  <si>
    <t xml:space="preserve">PAYMENT REWARD TOTAL AMOUNT </t>
  </si>
  <si>
    <t>포상내역</t>
  </si>
  <si>
    <t>PRZ_CON</t>
  </si>
  <si>
    <t xml:space="preserve">PRIZE CONDITION </t>
  </si>
  <si>
    <t>포상일자</t>
  </si>
  <si>
    <t>PRZ_DAT</t>
  </si>
  <si>
    <t xml:space="preserve">PRIZE DATE </t>
  </si>
  <si>
    <t>포상품내역</t>
  </si>
  <si>
    <t>PRZ_DESC</t>
  </si>
  <si>
    <t xml:space="preserve">PRIZE DESCRIPTION </t>
  </si>
  <si>
    <t>포상코드</t>
  </si>
  <si>
    <t>PRZ_GB</t>
  </si>
  <si>
    <t xml:space="preserve">PRIZE GUBUN </t>
  </si>
  <si>
    <t>포상명</t>
  </si>
  <si>
    <t>PRZ_NM</t>
  </si>
  <si>
    <t xml:space="preserve">PRIZE NAME </t>
  </si>
  <si>
    <t>포상품(25,30년기념)</t>
  </si>
  <si>
    <t>PRZ_YN</t>
  </si>
  <si>
    <t xml:space="preserve">PRIZE YES NO </t>
  </si>
  <si>
    <t>지정사립기부금</t>
  </si>
  <si>
    <t>PTLCTB_AMT</t>
  </si>
  <si>
    <t xml:space="preserve">PRIVATE CONTRIBUTION AMOUNT </t>
  </si>
  <si>
    <t>제픔특성</t>
  </si>
  <si>
    <t>PUR_GB</t>
  </si>
  <si>
    <t xml:space="preserve">PURE GUBUN </t>
  </si>
  <si>
    <t>구매요구일자</t>
  </si>
  <si>
    <t>PURREQ_DAT</t>
  </si>
  <si>
    <t xml:space="preserve">PURCHASE REQUEST DATE </t>
  </si>
  <si>
    <t>구매요구부서</t>
  </si>
  <si>
    <t>PURREQ_DPT</t>
  </si>
  <si>
    <t xml:space="preserve">PURCHASE REQUEST DEPARTMENT </t>
  </si>
  <si>
    <t>구매요구순번</t>
  </si>
  <si>
    <t>PURREQ_SQN</t>
  </si>
  <si>
    <t xml:space="preserve">PURCHASE REQUEST SEQUENCE </t>
  </si>
  <si>
    <t>구매요구수량</t>
  </si>
  <si>
    <t>PURSCH_QNT</t>
  </si>
  <si>
    <t xml:space="preserve">PURCHASE REQUEST QUANTITY </t>
  </si>
  <si>
    <t>구매명세순번</t>
  </si>
  <si>
    <t>PUSPC_SQN</t>
  </si>
  <si>
    <t xml:space="preserve">PURCHASE SPECIFIC SEQUENCE </t>
  </si>
  <si>
    <t>자격면허및등급</t>
  </si>
  <si>
    <t>QLFLCN_NM</t>
  </si>
  <si>
    <t xml:space="preserve">QUALIFICATIN LICENSE NAME </t>
  </si>
  <si>
    <t>자격면허번호</t>
  </si>
  <si>
    <t>QLFLCN_NO</t>
  </si>
  <si>
    <t xml:space="preserve">QUALIFICATIN LICENSE NUMBER </t>
  </si>
  <si>
    <t>QNT</t>
  </si>
  <si>
    <t>QRTDSI</t>
  </si>
  <si>
    <t>QUARTER YEAR</t>
  </si>
  <si>
    <t>QUA_NM</t>
  </si>
  <si>
    <t xml:space="preserve">QUALITY NAME </t>
  </si>
  <si>
    <t>최초등록일</t>
  </si>
  <si>
    <t>R_DT</t>
  </si>
  <si>
    <t xml:space="preserve">REGIST DATE </t>
  </si>
  <si>
    <t>재발급신청일</t>
  </si>
  <si>
    <t>RAPL_DAT</t>
  </si>
  <si>
    <t xml:space="preserve">REAPPROVAL DATE </t>
  </si>
  <si>
    <t>재발급사유</t>
  </si>
  <si>
    <t>RAPL_RMK</t>
  </si>
  <si>
    <t xml:space="preserve">REAPPROVAL REMARK </t>
  </si>
  <si>
    <t>재발급승인일자</t>
  </si>
  <si>
    <t>RAPP_DAT</t>
  </si>
  <si>
    <t>산재보험공제율</t>
  </si>
  <si>
    <t>RAT_SANJE</t>
  </si>
  <si>
    <t xml:space="preserve">RATE OF SANJE </t>
  </si>
  <si>
    <t>근로자 소득에 따라 차등공제하기 위한 산재보험료 공제 요율관리</t>
    <phoneticPr fontId="3" type="noConversion"/>
  </si>
  <si>
    <t>보상범위</t>
  </si>
  <si>
    <t>RCM_SCE</t>
  </si>
  <si>
    <t xml:space="preserve">RECOMPENSE SCOPE </t>
  </si>
  <si>
    <t>보상한도내역</t>
  </si>
  <si>
    <t>RCMLNT_TXT</t>
  </si>
  <si>
    <t xml:space="preserve">RECOMPENSE LIMIT TEXT </t>
  </si>
  <si>
    <t>수령일자</t>
  </si>
  <si>
    <t>RCP_DAT</t>
  </si>
  <si>
    <t xml:space="preserve">RECEIPT DATE </t>
  </si>
  <si>
    <t>수신기호</t>
  </si>
  <si>
    <t>RCV_SGN</t>
  </si>
  <si>
    <t xml:space="preserve">RECEIVE SIGN </t>
  </si>
  <si>
    <t xml:space="preserve">RESIDENCE DOWN ADDRESS </t>
  </si>
  <si>
    <t>감면분납번호</t>
  </si>
  <si>
    <t>RDCDIV_NO</t>
  </si>
  <si>
    <t xml:space="preserve">REDUCE DIVIDE NUMBER </t>
  </si>
  <si>
    <t xml:space="preserve">RESIDENCE UP ADDRESS </t>
  </si>
  <si>
    <t>관련발의부서</t>
  </si>
  <si>
    <t>RDEPT_CD</t>
  </si>
  <si>
    <t xml:space="preserve">RELATION DEPARTMENT CODE </t>
  </si>
  <si>
    <t>미환급세액</t>
    <phoneticPr fontId="3" type="noConversion"/>
  </si>
  <si>
    <t>RE_AMT</t>
    <phoneticPr fontId="3" type="noConversion"/>
  </si>
  <si>
    <t xml:space="preserve">RETURN AMOUNT </t>
  </si>
  <si>
    <t>REASON</t>
  </si>
  <si>
    <t>REC_AMT</t>
  </si>
  <si>
    <t xml:space="preserve">RECEIVE AMOUNT </t>
  </si>
  <si>
    <t xml:space="preserve">RECEIVE NAME </t>
  </si>
  <si>
    <t>재평가금액</t>
  </si>
  <si>
    <t>REEVL_AMT</t>
  </si>
  <si>
    <t xml:space="preserve">REEVAUATION AMOUNT </t>
  </si>
  <si>
    <t>재평가원인</t>
  </si>
  <si>
    <t>REEVL_CSE</t>
  </si>
  <si>
    <t xml:space="preserve">REEVAUATION CAUSE </t>
  </si>
  <si>
    <t>REG_NO</t>
  </si>
  <si>
    <t xml:space="preserve">REGISTER NUMBER </t>
  </si>
  <si>
    <t>등록금고지액</t>
  </si>
  <si>
    <t>REGI_AMT</t>
  </si>
  <si>
    <t xml:space="preserve">REGISTER AMOUNT </t>
  </si>
  <si>
    <t>송금지점</t>
  </si>
  <si>
    <t>REM_AGNJUM</t>
  </si>
  <si>
    <t xml:space="preserve">REMIT AGENCY JUM </t>
  </si>
  <si>
    <t>송금액</t>
  </si>
  <si>
    <t>REM_AMT</t>
  </si>
  <si>
    <t xml:space="preserve">REMIT AMOUNT </t>
  </si>
  <si>
    <t>송금은행</t>
  </si>
  <si>
    <t>REM_BNK</t>
  </si>
  <si>
    <t xml:space="preserve">REMIT BANK </t>
  </si>
  <si>
    <t>송금계좌</t>
  </si>
  <si>
    <t>REM_GEJ_NO</t>
  </si>
  <si>
    <t>REMIT GEJWA NUMBER</t>
  </si>
  <si>
    <t>개편일자</t>
  </si>
  <si>
    <t>REOR_DAT</t>
  </si>
  <si>
    <t xml:space="preserve">REORGANIZATION DATE </t>
  </si>
  <si>
    <t>개편구분코드</t>
  </si>
  <si>
    <t>REORGB_CD</t>
  </si>
  <si>
    <t xml:space="preserve">REORGANIZATION GUBUN CODE </t>
  </si>
  <si>
    <t>정비금액</t>
  </si>
  <si>
    <t>REP_AMT</t>
  </si>
  <si>
    <t xml:space="preserve">REPAIR AMOUNT </t>
  </si>
  <si>
    <t>증개축면적</t>
  </si>
  <si>
    <t>REP_ARA</t>
  </si>
  <si>
    <t xml:space="preserve">REPAIR AREA </t>
  </si>
  <si>
    <t>수리처</t>
  </si>
  <si>
    <t>REP_PLS</t>
  </si>
  <si>
    <t xml:space="preserve">REPAIR PLACE </t>
  </si>
  <si>
    <t>물가배수</t>
  </si>
  <si>
    <t>REP_RAT</t>
  </si>
  <si>
    <t xml:space="preserve">REPAIR RATE </t>
  </si>
  <si>
    <t>정비내역</t>
  </si>
  <si>
    <t>REP_TXT</t>
  </si>
  <si>
    <t xml:space="preserve">REPAIR TEXT </t>
  </si>
  <si>
    <t>정비업소</t>
  </si>
  <si>
    <t>REP_VEN</t>
  </si>
  <si>
    <t xml:space="preserve">REPAIR VENDOR </t>
  </si>
  <si>
    <t>증개축년도</t>
  </si>
  <si>
    <t>REP_YY</t>
  </si>
  <si>
    <t xml:space="preserve">REPAIR YEAR </t>
  </si>
  <si>
    <t>요구금액</t>
  </si>
  <si>
    <t>REQ_AMT</t>
  </si>
  <si>
    <t xml:space="preserve">REQUIREMENT AMOUNT </t>
  </si>
  <si>
    <t>요구규격</t>
  </si>
  <si>
    <t>REQ_DSC</t>
  </si>
  <si>
    <t xml:space="preserve">REQUIREMENT DESCRIPTION </t>
  </si>
  <si>
    <t>요구수량</t>
  </si>
  <si>
    <t>REQ_QNT</t>
  </si>
  <si>
    <t xml:space="preserve">REQUIREMENT QUANTITY </t>
  </si>
  <si>
    <t>요구순위</t>
  </si>
  <si>
    <t>REQ_RNK</t>
  </si>
  <si>
    <t xml:space="preserve">REQUIREMENT RANK </t>
  </si>
  <si>
    <t>요구단가</t>
  </si>
  <si>
    <t>REQPRI_AMT</t>
  </si>
  <si>
    <t xml:space="preserve">REQUIREMENT PRICE AMOUNT </t>
  </si>
  <si>
    <t>전출일</t>
  </si>
  <si>
    <t>RES_DAT</t>
  </si>
  <si>
    <t xml:space="preserve">RESIDENT DATE </t>
  </si>
  <si>
    <t>전출지</t>
  </si>
  <si>
    <t>RES_DES</t>
  </si>
  <si>
    <t xml:space="preserve">RESIDENT DESTINATION </t>
  </si>
  <si>
    <t>예비군편성부대</t>
  </si>
  <si>
    <t>RESBUR_NM</t>
  </si>
  <si>
    <t xml:space="preserve">RESERVE BURLAP NAME </t>
  </si>
  <si>
    <t>연수종료일자</t>
  </si>
  <si>
    <t>RESEND_DAT</t>
  </si>
  <si>
    <t xml:space="preserve">RESEARCH END DATE </t>
  </si>
  <si>
    <t>전출신고일</t>
    <phoneticPr fontId="3" type="noConversion"/>
  </si>
  <si>
    <t>RESRPT_DAT</t>
  </si>
  <si>
    <t xml:space="preserve">RESIDENT REPORT DATE </t>
  </si>
  <si>
    <t>다른 근무지로 옮겨 간 일자</t>
    <phoneticPr fontId="3" type="noConversion"/>
  </si>
  <si>
    <t>연수시작일자</t>
  </si>
  <si>
    <t>RESSTR_DAT</t>
  </si>
  <si>
    <t xml:space="preserve">RESERCH START DATE </t>
  </si>
  <si>
    <t>복직일</t>
    <phoneticPr fontId="3" type="noConversion"/>
  </si>
  <si>
    <t xml:space="preserve">RETURN DATE </t>
  </si>
  <si>
    <t>휴직이나 징계로 물러났던 직무에 다시 종사하게된 날</t>
    <phoneticPr fontId="3" type="noConversion"/>
  </si>
  <si>
    <t>복직구분</t>
    <phoneticPr fontId="3" type="noConversion"/>
  </si>
  <si>
    <t xml:space="preserve">RETURN GUBUN </t>
  </si>
  <si>
    <t>휴직과 복직을 구분하는 구분자(N:휴직, Y:복직)</t>
    <phoneticPr fontId="3" type="noConversion"/>
  </si>
  <si>
    <t>주민세</t>
    <phoneticPr fontId="3" type="noConversion"/>
  </si>
  <si>
    <t xml:space="preserve">RESIDENT TAX </t>
  </si>
  <si>
    <t>지역에 거주하는 개인과 그 지역에 사무소나 사업소를 둔 법인이 납부하는 세금</t>
    <phoneticPr fontId="3" type="noConversion"/>
  </si>
  <si>
    <t>RGS_DAT</t>
  </si>
  <si>
    <t xml:space="preserve">REGISTER DATE </t>
  </si>
  <si>
    <t>RGS_JA</t>
  </si>
  <si>
    <t xml:space="preserve">REGISTER JA </t>
  </si>
  <si>
    <t>등록번호</t>
  </si>
  <si>
    <t>RGS_NO</t>
  </si>
  <si>
    <t>등록세</t>
  </si>
  <si>
    <t>RGS_TAX</t>
  </si>
  <si>
    <t xml:space="preserve">REGISTER TAX </t>
  </si>
  <si>
    <t>재산권의 취득, 이전, 변경, 소멸시 관청에 등록하거나 등기할 때 내는 세금</t>
    <phoneticPr fontId="3" type="noConversion"/>
  </si>
  <si>
    <t>종교</t>
  </si>
  <si>
    <t>RLG</t>
  </si>
  <si>
    <t>RELIGION</t>
  </si>
  <si>
    <t>종교(정도)</t>
  </si>
  <si>
    <t>RLG_LVL</t>
  </si>
  <si>
    <t xml:space="preserve">RELIGION LEVEL </t>
  </si>
  <si>
    <t>종교동기</t>
  </si>
  <si>
    <t>RLG_MOT</t>
  </si>
  <si>
    <t xml:space="preserve">RELIGION MOTIVE </t>
  </si>
  <si>
    <t>종교(언제부터)</t>
  </si>
  <si>
    <t>RLGSTR_DAT</t>
  </si>
  <si>
    <t xml:space="preserve">RELIGION START DATE </t>
  </si>
  <si>
    <t>해제사유</t>
  </si>
  <si>
    <t>RLS_RMK</t>
  </si>
  <si>
    <t xml:space="preserve">RELEASE REMARK </t>
  </si>
  <si>
    <t xml:space="preserve">RELATION CODE </t>
  </si>
  <si>
    <t xml:space="preserve">RELATION NAME </t>
    <phoneticPr fontId="3" type="noConversion"/>
  </si>
  <si>
    <t>관련근거유무</t>
  </si>
  <si>
    <t>RLTBAS_YN</t>
  </si>
  <si>
    <t xml:space="preserve">RELATION BASIS YES NO </t>
  </si>
  <si>
    <t>RM_AMT</t>
  </si>
  <si>
    <t xml:space="preserve">REMOVE AMOUNT </t>
  </si>
  <si>
    <t>잔여휴가일수</t>
  </si>
  <si>
    <t>RMDHOL_CNT</t>
  </si>
  <si>
    <t xml:space="preserve">REMAINED HOLIDAY COUNT </t>
  </si>
  <si>
    <t>비고</t>
    <phoneticPr fontId="3" type="noConversion"/>
  </si>
  <si>
    <t>RMK</t>
    <phoneticPr fontId="3" type="noConversion"/>
  </si>
  <si>
    <t>REMARK</t>
  </si>
  <si>
    <t>공제금액</t>
    <phoneticPr fontId="3" type="noConversion"/>
  </si>
  <si>
    <t>일정한 금액에서 공제하는 돈</t>
    <phoneticPr fontId="3" type="noConversion"/>
  </si>
  <si>
    <t>공제코드</t>
    <phoneticPr fontId="3" type="noConversion"/>
  </si>
  <si>
    <t xml:space="preserve">REMOVE CODE </t>
  </si>
  <si>
    <t>일정한 금액에서 공제하고자 하는 공제사유 코드</t>
    <phoneticPr fontId="3" type="noConversion"/>
  </si>
  <si>
    <t>공제여부</t>
  </si>
  <si>
    <t>RMV_GB</t>
  </si>
  <si>
    <t xml:space="preserve">REMOVE GUBUN </t>
  </si>
  <si>
    <t>일정한 금액에서 공제 여부</t>
    <phoneticPr fontId="3" type="noConversion"/>
  </si>
  <si>
    <t xml:space="preserve">REMOVE NAME </t>
  </si>
  <si>
    <t>일정한 금액에서 공제하고자 하는 공제 명칭</t>
    <phoneticPr fontId="3" type="noConversion"/>
  </si>
  <si>
    <t>공제의료비</t>
  </si>
  <si>
    <t>RMVMED_AMT</t>
  </si>
  <si>
    <t xml:space="preserve">REMOVE MEDICAL AMOUNT </t>
  </si>
  <si>
    <t xml:space="preserve">REMOVE TOTAL AMOUNT </t>
  </si>
  <si>
    <t>연말정산 또는 중도정산시 공제금액의 합계</t>
    <phoneticPr fontId="3" type="noConversion"/>
  </si>
  <si>
    <t xml:space="preserve">RECEIPT AMOUNT </t>
  </si>
  <si>
    <t>RPI_BNK</t>
  </si>
  <si>
    <t xml:space="preserve">RECEIPT BANK </t>
  </si>
  <si>
    <t>입금구분</t>
    <phoneticPr fontId="3" type="noConversion"/>
  </si>
  <si>
    <t xml:space="preserve">RECEIPT GUBUN </t>
  </si>
  <si>
    <t>1:급여, 2:기타</t>
    <phoneticPr fontId="3" type="noConversion"/>
  </si>
  <si>
    <t>상환금액</t>
    <phoneticPr fontId="3" type="noConversion"/>
  </si>
  <si>
    <t>RPM_AMT</t>
  </si>
  <si>
    <t xml:space="preserve">REPAYMENT AMOUNT </t>
  </si>
  <si>
    <t>장단기 대출 상환시 의무적으로 지불하게 되어 있는 금액</t>
    <phoneticPr fontId="3" type="noConversion"/>
  </si>
  <si>
    <t>상환회수</t>
  </si>
  <si>
    <t>RPM_CNT</t>
  </si>
  <si>
    <t xml:space="preserve">REPAYMENT COUNT </t>
  </si>
  <si>
    <t>장단기 대출 상환시 상환회수</t>
    <phoneticPr fontId="3" type="noConversion"/>
  </si>
  <si>
    <t>상환일자</t>
  </si>
  <si>
    <t>RPM_DAT</t>
  </si>
  <si>
    <t xml:space="preserve">REPAYMENT DATE </t>
  </si>
  <si>
    <t>장단기 대출 상환시 상환일자</t>
    <phoneticPr fontId="3" type="noConversion"/>
  </si>
  <si>
    <t>상환방법</t>
    <phoneticPr fontId="3" type="noConversion"/>
  </si>
  <si>
    <t>RPM_MTH</t>
  </si>
  <si>
    <t xml:space="preserve">REPAYMENT METHOD </t>
  </si>
  <si>
    <t>1:최초월상환액, 2: 상환잔액균등분할</t>
    <phoneticPr fontId="3" type="noConversion"/>
  </si>
  <si>
    <t>상환인원</t>
  </si>
  <si>
    <t>RPM_NMP</t>
  </si>
  <si>
    <t xml:space="preserve">REPAYMENT NUMBER OF PERSONS </t>
  </si>
  <si>
    <t>장단기 대출 상환시 상환인원</t>
    <phoneticPr fontId="3" type="noConversion"/>
  </si>
  <si>
    <t>상환기간FR</t>
  </si>
  <si>
    <t>RPMFR_DAT</t>
  </si>
  <si>
    <t xml:space="preserve">REPAYMENT FROM DATE </t>
  </si>
  <si>
    <t>장단기 대출 상환시 상환기간FR</t>
    <phoneticPr fontId="3" type="noConversion"/>
  </si>
  <si>
    <t>상환이자액</t>
  </si>
  <si>
    <t>RPMINT_AMT</t>
  </si>
  <si>
    <t xml:space="preserve">REPAYMENT INTEREST AMOUNT </t>
  </si>
  <si>
    <t>장단기 대출 상환시 상환이자액</t>
    <phoneticPr fontId="3" type="noConversion"/>
  </si>
  <si>
    <t>상환잔액</t>
  </si>
  <si>
    <t>RPMJAN_AMT</t>
  </si>
  <si>
    <t>REPAYMENT JAN AMOUNT</t>
  </si>
  <si>
    <t>장단기 대출 상환시 상환잔액</t>
    <phoneticPr fontId="3" type="noConversion"/>
  </si>
  <si>
    <t>상환기일</t>
  </si>
  <si>
    <t>RPMLIM_DAT</t>
  </si>
  <si>
    <t>REPAYMENT LIMIT DATE</t>
  </si>
  <si>
    <t>장단기 대출 상환시 상환기일</t>
    <phoneticPr fontId="3" type="noConversion"/>
  </si>
  <si>
    <t>상환개시일</t>
  </si>
  <si>
    <t>RPMSTR_DAT</t>
  </si>
  <si>
    <t>REPAYMENT START DATE</t>
  </si>
  <si>
    <t>장단기 대출 상환시 상환개시일</t>
    <phoneticPr fontId="3" type="noConversion"/>
  </si>
  <si>
    <t>상환기간TO</t>
  </si>
  <si>
    <t>RPMTO_DAT</t>
  </si>
  <si>
    <t xml:space="preserve">REPAYMENT TO DATE </t>
  </si>
  <si>
    <t>장단기 대출 상환시 상환기간TO</t>
    <phoneticPr fontId="3" type="noConversion"/>
  </si>
  <si>
    <t>상환년수</t>
  </si>
  <si>
    <t>RPMYY_CNT</t>
  </si>
  <si>
    <t xml:space="preserve">REPAYMENT YEAR COUNT </t>
  </si>
  <si>
    <t>장단기 대출 상환시 상환년수</t>
    <phoneticPr fontId="3" type="noConversion"/>
  </si>
  <si>
    <t>관련발의일자</t>
  </si>
  <si>
    <t>RPPL_DAT</t>
  </si>
  <si>
    <t xml:space="preserve">RELATION PROPOSAL DATE </t>
  </si>
  <si>
    <t>관련발의순번</t>
  </si>
  <si>
    <t>RPPL_SQN</t>
  </si>
  <si>
    <t xml:space="preserve">RELATION PROPOSAL SEQUENCE </t>
  </si>
  <si>
    <t>의뢰기관명</t>
  </si>
  <si>
    <t>RQSO_NM</t>
  </si>
  <si>
    <t xml:space="preserve">REQUEST ORGANIZATION NAME </t>
  </si>
  <si>
    <t>조사일자</t>
  </si>
  <si>
    <t>RSC_DAT</t>
  </si>
  <si>
    <t xml:space="preserve">RESEARCH DATE </t>
  </si>
  <si>
    <t>RSC_NM</t>
  </si>
  <si>
    <t xml:space="preserve">RESEARCH NAME </t>
  </si>
  <si>
    <t>조사시간</t>
  </si>
  <si>
    <t>RSC_TM</t>
  </si>
  <si>
    <t xml:space="preserve">RESEARCH TIME </t>
  </si>
  <si>
    <t>조사년도</t>
  </si>
  <si>
    <t>RSC_YY</t>
  </si>
  <si>
    <t xml:space="preserve">RESEARCH YEAR </t>
  </si>
  <si>
    <t xml:space="preserve">RESPECT-FOR-AGE COUNT </t>
  </si>
  <si>
    <t>경로우대65~70세</t>
  </si>
  <si>
    <t>RSF65</t>
  </si>
  <si>
    <t xml:space="preserve">RESPECT-FOR-AGE 65 </t>
  </si>
  <si>
    <t>경로우대자수(65세~69세)</t>
  </si>
  <si>
    <t>RSF65_CNT</t>
  </si>
  <si>
    <t xml:space="preserve">RESPECT-FOR-AGE 65 COUNT </t>
  </si>
  <si>
    <t>경로우대70세이상</t>
  </si>
  <si>
    <t>RSF70</t>
  </si>
  <si>
    <t xml:space="preserve">RESPECT-FOR-AGE 70  </t>
  </si>
  <si>
    <t>경로우대자수(70세이상)</t>
  </si>
  <si>
    <t>RSF70_CNT</t>
  </si>
  <si>
    <t xml:space="preserve">RESPECT-FOR-AGE 70 COUNT </t>
  </si>
  <si>
    <t>경로자의료비</t>
  </si>
  <si>
    <t>RSFMED_AMT</t>
  </si>
  <si>
    <t xml:space="preserve">RESPECT-FOR-AGE MEDICAL AMOUNT </t>
  </si>
  <si>
    <t>경로우대자공제액</t>
  </si>
  <si>
    <t>RSFRMV_AMT</t>
  </si>
  <si>
    <t xml:space="preserve">RESPECT-FOR-AGE REMOVE AMOUNT </t>
  </si>
  <si>
    <t>퇴직금산정근속기간</t>
  </si>
  <si>
    <t>RSW_TRM</t>
  </si>
  <si>
    <t xml:space="preserve">RETIREMENT SANJUNG WORK TERM </t>
  </si>
  <si>
    <t xml:space="preserve">RETIREMENT CALCURATION EMPLOY DATE </t>
  </si>
  <si>
    <t>퇴직금액</t>
  </si>
  <si>
    <t>RTI_AMT</t>
  </si>
  <si>
    <t xml:space="preserve">RETIREMENT AMOUNT </t>
  </si>
  <si>
    <t>재퇴직구분</t>
    <phoneticPr fontId="3" type="noConversion"/>
  </si>
  <si>
    <t xml:space="preserve">RETIREMENT CODE </t>
  </si>
  <si>
    <t>1:재직자, 2:비상근, 3:이관자, 4:퇴직자</t>
    <phoneticPr fontId="3" type="noConversion"/>
  </si>
  <si>
    <t>퇴직소득인원</t>
  </si>
  <si>
    <t>RTI_CNT</t>
  </si>
  <si>
    <t xml:space="preserve">RETIREMENT COUNT </t>
  </si>
  <si>
    <t xml:space="preserve">RETIREMENT DATE </t>
  </si>
  <si>
    <t>퇴직종류</t>
  </si>
  <si>
    <t>RTI_KND</t>
  </si>
  <si>
    <t xml:space="preserve">RETIREMENT KIND </t>
  </si>
  <si>
    <t>퇴직사유</t>
  </si>
  <si>
    <t>RTI_NM</t>
  </si>
  <si>
    <t xml:space="preserve">RETIREMENT NAME </t>
  </si>
  <si>
    <t>퇴직급여</t>
  </si>
  <si>
    <t>RTI_PAM</t>
    <phoneticPr fontId="3" type="noConversion"/>
  </si>
  <si>
    <t xml:space="preserve">RETIREMENT PAYMENT </t>
  </si>
  <si>
    <t>RTI_PAY</t>
  </si>
  <si>
    <t xml:space="preserve">RETIREMENT PAY </t>
  </si>
  <si>
    <t>퇴직소득주민세</t>
  </si>
  <si>
    <t>RTI_REX</t>
  </si>
  <si>
    <t xml:space="preserve">RETIREMENT RESIDENTS EARNING TAX </t>
  </si>
  <si>
    <t>퇴직소득소득세</t>
  </si>
  <si>
    <t>RTI_TAX</t>
  </si>
  <si>
    <t xml:space="preserve">RETIREMENT TAX </t>
  </si>
  <si>
    <t>퇴직년</t>
  </si>
  <si>
    <t>RTI_YY</t>
  </si>
  <si>
    <t xml:space="preserve">RETIREMENT YEAR </t>
  </si>
  <si>
    <t>퇴직소득공제</t>
  </si>
  <si>
    <t>RTIERN_RMV</t>
  </si>
  <si>
    <t xml:space="preserve">RETIREMENT EARN REMOVE </t>
  </si>
  <si>
    <t>퇴직소득세</t>
  </si>
  <si>
    <t>RTIERN_TAX</t>
  </si>
  <si>
    <t xml:space="preserve">RETIREMENT EARN TAX </t>
  </si>
  <si>
    <t>퇴직소득과세표준</t>
  </si>
  <si>
    <t>RTIERN_TXS</t>
  </si>
  <si>
    <t xml:space="preserve">RETIREMENT EARN TAX STANDARD </t>
    <phoneticPr fontId="3" type="noConversion"/>
  </si>
  <si>
    <t>퇴직주민세</t>
  </si>
  <si>
    <t>RTIREX_TAX</t>
  </si>
  <si>
    <t xml:space="preserve">RETIREMENT EARN RESIDENT TAX </t>
  </si>
  <si>
    <t>퇴직연금소득공제</t>
  </si>
  <si>
    <t>RTIRMV_AMT</t>
  </si>
  <si>
    <t xml:space="preserve">RETIREMENT REMOVE AMOUNT </t>
    <phoneticPr fontId="3" type="noConversion"/>
  </si>
  <si>
    <t>개정년도</t>
  </si>
  <si>
    <t>RVI_YY</t>
  </si>
  <si>
    <t xml:space="preserve">REVISION YEAR </t>
  </si>
  <si>
    <t>개정후금액</t>
  </si>
  <si>
    <t>RVIAF_AMT</t>
  </si>
  <si>
    <t xml:space="preserve">REVISION AFTER AMOUNT </t>
    <phoneticPr fontId="3" type="noConversion"/>
  </si>
  <si>
    <t>상여총액</t>
  </si>
  <si>
    <t>RWDTOT_AMT</t>
  </si>
  <si>
    <t xml:space="preserve">REWARD TOTAL AMOUNT </t>
  </si>
  <si>
    <t xml:space="preserve">RESIDENCE ZIP NUMBER </t>
  </si>
  <si>
    <t>S_AMT</t>
  </si>
  <si>
    <t xml:space="preserve">SEND AMOUNT </t>
  </si>
  <si>
    <t>송금일자</t>
  </si>
  <si>
    <t>S_DAT</t>
  </si>
  <si>
    <t xml:space="preserve">SEND DATE </t>
  </si>
  <si>
    <t>신고구분</t>
    <phoneticPr fontId="3" type="noConversion"/>
  </si>
  <si>
    <t>S_GUBUN</t>
  </si>
  <si>
    <t xml:space="preserve">SINGO GUBUN </t>
  </si>
  <si>
    <t>1:매월,2:반기,3:수정,4:연말</t>
    <phoneticPr fontId="3" type="noConversion"/>
  </si>
  <si>
    <t>작업순번</t>
  </si>
  <si>
    <t>S_NO</t>
  </si>
  <si>
    <t xml:space="preserve">SEQUENCE NUMBER </t>
  </si>
  <si>
    <t>SAE_GB</t>
  </si>
  <si>
    <t xml:space="preserve">SAEBU GUBUN </t>
  </si>
  <si>
    <t>세부구분여부</t>
  </si>
  <si>
    <t>SAEGB_YN</t>
  </si>
  <si>
    <t xml:space="preserve">SAEBU GUBUN YES NO </t>
  </si>
  <si>
    <t>상대회계기관코드</t>
  </si>
  <si>
    <t>SAGAO_CD</t>
  </si>
  <si>
    <t xml:space="preserve">SANGDAE ACCOUNT ORGANIZATION CODE </t>
  </si>
  <si>
    <t>상대회계기관입력여부</t>
  </si>
  <si>
    <t>SAGAOIPT_YN</t>
  </si>
  <si>
    <t xml:space="preserve">SANGDAE ACCOUNT ORGANIZATION INPUT YES NO </t>
  </si>
  <si>
    <t>사고이월금액</t>
  </si>
  <si>
    <t>SAGCYF_AMT</t>
  </si>
  <si>
    <t xml:space="preserve">SAGO CARRY FORWARD AMOUNT </t>
  </si>
  <si>
    <t>당해년도에 처리할 것을 예상했으나 불가분하게 완결짓지 못했을 경우 잔여예산 반납</t>
    <phoneticPr fontId="3" type="noConversion"/>
  </si>
  <si>
    <t>SAL_AMT</t>
  </si>
  <si>
    <t xml:space="preserve">SALE AMOUNT </t>
  </si>
  <si>
    <t>고정자산을 처분한 금액</t>
    <phoneticPr fontId="3" type="noConversion"/>
  </si>
  <si>
    <t xml:space="preserve">SANGDANG JIKGUP DATE </t>
  </si>
  <si>
    <t>취득가액($)</t>
  </si>
  <si>
    <t>SAQU_AMT</t>
  </si>
  <si>
    <t>고정자산 취득가액($)</t>
    <phoneticPr fontId="3" type="noConversion"/>
  </si>
  <si>
    <t>사업소득세</t>
  </si>
  <si>
    <t>SAUP_TAX</t>
  </si>
  <si>
    <t xml:space="preserve">SAUP TAX </t>
  </si>
  <si>
    <t>계약직의 경우는 월 소득에 대해 3% 의 소득세를 징수하여 공단에서 대납함.</t>
    <phoneticPr fontId="3" type="noConversion"/>
  </si>
  <si>
    <t>사업관련비용</t>
  </si>
  <si>
    <t>SAUPUSE_AMT</t>
  </si>
  <si>
    <t xml:space="preserve">SAUP USE AMOUNT </t>
  </si>
  <si>
    <t>연금저축공제</t>
  </si>
  <si>
    <t>SAVRMV_AMT</t>
  </si>
  <si>
    <t xml:space="preserve">SAVE REMOVE AMOUNT </t>
  </si>
  <si>
    <t>연말정산시 산출세액에서 연금저축만큼 세액에서 공제</t>
    <phoneticPr fontId="3" type="noConversion"/>
  </si>
  <si>
    <t xml:space="preserve">SCHOOLING CODE </t>
  </si>
  <si>
    <t xml:space="preserve">SCHOOLING NAME </t>
  </si>
  <si>
    <t>SCH_CD</t>
  </si>
  <si>
    <t>자녀대학형태(예:2년제,4년제...)</t>
  </si>
  <si>
    <t>SCL_FORM</t>
  </si>
  <si>
    <t xml:space="preserve">SCHOOL FORM </t>
  </si>
  <si>
    <t>SCO_CD</t>
  </si>
  <si>
    <t xml:space="preserve">SCHOOL CODE </t>
  </si>
  <si>
    <t xml:space="preserve">SCHOOL NAME </t>
  </si>
  <si>
    <t xml:space="preserve">SCHOOL YEAR </t>
  </si>
  <si>
    <t>새대주</t>
  </si>
  <si>
    <t>SDJ</t>
  </si>
  <si>
    <t>SEDAEJU</t>
  </si>
  <si>
    <t>세항</t>
    <phoneticPr fontId="3" type="noConversion"/>
  </si>
  <si>
    <t>SEHANG</t>
  </si>
  <si>
    <t>예산코드는 "장-관-항-목-세항…" 형식으로 구성되는데 다섯번째 세항코드</t>
    <phoneticPr fontId="3" type="noConversion"/>
  </si>
  <si>
    <t>세항명</t>
  </si>
  <si>
    <t>SEHAG_NM</t>
  </si>
  <si>
    <t xml:space="preserve">SEHANG NAME </t>
  </si>
  <si>
    <t>예산코드는 "장-관-항-목-세항…" 형식으로 구성되는데 다섯번째 세항명</t>
    <phoneticPr fontId="3" type="noConversion"/>
  </si>
  <si>
    <t>예산코드는 "장-관-항-목-세항…" 형식으로 구성되는데 네번째 목코드</t>
    <phoneticPr fontId="3" type="noConversion"/>
  </si>
  <si>
    <t>세목명</t>
  </si>
  <si>
    <t>SEMOK_NM</t>
  </si>
  <si>
    <t xml:space="preserve">SEMOK NAME </t>
  </si>
  <si>
    <t>예산코드는 "장-관-항-목-세항…" 형식으로 구성되는데 네번째 목코드 명</t>
    <phoneticPr fontId="3" type="noConversion"/>
  </si>
  <si>
    <t>SEQUENCE</t>
  </si>
  <si>
    <t>지급순번</t>
  </si>
  <si>
    <t>SEQ_NO</t>
  </si>
  <si>
    <t>복무기간</t>
  </si>
  <si>
    <t>SER_TRM</t>
  </si>
  <si>
    <t xml:space="preserve">SERVICE TERM </t>
  </si>
  <si>
    <t>복무형태</t>
  </si>
  <si>
    <t>SER_TYP</t>
  </si>
  <si>
    <t xml:space="preserve">SERVICE TYPE </t>
  </si>
  <si>
    <t>복무년월수</t>
  </si>
  <si>
    <t>SER_YYMM</t>
  </si>
  <si>
    <t xml:space="preserve">SERVICE YEAR MONTH </t>
  </si>
  <si>
    <t>세목확정여부</t>
  </si>
  <si>
    <t>SESTE_YN</t>
  </si>
  <si>
    <t xml:space="preserve">SEMOK SETTLEMENT YES NO </t>
  </si>
  <si>
    <t>성금공제여부</t>
  </si>
  <si>
    <t>SG_YN</t>
  </si>
  <si>
    <t xml:space="preserve">SUNGKUM YES NO </t>
  </si>
  <si>
    <t>상각법</t>
    <phoneticPr fontId="3" type="noConversion"/>
  </si>
  <si>
    <t>SGK_MTH</t>
  </si>
  <si>
    <t xml:space="preserve">SANGKAK METHOD </t>
  </si>
  <si>
    <t>자산의 내용년수에 따라 자산의 가치가 하락하는데 필요한 계산법 (정액/정률)</t>
    <phoneticPr fontId="3" type="noConversion"/>
  </si>
  <si>
    <t>SGK_RAT</t>
  </si>
  <si>
    <t xml:space="preserve">SANGKAK RATE </t>
  </si>
  <si>
    <t>매년 감가상각을 계산하기 위한 상각율</t>
    <phoneticPr fontId="3" type="noConversion"/>
  </si>
  <si>
    <t>상각방법</t>
  </si>
  <si>
    <t>SGKMTH_TXT</t>
  </si>
  <si>
    <t xml:space="preserve">SANGKAK METHOD TEXT </t>
  </si>
  <si>
    <t>상각누계액</t>
  </si>
  <si>
    <t>SGKNGE_AMT</t>
  </si>
  <si>
    <t xml:space="preserve">SANGKAK NUGE AMOUNT </t>
  </si>
  <si>
    <t>현재까지 감가상각한 금액의 합계</t>
    <phoneticPr fontId="3" type="noConversion"/>
  </si>
  <si>
    <t>독신사유</t>
  </si>
  <si>
    <t>SGL_RMK</t>
  </si>
  <si>
    <t xml:space="preserve">SINGLE REMARK </t>
  </si>
  <si>
    <t>질병경험</t>
  </si>
  <si>
    <t>SIC_KUU</t>
  </si>
  <si>
    <t xml:space="preserve">SICKNESS KYUNGUM </t>
  </si>
  <si>
    <t>SIL_CD</t>
  </si>
  <si>
    <t xml:space="preserve">SIL CODE </t>
  </si>
  <si>
    <t>SIL_NM</t>
  </si>
  <si>
    <t xml:space="preserve">SIL NAME </t>
  </si>
  <si>
    <t xml:space="preserve">SILKUK CODE </t>
  </si>
  <si>
    <t xml:space="preserve">SILKUK NAME </t>
  </si>
  <si>
    <t>사이즈</t>
  </si>
  <si>
    <t>소집일</t>
  </si>
  <si>
    <t>SOJ_DAT</t>
  </si>
  <si>
    <t xml:space="preserve">SOJIP DATE </t>
  </si>
  <si>
    <t>소집해제일</t>
  </si>
  <si>
    <t>SOJCAN_DAT</t>
  </si>
  <si>
    <t xml:space="preserve">SOJIP CANCEL DATE </t>
  </si>
  <si>
    <t>양력날짜</t>
  </si>
  <si>
    <t>SOLAR_DATE</t>
  </si>
  <si>
    <t xml:space="preserve">SOLAR DATE </t>
  </si>
  <si>
    <t>양력요일</t>
  </si>
  <si>
    <t>SOLAR_WEEK</t>
  </si>
  <si>
    <t xml:space="preserve">SOLAR WEEK </t>
  </si>
  <si>
    <t>소속기관</t>
  </si>
  <si>
    <t>SOO_NM</t>
  </si>
  <si>
    <t xml:space="preserve">SOSOK ORGANIZATION NAME </t>
  </si>
  <si>
    <t>사양서</t>
  </si>
  <si>
    <t>SPECIFIC</t>
  </si>
  <si>
    <t>명세순번</t>
  </si>
  <si>
    <t>SPC_SQN</t>
  </si>
  <si>
    <t xml:space="preserve">SPECIFIC SEQUENCE </t>
  </si>
  <si>
    <t>특수조건</t>
  </si>
  <si>
    <t>SPE_CON</t>
  </si>
  <si>
    <t xml:space="preserve">SPECIAL CONDITION </t>
  </si>
  <si>
    <t>특수직종구분</t>
    <phoneticPr fontId="3" type="noConversion"/>
  </si>
  <si>
    <t>SPEADM_GB</t>
  </si>
  <si>
    <t xml:space="preserve">SPECIAL ADMIT GUBUN </t>
  </si>
  <si>
    <t>특별공제(표준공제)합</t>
  </si>
  <si>
    <t>SPERMV_AMT</t>
  </si>
  <si>
    <t xml:space="preserve">SPECAIL REMOVE AMOUNT </t>
  </si>
  <si>
    <t>판매금액/공급가액</t>
  </si>
  <si>
    <t>SPL_AMT</t>
  </si>
  <si>
    <t xml:space="preserve">SUPPLY AMOUNT </t>
  </si>
  <si>
    <t>발급일자</t>
  </si>
  <si>
    <t>SPL_DAT</t>
  </si>
  <si>
    <t xml:space="preserve">SUPPLY DATE </t>
  </si>
  <si>
    <t>발급번호</t>
  </si>
  <si>
    <t>SPL_NO</t>
  </si>
  <si>
    <t xml:space="preserve">SUPPLY NUMBER </t>
  </si>
  <si>
    <t>부양가족수_기타</t>
  </si>
  <si>
    <t>SPTETC_CNT</t>
  </si>
  <si>
    <t xml:space="preserve">SUPPORT ETC COUNT </t>
  </si>
  <si>
    <t>부양가족공제액</t>
  </si>
  <si>
    <t>SPTRMV_AMT</t>
  </si>
  <si>
    <t xml:space="preserve">SUPPORT REMOVE AMOUNT </t>
  </si>
  <si>
    <t>SESEHANG</t>
  </si>
  <si>
    <t>예산구분코드 중 "장-관-항-목-세항-세세항' 구조중 최하위의 예산단위 코드 의미</t>
    <phoneticPr fontId="3" type="noConversion"/>
  </si>
  <si>
    <t>세세항명</t>
  </si>
  <si>
    <t>SSHAG_NM</t>
  </si>
  <si>
    <t>SESEHANG NAME</t>
  </si>
  <si>
    <t>예산구분코드 중 "장-관-항-목-세항-세세항' 구조중 최하위의 예산단위 명칭</t>
    <phoneticPr fontId="3" type="noConversion"/>
  </si>
  <si>
    <t>기간(부터)</t>
  </si>
  <si>
    <t>STA_DAT</t>
  </si>
  <si>
    <t xml:space="preserve">START DATE </t>
  </si>
  <si>
    <t>기간이 있는 경우 시작일을 의미 (부터)</t>
    <phoneticPr fontId="3" type="noConversion"/>
  </si>
  <si>
    <t>근로자주식저축</t>
  </si>
  <si>
    <t>STC_SAV</t>
  </si>
  <si>
    <t xml:space="preserve">STOCK SAVE </t>
  </si>
  <si>
    <t>주식저축공제</t>
  </si>
  <si>
    <t>STCSAV_RMV</t>
  </si>
  <si>
    <t xml:space="preserve">STOCK SAVE REMOVE </t>
  </si>
  <si>
    <t>예산편성확정여부</t>
  </si>
  <si>
    <t>STE_YN</t>
  </si>
  <si>
    <t xml:space="preserve">SETTLEMENT YES NO </t>
  </si>
  <si>
    <t>확정채무액</t>
  </si>
  <si>
    <t>STEDEB_AMT</t>
  </si>
  <si>
    <t xml:space="preserve">SETTLEMENT DEBT AMOUNT </t>
  </si>
  <si>
    <t>STEDEB_INT</t>
  </si>
  <si>
    <t xml:space="preserve">SETTLEMENT DEBT INTEREST </t>
  </si>
  <si>
    <t>STK_NO</t>
  </si>
  <si>
    <t xml:space="preserve">STOCK NUMBER </t>
  </si>
  <si>
    <t>중지일자</t>
  </si>
  <si>
    <t>STP_DAT</t>
  </si>
  <si>
    <t xml:space="preserve">STOP DATE </t>
  </si>
  <si>
    <t>출발지</t>
  </si>
  <si>
    <t>STR_ARE</t>
  </si>
  <si>
    <t xml:space="preserve">START AREA </t>
  </si>
  <si>
    <t>출발지</t>
    <phoneticPr fontId="3" type="noConversion"/>
  </si>
  <si>
    <t>시작월일</t>
  </si>
  <si>
    <t>STR_MD</t>
  </si>
  <si>
    <t xml:space="preserve">START MONTH DATE </t>
  </si>
  <si>
    <t>확정채무액이자</t>
  </si>
  <si>
    <t>STRDEB_AMT</t>
  </si>
  <si>
    <t>확정채무액이자총계(단리)</t>
  </si>
  <si>
    <t>STRDEB_TOT1</t>
    <phoneticPr fontId="3" type="noConversion"/>
  </si>
  <si>
    <t xml:space="preserve">SETTLEMENT DEBT TOTAL </t>
  </si>
  <si>
    <t>확정채무액이자총계(복리)</t>
  </si>
  <si>
    <t>STRDEB_TOT2</t>
  </si>
  <si>
    <t>상태</t>
    <phoneticPr fontId="3" type="noConversion"/>
  </si>
  <si>
    <t>STSCOD</t>
  </si>
  <si>
    <t>STATE CODE</t>
    <phoneticPr fontId="3" type="noConversion"/>
  </si>
  <si>
    <t>A:저장,S:조회,P:팝업,X:출력,T:TEST</t>
    <phoneticPr fontId="3" type="noConversion"/>
  </si>
  <si>
    <t>SUM_AMT</t>
  </si>
  <si>
    <t xml:space="preserve">SUMMARY AMOUNT </t>
  </si>
  <si>
    <t>수료후교육자(수료후교육자:Y)</t>
  </si>
  <si>
    <t>SUR_JA</t>
  </si>
  <si>
    <t xml:space="preserve">SURYO JA </t>
  </si>
  <si>
    <t>수료후교육여부</t>
  </si>
  <si>
    <t>SUR_JA_STA</t>
  </si>
  <si>
    <t>SURYO JA STATE</t>
  </si>
  <si>
    <t>SUR_STA</t>
  </si>
  <si>
    <t>SURYO STATE</t>
  </si>
  <si>
    <t xml:space="preserve">SUSPEND CAUSE </t>
  </si>
  <si>
    <t xml:space="preserve">SUSPEND DATE </t>
  </si>
  <si>
    <t>휴직구분</t>
    <phoneticPr fontId="3" type="noConversion"/>
  </si>
  <si>
    <t>SUSPE_GB</t>
    <phoneticPr fontId="3" type="noConversion"/>
  </si>
  <si>
    <t xml:space="preserve">SUSPEND GUBUN </t>
  </si>
  <si>
    <t>휴직에 대한 구분</t>
    <phoneticPr fontId="3" type="noConversion"/>
  </si>
  <si>
    <t>SUSU_AMT</t>
  </si>
  <si>
    <t xml:space="preserve">SUSURYO AMOUNT </t>
  </si>
  <si>
    <t>조달청에 입찰 의뢰시 입찰대행 수수료</t>
    <phoneticPr fontId="3" type="noConversion"/>
  </si>
  <si>
    <t>잔존가액</t>
  </si>
  <si>
    <t>SVV_AMT</t>
  </si>
  <si>
    <t xml:space="preserve">SURVIVAL AMOUNT </t>
  </si>
  <si>
    <t>유의어</t>
  </si>
  <si>
    <t>SYNONYMOUS</t>
  </si>
  <si>
    <t>내용검색시 유사의 또는 동의어</t>
    <phoneticPr fontId="3" type="noConversion"/>
  </si>
  <si>
    <t>조치기관</t>
  </si>
  <si>
    <t>TAK_AGN</t>
  </si>
  <si>
    <t xml:space="preserve">TAKE AGENCY </t>
  </si>
  <si>
    <t>내부감사결과 또는 지시사항을 해결을 위한 주관기관 또는 부서</t>
    <phoneticPr fontId="3" type="noConversion"/>
  </si>
  <si>
    <t xml:space="preserve">TAKE AMOUNT </t>
  </si>
  <si>
    <t>내부감사결과 또는 지시사항을 해결하기 위한 비용 또는 해결비용</t>
    <phoneticPr fontId="3" type="noConversion"/>
  </si>
  <si>
    <t>조치일자</t>
  </si>
  <si>
    <t>TAK_DAT</t>
  </si>
  <si>
    <t xml:space="preserve">TAKE DATE </t>
  </si>
  <si>
    <t>내부감사결과 또는 지시사항을 해결한 일자</t>
    <phoneticPr fontId="3" type="noConversion"/>
  </si>
  <si>
    <t>회화수준</t>
  </si>
  <si>
    <t>TAK_LVL</t>
  </si>
  <si>
    <t xml:space="preserve">TALK LEVEL </t>
  </si>
  <si>
    <t>외국어 회화수준 (상, 중, 하 등)</t>
    <phoneticPr fontId="3" type="noConversion"/>
  </si>
  <si>
    <t>내부감사결과 또는 지시사항을 해결 완료일</t>
    <phoneticPr fontId="3" type="noConversion"/>
  </si>
  <si>
    <t>기호(담배)</t>
  </si>
  <si>
    <t>TAS_CIC</t>
  </si>
  <si>
    <t xml:space="preserve">TASTE CIGARETTE </t>
  </si>
  <si>
    <t>직원 개개인의 기호(담배)</t>
    <phoneticPr fontId="3" type="noConversion"/>
  </si>
  <si>
    <t>기호(기타)</t>
  </si>
  <si>
    <t>TAS_ETC</t>
  </si>
  <si>
    <t xml:space="preserve">TASTE ETC </t>
  </si>
  <si>
    <t>직원 개개인의 기호(기타)</t>
    <phoneticPr fontId="3" type="noConversion"/>
  </si>
  <si>
    <t>기호(음식물)</t>
  </si>
  <si>
    <t>TAS_FOD</t>
  </si>
  <si>
    <t xml:space="preserve">TASTE FOOD </t>
  </si>
  <si>
    <t>직원 개개인의 기호(음식물)</t>
    <phoneticPr fontId="3" type="noConversion"/>
  </si>
  <si>
    <t>기호(술)</t>
  </si>
  <si>
    <t>TAS_WIN</t>
  </si>
  <si>
    <t xml:space="preserve">TASTE WINE </t>
  </si>
  <si>
    <t>직원 개개인의 기호(술)</t>
    <phoneticPr fontId="3" type="noConversion"/>
  </si>
  <si>
    <t>세액공제</t>
  </si>
  <si>
    <t>TAX_GONG</t>
  </si>
  <si>
    <t xml:space="preserve">TAX GONG </t>
  </si>
  <si>
    <t>연말 또는 중도 정산시 산출한 세액에서 공제받는 금액</t>
    <phoneticPr fontId="3" type="noConversion"/>
  </si>
  <si>
    <t>세입징수관서</t>
  </si>
  <si>
    <t>TAX_PLS</t>
  </si>
  <si>
    <t xml:space="preserve">TAX PLACE </t>
  </si>
  <si>
    <t>세액계</t>
  </si>
  <si>
    <t>TAX_TOT</t>
  </si>
  <si>
    <t xml:space="preserve">TAX TOTAL </t>
  </si>
  <si>
    <t>귀속년월</t>
  </si>
  <si>
    <t>TAX_YM</t>
  </si>
  <si>
    <t xml:space="preserve">TAX YEAR MONTH </t>
  </si>
  <si>
    <t>해당 결산 또는 정산연도를 의미</t>
    <phoneticPr fontId="3" type="noConversion"/>
  </si>
  <si>
    <t>세금</t>
    <phoneticPr fontId="3" type="noConversion"/>
  </si>
  <si>
    <t>TAX</t>
    <phoneticPr fontId="3" type="noConversion"/>
  </si>
  <si>
    <t>직원이 해외 파견근무시 근로소득세 비과세 한도</t>
    <phoneticPr fontId="3" type="noConversion"/>
  </si>
  <si>
    <t>TB계정과목명</t>
  </si>
  <si>
    <t>TB_NM</t>
  </si>
  <si>
    <t xml:space="preserve">TB NAME </t>
  </si>
  <si>
    <t>TB순번</t>
  </si>
  <si>
    <t>TB_SQN</t>
  </si>
  <si>
    <t xml:space="preserve">TB SEQUENCE </t>
  </si>
  <si>
    <t>연수구분</t>
    <phoneticPr fontId="3" type="noConversion"/>
  </si>
  <si>
    <t>TBD_GB</t>
  </si>
  <si>
    <t xml:space="preserve">TBD GUBUN </t>
  </si>
  <si>
    <t>연수 유형구분</t>
    <phoneticPr fontId="3" type="noConversion"/>
  </si>
  <si>
    <t>이공계 여부</t>
  </si>
  <si>
    <t>TECH_YN</t>
  </si>
  <si>
    <t xml:space="preserve">TECHNOLOGY YES NO </t>
  </si>
  <si>
    <t>TEL_CSS</t>
  </si>
  <si>
    <t xml:space="preserve">TELEPHONE CLASS </t>
  </si>
  <si>
    <t>TEL_GB</t>
  </si>
  <si>
    <t xml:space="preserve">TELEPHONE GUBUN </t>
  </si>
  <si>
    <t>TEL_NO</t>
  </si>
  <si>
    <t xml:space="preserve">TELEPHONE NUMBER </t>
  </si>
  <si>
    <t>TEL_TXT</t>
  </si>
  <si>
    <t xml:space="preserve">TELEPHONE TEXT </t>
  </si>
  <si>
    <t>TEXT</t>
  </si>
  <si>
    <t>검사 및 검수기관</t>
  </si>
  <si>
    <t>TFA_CD</t>
  </si>
  <si>
    <t xml:space="preserve">TESTIFY FOR ACCEPT CODE </t>
  </si>
  <si>
    <t>검수확인여부</t>
  </si>
  <si>
    <t>TFA_YN</t>
  </si>
  <si>
    <t xml:space="preserve">TESTIFY FOR ACCEPT YES NO </t>
  </si>
  <si>
    <t>봉사료</t>
  </si>
  <si>
    <t>TIP_AMT</t>
  </si>
  <si>
    <t xml:space="preserve">TIP AMOUNT </t>
  </si>
  <si>
    <t>오는편출발구간코드</t>
  </si>
  <si>
    <t>TO_CD</t>
    <phoneticPr fontId="3" type="noConversion"/>
  </si>
  <si>
    <t xml:space="preserve">TO CODE </t>
  </si>
  <si>
    <t>TO_DAT</t>
  </si>
  <si>
    <t xml:space="preserve">TO DATE </t>
  </si>
  <si>
    <t>오는편출발구간명</t>
  </si>
  <si>
    <t>TO_NM</t>
    <phoneticPr fontId="3" type="noConversion"/>
  </si>
  <si>
    <t xml:space="preserve">TO NAME </t>
  </si>
  <si>
    <t>오는편차종코드</t>
  </si>
  <si>
    <t>TO_TRAIN</t>
  </si>
  <si>
    <t xml:space="preserve">TO TRAIN </t>
  </si>
  <si>
    <t>오는편차종명</t>
  </si>
  <si>
    <t>TO_TRAIN_NM</t>
  </si>
  <si>
    <t>TO TRAIN NAME</t>
  </si>
  <si>
    <t>최상위메뉴</t>
  </si>
  <si>
    <t>TOPMENU</t>
  </si>
  <si>
    <t>TOP MENU</t>
  </si>
  <si>
    <t>합계금액</t>
  </si>
  <si>
    <t>TOT_AMT</t>
  </si>
  <si>
    <t xml:space="preserve">TOTAL AMOUNT </t>
  </si>
  <si>
    <t>구매계약건수</t>
  </si>
  <si>
    <t>TOT_CNT</t>
  </si>
  <si>
    <t xml:space="preserve">TOTAL COUNT </t>
  </si>
  <si>
    <t>전고</t>
  </si>
  <si>
    <t>TOT_HEG</t>
  </si>
  <si>
    <t>TOTAL HEIGHT</t>
  </si>
  <si>
    <t>전장</t>
  </si>
  <si>
    <t>TOT_LEN</t>
  </si>
  <si>
    <t xml:space="preserve">TOTAL LENGTH </t>
  </si>
  <si>
    <t>세액총계</t>
  </si>
  <si>
    <t>TOT_TAX</t>
  </si>
  <si>
    <t xml:space="preserve">TOTAL TAX </t>
  </si>
  <si>
    <t>납부한 세액의 합계 (부가가치세, 등록세, 취득세 등 모두 포함)</t>
    <phoneticPr fontId="3" type="noConversion"/>
  </si>
  <si>
    <t>전폭</t>
  </si>
  <si>
    <t>TOT_WID</t>
  </si>
  <si>
    <t xml:space="preserve">TOTAL WIDTH </t>
  </si>
  <si>
    <t>총공사부기금액</t>
  </si>
  <si>
    <t>TOTCSR_AMT</t>
  </si>
  <si>
    <t xml:space="preserve">TOTAL CONSTRUCTION AMOUNT </t>
  </si>
  <si>
    <t>기부금계</t>
  </si>
  <si>
    <t>TOTCTB_AMT</t>
  </si>
  <si>
    <t xml:space="preserve">TOTAL CONTRIBUTION AMOUNT </t>
  </si>
  <si>
    <t>국가가 지정한 비영리법인 및 단체에 지출한 비용 합계 금액 (비과세 대상 임)</t>
    <phoneticPr fontId="3" type="noConversion"/>
  </si>
  <si>
    <t>총급여의3%</t>
  </si>
  <si>
    <t>TOTPAM_RAT</t>
  </si>
  <si>
    <t xml:space="preserve">TOTAL PAYMENT RATE </t>
  </si>
  <si>
    <t>세액공제계</t>
  </si>
  <si>
    <t>TOTTAX_RMV</t>
  </si>
  <si>
    <t xml:space="preserve">TOTAL TAX REMOVE </t>
  </si>
  <si>
    <t>본인교육비</t>
  </si>
  <si>
    <t>TPHEDU_AMT</t>
  </si>
  <si>
    <t xml:space="preserve">THE PERSON HIMSELF EDUCATION AMOUNT </t>
  </si>
  <si>
    <t>본인공제액</t>
  </si>
  <si>
    <t>TPHRMV_AMT</t>
  </si>
  <si>
    <t xml:space="preserve">THE PERSON HIMSELF REMOVE AMOUNT </t>
  </si>
  <si>
    <t>전입일</t>
  </si>
  <si>
    <t>TRA_DAT</t>
  </si>
  <si>
    <t xml:space="preserve">TRANSFERENCE DATE </t>
  </si>
  <si>
    <t>전입지</t>
  </si>
  <si>
    <t>TRA_DES</t>
  </si>
  <si>
    <t xml:space="preserve">TRANSFERENCE DESTINATION </t>
  </si>
  <si>
    <t>전입신고일</t>
  </si>
  <si>
    <t>TRARPT_DAT</t>
  </si>
  <si>
    <t xml:space="preserve">TRANSFERENCE REPORT DATE </t>
  </si>
  <si>
    <t>수고</t>
    <phoneticPr fontId="3" type="noConversion"/>
  </si>
  <si>
    <t>TRE_HEG</t>
  </si>
  <si>
    <t>TREE HEIGHT</t>
  </si>
  <si>
    <t>나무의 높이</t>
    <phoneticPr fontId="3" type="noConversion"/>
  </si>
  <si>
    <t>흉고</t>
  </si>
  <si>
    <t>TRE_HUN</t>
  </si>
  <si>
    <t>TREE HEIGHT OF UNDER</t>
  </si>
  <si>
    <t>가슴높이</t>
    <phoneticPr fontId="3" type="noConversion"/>
  </si>
  <si>
    <t>근원</t>
    <phoneticPr fontId="3" type="noConversion"/>
  </si>
  <si>
    <t>TRE_KNW</t>
  </si>
  <si>
    <t xml:space="preserve">TREE KUNWON </t>
  </si>
  <si>
    <t>사물이 비롯되는 근본이나 원인</t>
    <phoneticPr fontId="3" type="noConversion"/>
  </si>
  <si>
    <t>수폭</t>
  </si>
  <si>
    <t>TRE_WID</t>
  </si>
  <si>
    <t xml:space="preserve">TREE WIDTH </t>
  </si>
  <si>
    <t>나무 폭</t>
    <phoneticPr fontId="3" type="noConversion"/>
  </si>
  <si>
    <t>TRE_YY</t>
  </si>
  <si>
    <t xml:space="preserve">TREE YEAR </t>
  </si>
  <si>
    <t>나무의 나이</t>
    <phoneticPr fontId="3" type="noConversion"/>
  </si>
  <si>
    <t>훈련기간시작일자</t>
  </si>
  <si>
    <t>TRFR_DAT</t>
  </si>
  <si>
    <t xml:space="preserve">TRAINING FROM DATE </t>
  </si>
  <si>
    <t>훈련직종코드</t>
  </si>
  <si>
    <t>TRJ_CD</t>
  </si>
  <si>
    <t xml:space="preserve">TRAINING JIKJONG CODE </t>
  </si>
  <si>
    <t xml:space="preserve">TERM EXPIRATION DATE </t>
  </si>
  <si>
    <t>기간만료일</t>
  </si>
  <si>
    <t>TRMEXT_DAT</t>
  </si>
  <si>
    <t>전역시복무직책</t>
  </si>
  <si>
    <t>TRN_DUT</t>
  </si>
  <si>
    <t xml:space="preserve">TRANSFER DUTIES </t>
  </si>
  <si>
    <t>번역수준</t>
  </si>
  <si>
    <t>TRN_LVL</t>
  </si>
  <si>
    <t xml:space="preserve">TRANSLATION LEVEL </t>
  </si>
  <si>
    <t>전역시부대명</t>
  </si>
  <si>
    <t>TRNB_NM</t>
  </si>
  <si>
    <t xml:space="preserve">TRANSFER BUDAE NAME </t>
  </si>
  <si>
    <t>거래은행</t>
    <phoneticPr fontId="3" type="noConversion"/>
  </si>
  <si>
    <t>TRNBNK_CD</t>
  </si>
  <si>
    <t xml:space="preserve">TRANSACTIONS BANK CODE </t>
  </si>
  <si>
    <t>예금, 어음 할인, 대출, 당좌예금 등 따위를 행위하는 은행</t>
    <phoneticPr fontId="3" type="noConversion"/>
  </si>
  <si>
    <t>거래시작일자</t>
  </si>
  <si>
    <t>TRNSTR_DAT</t>
  </si>
  <si>
    <t xml:space="preserve">TRANSACTIONS START DATE </t>
  </si>
  <si>
    <t>훈련기관코드</t>
  </si>
  <si>
    <t>TRO_CD</t>
  </si>
  <si>
    <t xml:space="preserve">TRAINING ORGANIZATION CODE </t>
  </si>
  <si>
    <t>교육이나 직무교육을 행하는 기관</t>
    <phoneticPr fontId="3" type="noConversion"/>
  </si>
  <si>
    <t>위탁관리회사명</t>
  </si>
  <si>
    <t>TRSCOM_NM</t>
  </si>
  <si>
    <t xml:space="preserve">TRUST COMPANY NAME </t>
  </si>
  <si>
    <t>자산아나 부채를 위임받아서 관리하는 회사</t>
    <phoneticPr fontId="3" type="noConversion"/>
  </si>
  <si>
    <t>위탁관리회사전화번호</t>
  </si>
  <si>
    <t>TRSTEL_NO</t>
  </si>
  <si>
    <t xml:space="preserve">TRUST TELEPHONE NUMBER </t>
  </si>
  <si>
    <t>자산아나 부채를 위임받아서 관리하는 회사 전화번호</t>
    <phoneticPr fontId="3" type="noConversion"/>
  </si>
  <si>
    <t>취급내용</t>
  </si>
  <si>
    <t>TRT_TXT</t>
  </si>
  <si>
    <t xml:space="preserve">TREATMENT TEXT </t>
  </si>
  <si>
    <t>위탁기관이나 훈련기관에서 교육하는 커리쿨럼, 위탁기관에서 위탁받아서 처리하는 일의 내용</t>
    <phoneticPr fontId="3" type="noConversion"/>
  </si>
  <si>
    <t>훈련기간종료일자</t>
  </si>
  <si>
    <t>TRTO_DAT</t>
  </si>
  <si>
    <t xml:space="preserve">TRAINING TO DATE </t>
  </si>
  <si>
    <t>수착기관부호</t>
    <phoneticPr fontId="3" type="noConversion"/>
  </si>
  <si>
    <t>TRUST_NO</t>
    <phoneticPr fontId="3" type="noConversion"/>
  </si>
  <si>
    <t xml:space="preserve">TRUST NUMBER </t>
  </si>
  <si>
    <t>조직 운영에 직접적으로 관련있는 기관 (위탁교육 등)</t>
    <phoneticPr fontId="3" type="noConversion"/>
  </si>
  <si>
    <t>전도액</t>
  </si>
  <si>
    <t>TSR_AMT</t>
  </si>
  <si>
    <t xml:space="preserve">TRANSFER AMOUNT </t>
  </si>
  <si>
    <t>조직에서 사용하는 비용을 지불할때 일시불로 지불하면 하위조직에서는 전도금액으로 관리</t>
    <phoneticPr fontId="3" type="noConversion"/>
  </si>
  <si>
    <t>비과세금액</t>
    <phoneticPr fontId="3" type="noConversion"/>
  </si>
  <si>
    <t xml:space="preserve">TAX EXEMPTION AMOUNT </t>
  </si>
  <si>
    <t>근로소득세 계산시 근로소득금액 합산에 포함되지 않는 소득 (식대 등)</t>
    <phoneticPr fontId="3" type="noConversion"/>
  </si>
  <si>
    <t>TV수신료</t>
  </si>
  <si>
    <t>TVR_AMT</t>
  </si>
  <si>
    <t xml:space="preserve">TV RECEIVEAMOUNT </t>
  </si>
  <si>
    <t>과세대상소득합</t>
    <phoneticPr fontId="3" type="noConversion"/>
  </si>
  <si>
    <t>TXDERN_AMT</t>
  </si>
  <si>
    <t xml:space="preserve">TAXED EARN AMOUNT </t>
  </si>
  <si>
    <t xml:space="preserve">개인의 소득세에 대상이 되는 소득의 합계 </t>
    <phoneticPr fontId="3" type="noConversion"/>
  </si>
  <si>
    <t>전년도근로소득총액</t>
  </si>
  <si>
    <t>지난 년도의 소득세의 대상이 되는 소득의 총계</t>
    <phoneticPr fontId="3" type="noConversion"/>
  </si>
  <si>
    <t>세무서코드(FA20)</t>
  </si>
  <si>
    <t>TXO_CD</t>
  </si>
  <si>
    <t xml:space="preserve">TAX OFFICE CODE </t>
  </si>
  <si>
    <t xml:space="preserve">기관이나 개인이 소속되어 있는 지역 세무서 </t>
    <phoneticPr fontId="3" type="noConversion"/>
  </si>
  <si>
    <t>세율(%)</t>
  </si>
  <si>
    <t xml:space="preserve">TAX RATE  </t>
  </si>
  <si>
    <t>연말정산 또는 중도정산시 세율(%)</t>
    <phoneticPr fontId="3" type="noConversion"/>
  </si>
  <si>
    <t xml:space="preserve">TEXT  </t>
  </si>
  <si>
    <t>내용년수</t>
    <phoneticPr fontId="3" type="noConversion"/>
  </si>
  <si>
    <t>TXTYY_CNT</t>
  </si>
  <si>
    <t xml:space="preserve">TEXT YEAR COUNT </t>
  </si>
  <si>
    <t>고정자산의 법정 내용년수 (조달청에서 물품 및 품목별 내용년수를 결정)</t>
    <phoneticPr fontId="3" type="noConversion"/>
  </si>
  <si>
    <t>형태가액</t>
    <phoneticPr fontId="3" type="noConversion"/>
  </si>
  <si>
    <t>TYP_AMT</t>
  </si>
  <si>
    <t xml:space="preserve">TYPE AMOUNT </t>
  </si>
  <si>
    <t>고정자산의 형태에 따른 가격 (완제품가, 반제품가 등)</t>
    <phoneticPr fontId="3" type="noConversion"/>
  </si>
  <si>
    <t>형태구조형식</t>
    <phoneticPr fontId="3" type="noConversion"/>
  </si>
  <si>
    <t>TYP_KJO</t>
  </si>
  <si>
    <t xml:space="preserve">TYPE KOOJO </t>
  </si>
  <si>
    <t>고정자산의 형태 (완제, 반제, 조립 등)</t>
    <phoneticPr fontId="3" type="noConversion"/>
  </si>
  <si>
    <t>과세표준(이상)</t>
    <phoneticPr fontId="3" type="noConversion"/>
  </si>
  <si>
    <t>U_TXS</t>
  </si>
  <si>
    <t xml:space="preserve">UP TAX STANDARD </t>
  </si>
  <si>
    <t>소득세에 있어서의 소득금액 세액징수의 표준으로 세액산정의 기준</t>
    <phoneticPr fontId="3" type="noConversion"/>
  </si>
  <si>
    <t>UCA_AMT</t>
  </si>
  <si>
    <t xml:space="preserve">UNCOLLECTED AMOUNT </t>
  </si>
  <si>
    <t>사용부서</t>
  </si>
  <si>
    <t>UDEPT_CD</t>
  </si>
  <si>
    <t xml:space="preserve">USE DEPARTMENT CODE </t>
  </si>
  <si>
    <t>도급액</t>
    <phoneticPr fontId="3" type="noConversion"/>
  </si>
  <si>
    <t>UDT_AMT</t>
  </si>
  <si>
    <t xml:space="preserve">UNDERTAKING AMOUNT </t>
  </si>
  <si>
    <t>외주용역 계약금액</t>
    <phoneticPr fontId="3" type="noConversion"/>
  </si>
  <si>
    <t>대학형태</t>
  </si>
  <si>
    <t>UNIV_TYP</t>
  </si>
  <si>
    <t xml:space="preserve">UNIVERSITY TYPE </t>
  </si>
  <si>
    <t xml:space="preserve">UNIT  </t>
  </si>
  <si>
    <t>상반기실적</t>
  </si>
  <si>
    <t>UP_AMT</t>
  </si>
  <si>
    <t xml:space="preserve">UP AMOUNT </t>
  </si>
  <si>
    <t xml:space="preserve">UPDATE DATE </t>
  </si>
  <si>
    <t xml:space="preserve">UPDATE NAME </t>
  </si>
  <si>
    <t xml:space="preserve">UPDATE YES NO </t>
  </si>
  <si>
    <t xml:space="preserve">UPPER DEPARTMENT NAME </t>
  </si>
  <si>
    <t>미납임대월</t>
  </si>
  <si>
    <t>UPILSD_MM</t>
  </si>
  <si>
    <t xml:space="preserve">UNPAID LEASE MONTH </t>
  </si>
  <si>
    <t>업종확인일</t>
    <phoneticPr fontId="3" type="noConversion"/>
  </si>
  <si>
    <t>UPJCHK_DAT</t>
  </si>
  <si>
    <t xml:space="preserve">UPJONG CHECK DATE </t>
  </si>
  <si>
    <t>사업의 유형 및 종류를 구분을 확인한 일자</t>
    <phoneticPr fontId="3" type="noConversion"/>
  </si>
  <si>
    <t>업종(FA23)</t>
  </si>
  <si>
    <t>UPJO</t>
  </si>
  <si>
    <t xml:space="preserve">UPJONG  </t>
  </si>
  <si>
    <t>사업의 유형 및 종류를 구분</t>
    <phoneticPr fontId="3" type="noConversion"/>
  </si>
  <si>
    <t>업무추진비여부</t>
    <phoneticPr fontId="3" type="noConversion"/>
  </si>
  <si>
    <t>UPM_GB</t>
  </si>
  <si>
    <t xml:space="preserve">UPMU GUBUN </t>
  </si>
  <si>
    <t>각 부서별 고유의 직무를 수행하기 위해 사용하는 비용</t>
    <phoneticPr fontId="3" type="noConversion"/>
  </si>
  <si>
    <t>간주임대료부가세</t>
    <phoneticPr fontId="3" type="noConversion"/>
  </si>
  <si>
    <t>UPOLSD_VAT</t>
  </si>
  <si>
    <t xml:space="preserve">UPHOLD LEASED VALUE ADDED TAX </t>
  </si>
  <si>
    <t xml:space="preserve">부동산임대용역을 제공할 때 전세금 등에 일정한 이율을 곱하여 계산한 금액 </t>
    <phoneticPr fontId="3" type="noConversion"/>
  </si>
  <si>
    <t>상위기관코드</t>
  </si>
  <si>
    <t>UPPAGN_CD</t>
  </si>
  <si>
    <t xml:space="preserve">UPPER AGENCY CODE </t>
  </si>
  <si>
    <t>UPTAE</t>
  </si>
  <si>
    <t>한국표준산업분류의 대분류를 의미</t>
    <phoneticPr fontId="3" type="noConversion"/>
  </si>
  <si>
    <t>사용시작일</t>
  </si>
  <si>
    <t>USE_DAT</t>
  </si>
  <si>
    <t xml:space="preserve">USE DATE </t>
  </si>
  <si>
    <t>USE_FOR</t>
  </si>
  <si>
    <t xml:space="preserve">USE FOR </t>
  </si>
  <si>
    <t>USE_NM</t>
  </si>
  <si>
    <t xml:space="preserve">USE NAME </t>
  </si>
  <si>
    <t>사용여부</t>
    <phoneticPr fontId="3" type="noConversion"/>
  </si>
  <si>
    <t xml:space="preserve">USE YES NO </t>
  </si>
  <si>
    <t>Y:사용,N:미사용,A:다면평가,트리구조사용위해</t>
    <phoneticPr fontId="3" type="noConversion"/>
  </si>
  <si>
    <t>USEDPT_NM</t>
  </si>
  <si>
    <t xml:space="preserve">USE DEPARTMENT NAME </t>
  </si>
  <si>
    <t>USER_ID</t>
  </si>
  <si>
    <t xml:space="preserve">USER IDENTITY </t>
  </si>
  <si>
    <t>사용자명</t>
  </si>
  <si>
    <t>USER_NM</t>
  </si>
  <si>
    <t xml:space="preserve">USER NAME </t>
  </si>
  <si>
    <t>사용가능년수</t>
  </si>
  <si>
    <t>USPYY_CNT</t>
  </si>
  <si>
    <t xml:space="preserve">USE POSSIBLE YEAR COUNT </t>
  </si>
  <si>
    <t>운용개시일</t>
  </si>
  <si>
    <t>UST_DAT</t>
  </si>
  <si>
    <t xml:space="preserve">USE START DATE </t>
  </si>
  <si>
    <t>업체순번</t>
  </si>
  <si>
    <t>V_SQN</t>
  </si>
  <si>
    <t xml:space="preserve">VENDOR SEQUENCE </t>
  </si>
  <si>
    <t>부가가치세</t>
  </si>
  <si>
    <t>VADVAL_TAX</t>
  </si>
  <si>
    <t xml:space="preserve">VALUE ADDED TAX </t>
  </si>
  <si>
    <t>생산 및 유통과정에서 창출되는 부가가치에 대해 조세 (부가가치세는 국세임)</t>
    <phoneticPr fontId="3" type="noConversion"/>
  </si>
  <si>
    <t>유효기간시작일</t>
  </si>
  <si>
    <t>VAL_FR_DAT</t>
  </si>
  <si>
    <t>VALIDITY FROM DATE</t>
  </si>
  <si>
    <t>유효기간종료일</t>
  </si>
  <si>
    <t>VAL_TO_DAT</t>
  </si>
  <si>
    <t>VALIDITY TO DATE</t>
  </si>
  <si>
    <t>원천징수의무자 사업자등록번호</t>
  </si>
  <si>
    <t>VEN_CD</t>
  </si>
  <si>
    <t xml:space="preserve">VENDOR CODE </t>
  </si>
  <si>
    <t>원천징수의무자 사업자등록번호(한국산업인력공단의 사업자 번호)</t>
    <phoneticPr fontId="3" type="noConversion"/>
  </si>
  <si>
    <t>상호,법인명,단체,성명</t>
  </si>
  <si>
    <t>VEN_NM</t>
  </si>
  <si>
    <t xml:space="preserve">VENDOR NAME </t>
  </si>
  <si>
    <t>상호,법인명,단체,성명 (한국산업인력공단)</t>
    <phoneticPr fontId="3" type="noConversion"/>
  </si>
  <si>
    <t>VEN_NO</t>
  </si>
  <si>
    <t xml:space="preserve">VENDOR NUMBER </t>
  </si>
  <si>
    <t>경유지</t>
  </si>
  <si>
    <t>VIA_ARE</t>
  </si>
  <si>
    <t xml:space="preserve">VIA AREA </t>
  </si>
  <si>
    <t>해외출장시 경유하는 나라 또는 지역</t>
    <phoneticPr fontId="3" type="noConversion"/>
  </si>
  <si>
    <t>방문기관</t>
  </si>
  <si>
    <t>VIS_AGN</t>
  </si>
  <si>
    <t xml:space="preserve">VISIT AGENCY </t>
  </si>
  <si>
    <t>해외출장시 출장목적을 달성하기 위해 방문하는 기관</t>
    <phoneticPr fontId="3" type="noConversion"/>
  </si>
  <si>
    <t>방문일자</t>
  </si>
  <si>
    <t>VIS_DAT</t>
  </si>
  <si>
    <t xml:space="preserve">VISIT DATE </t>
  </si>
  <si>
    <t>해외출장시 방문일자</t>
    <phoneticPr fontId="3" type="noConversion"/>
  </si>
  <si>
    <t>방문목적</t>
  </si>
  <si>
    <t>VIS_FOR</t>
  </si>
  <si>
    <t xml:space="preserve">VISIT FOR </t>
  </si>
  <si>
    <t xml:space="preserve">해외출장시 출장목적  </t>
    <phoneticPr fontId="3" type="noConversion"/>
  </si>
  <si>
    <t>방문인원</t>
  </si>
  <si>
    <t>VIS_NMP</t>
  </si>
  <si>
    <t xml:space="preserve">VISIT NUMBER OF PERSONS </t>
  </si>
  <si>
    <t>해외출장시 출장목적을 달성하기 위해 방문하응 인원</t>
    <phoneticPr fontId="3" type="noConversion"/>
  </si>
  <si>
    <t>방문년도</t>
  </si>
  <si>
    <t>VIS_YY</t>
  </si>
  <si>
    <t xml:space="preserve">VISIT YEAR </t>
  </si>
  <si>
    <t>해외출장시 방문년도</t>
    <phoneticPr fontId="3" type="noConversion"/>
  </si>
  <si>
    <t>소속주소</t>
  </si>
  <si>
    <t>W_ADDR</t>
  </si>
  <si>
    <t xml:space="preserve">- ADDRESS </t>
  </si>
  <si>
    <t>W_DEPT</t>
  </si>
  <si>
    <t xml:space="preserve">- DEPARTMENT </t>
  </si>
  <si>
    <t>여직번</t>
  </si>
  <si>
    <t>W_JKN</t>
  </si>
  <si>
    <t xml:space="preserve">- JIK NUMBER </t>
  </si>
  <si>
    <t>W_NAME</t>
  </si>
  <si>
    <t xml:space="preserve">- NAME </t>
  </si>
  <si>
    <t>W_POSITION</t>
  </si>
  <si>
    <t xml:space="preserve">- POSITION </t>
  </si>
  <si>
    <t>소속전화</t>
  </si>
  <si>
    <t>W_TEL</t>
  </si>
  <si>
    <t xml:space="preserve">- TELEPHONE </t>
  </si>
  <si>
    <t>소속우편번호</t>
  </si>
  <si>
    <t>W_ZIP_NO</t>
  </si>
  <si>
    <t>- ZIP CODE -</t>
  </si>
  <si>
    <t>W_ZIPSQN</t>
  </si>
  <si>
    <t xml:space="preserve">- ZIP SEQUENCE </t>
  </si>
  <si>
    <t>내국세</t>
  </si>
  <si>
    <t>WAC_TAX</t>
  </si>
  <si>
    <t xml:space="preserve">WITHIN A COUNTRY TAX </t>
  </si>
  <si>
    <t>통관절차에 필요로 하지 않고 부과하는 세금 (부가가치세, 주세, 특별소비세 등)</t>
    <phoneticPr fontId="3" type="noConversion"/>
  </si>
  <si>
    <t xml:space="preserve">WAGES  </t>
  </si>
  <si>
    <t>통상임금</t>
    <phoneticPr fontId="3" type="noConversion"/>
  </si>
  <si>
    <t xml:space="preserve">WAGES AMOUNT </t>
  </si>
  <si>
    <t>근로의 대가로 지급되는 모든 임금. 기본임금 외에 직무,기술,가족수당 등 포함(상여금제외)</t>
    <phoneticPr fontId="3" type="noConversion"/>
  </si>
  <si>
    <t>취득가액(원)</t>
  </si>
  <si>
    <t>WAQU_AMT</t>
  </si>
  <si>
    <t xml:space="preserve">WON ACQUISITION AMOUNT </t>
  </si>
  <si>
    <t>자산의 구매시 구매가(원)</t>
    <phoneticPr fontId="3" type="noConversion"/>
  </si>
  <si>
    <t>근로소득금액</t>
    <phoneticPr fontId="3" type="noConversion"/>
  </si>
  <si>
    <t>WE_AMT</t>
  </si>
  <si>
    <t xml:space="preserve">WORK EARNING AMOUNT </t>
  </si>
  <si>
    <t>소득세의 과세 대상이 되는 모든 급여 합계</t>
    <phoneticPr fontId="3" type="noConversion"/>
  </si>
  <si>
    <t>근로일</t>
  </si>
  <si>
    <t>WE_DAY</t>
  </si>
  <si>
    <t xml:space="preserve">WORK EARNING DAY </t>
  </si>
  <si>
    <t>근로내역</t>
  </si>
  <si>
    <t>WE_TXT</t>
  </si>
  <si>
    <t xml:space="preserve">WORK EARNING TEXT </t>
  </si>
  <si>
    <t>근로일수</t>
  </si>
  <si>
    <t>WEDAY_CNT</t>
  </si>
  <si>
    <t xml:space="preserve">WORK DAY COUNT </t>
  </si>
  <si>
    <t>혼인건수</t>
  </si>
  <si>
    <t>WEDDING_CNT</t>
  </si>
  <si>
    <t xml:space="preserve">WEDDING COUNT </t>
  </si>
  <si>
    <t>체중</t>
  </si>
  <si>
    <t>WEI</t>
  </si>
  <si>
    <t xml:space="preserve">WEIGHT  </t>
  </si>
  <si>
    <t>근로소득공제</t>
    <phoneticPr fontId="3" type="noConversion"/>
  </si>
  <si>
    <t>WERMV_AMT</t>
  </si>
  <si>
    <t xml:space="preserve">WORK EARNING REMOVE AMOUNT </t>
  </si>
  <si>
    <t>근로자의 당해 연도의 과세 표준이 되는 급여 총액에서 일정액을 공제하여 주는 금액</t>
    <phoneticPr fontId="3" type="noConversion"/>
  </si>
  <si>
    <t>근로소득세액공제</t>
    <phoneticPr fontId="3" type="noConversion"/>
  </si>
  <si>
    <t xml:space="preserve">WORK EARNING TAX REMOVE </t>
  </si>
  <si>
    <t>근로자의 당해 연도의 과세 표준이 되는 급여 총액에서 일정액을 세액에서 공제하여 주는 금액</t>
    <phoneticPr fontId="3" type="noConversion"/>
  </si>
  <si>
    <t>WK_DAT</t>
  </si>
  <si>
    <t xml:space="preserve">WORK DATE </t>
  </si>
  <si>
    <t>작업자직번</t>
  </si>
  <si>
    <t>WK_JKN</t>
  </si>
  <si>
    <t xml:space="preserve">WORK JIK NUMBER </t>
  </si>
  <si>
    <t>WK_NM</t>
  </si>
  <si>
    <t xml:space="preserve">WORK NAME </t>
  </si>
  <si>
    <t xml:space="preserve">WOMEN  </t>
  </si>
  <si>
    <t xml:space="preserve">WOMEN COUNT </t>
  </si>
  <si>
    <t>부녀자공제액</t>
  </si>
  <si>
    <t>WMNRMV_AMT</t>
  </si>
  <si>
    <t xml:space="preserve">WOMEN REMOVE AMOUNT </t>
  </si>
  <si>
    <t>1희망</t>
  </si>
  <si>
    <t>WNT_NM1</t>
  </si>
  <si>
    <t xml:space="preserve">WANT NAME </t>
  </si>
  <si>
    <t>2희망</t>
  </si>
  <si>
    <t>WNT_NM2</t>
  </si>
  <si>
    <t>3희망</t>
  </si>
  <si>
    <t>WNT_NM3</t>
  </si>
  <si>
    <t>취업기간</t>
  </si>
  <si>
    <t>WOK_DAT</t>
  </si>
  <si>
    <t>WOK_PAM</t>
  </si>
  <si>
    <t xml:space="preserve">WORK PAYMENT </t>
  </si>
  <si>
    <t>수료여부</t>
  </si>
  <si>
    <t>WOK_STA</t>
  </si>
  <si>
    <t>WORK STATE</t>
  </si>
  <si>
    <t>취업형태</t>
  </si>
  <si>
    <t>WOK_TYP</t>
  </si>
  <si>
    <t xml:space="preserve">WORK TYPE </t>
  </si>
  <si>
    <t xml:space="preserve">WORK TELEPHONE NUMBER </t>
  </si>
  <si>
    <t>외부강사여부</t>
  </si>
  <si>
    <t>WPOOL_FLAG</t>
  </si>
  <si>
    <t xml:space="preserve">WORLD POOL FLAG </t>
  </si>
  <si>
    <t>작문수준</t>
  </si>
  <si>
    <t>WRI_LVL</t>
  </si>
  <si>
    <t xml:space="preserve">WRITE LEVEL </t>
  </si>
  <si>
    <t xml:space="preserve">WRITE ERASE BASIS </t>
  </si>
  <si>
    <t>기록말소일자</t>
  </si>
  <si>
    <t>WRIERA_DAT</t>
  </si>
  <si>
    <t xml:space="preserve">WRITE ERASE DATE </t>
  </si>
  <si>
    <t>기록반영일자</t>
  </si>
  <si>
    <t>WRIRFT_DAT</t>
  </si>
  <si>
    <t xml:space="preserve">WRITE REFLECTION DATE </t>
  </si>
  <si>
    <t>작업일자</t>
  </si>
  <si>
    <t>WRK_DAT</t>
  </si>
  <si>
    <t xml:space="preserve">WORK GUBUN </t>
  </si>
  <si>
    <t>근속월수</t>
  </si>
  <si>
    <t>WRK_NMS</t>
  </si>
  <si>
    <t xml:space="preserve">WORK NUMBER OF MONTH SERVICE </t>
    <phoneticPr fontId="3" type="noConversion"/>
  </si>
  <si>
    <t>총 근무 월 수</t>
    <phoneticPr fontId="3" type="noConversion"/>
  </si>
  <si>
    <t>최초근속월수</t>
  </si>
  <si>
    <t>WRK_NMS1</t>
  </si>
  <si>
    <t xml:space="preserve">WORK NUMBER OF MONTH SERVICE </t>
  </si>
  <si>
    <t>근속년수</t>
  </si>
  <si>
    <t>WRK_NYS</t>
    <phoneticPr fontId="3" type="noConversion"/>
  </si>
  <si>
    <t xml:space="preserve">WORK NUMBER OF YEAR SERVICE </t>
    <phoneticPr fontId="3" type="noConversion"/>
  </si>
  <si>
    <t>총근무 연수</t>
    <phoneticPr fontId="3" type="noConversion"/>
  </si>
  <si>
    <t>최초근속년수</t>
  </si>
  <si>
    <t>WRK_NYS1</t>
  </si>
  <si>
    <t xml:space="preserve">WORK NUMBER OF YEAR SERVICE </t>
  </si>
  <si>
    <t>작업기관</t>
  </si>
  <si>
    <t>WRK_O_CD</t>
  </si>
  <si>
    <t>WORK ORAGAN -</t>
  </si>
  <si>
    <t>근무기간</t>
  </si>
  <si>
    <t>WRK_TRM</t>
  </si>
  <si>
    <t xml:space="preserve">WORK TERM </t>
  </si>
  <si>
    <t xml:space="preserve">WORK CODE </t>
  </si>
  <si>
    <t>WRP_CRR</t>
  </si>
  <si>
    <t xml:space="preserve">WORK DEPART CAREER </t>
  </si>
  <si>
    <t>근무처구분(HM07)</t>
  </si>
  <si>
    <t>WRP_GB</t>
  </si>
  <si>
    <t xml:space="preserve">WORK DEPART GUBUN </t>
  </si>
  <si>
    <t>근무처명</t>
  </si>
  <si>
    <t>WRP_NM</t>
  </si>
  <si>
    <t xml:space="preserve">WORK DEPART NAME </t>
  </si>
  <si>
    <t>년평균산출세액</t>
  </si>
  <si>
    <t>YAOUT_TAX</t>
  </si>
  <si>
    <t xml:space="preserve">YEAR AVERAGE OUT TAX </t>
  </si>
  <si>
    <t>YM_ALA</t>
  </si>
  <si>
    <t xml:space="preserve">YEAR MONTH ALLOWANCE </t>
  </si>
  <si>
    <t xml:space="preserve">YEAR MONTH COMPUTE EMPLOYEE DATE </t>
  </si>
  <si>
    <t>연월차계산수당(3개월)</t>
  </si>
  <si>
    <t>YMCOM_ALA</t>
  </si>
  <si>
    <t xml:space="preserve">YEAR MONTH COMPUTE ALLOWANCE </t>
  </si>
  <si>
    <t>연월차수당합계</t>
  </si>
  <si>
    <t>YMTOT_ALA</t>
  </si>
  <si>
    <t xml:space="preserve">YEAR MONTH TOTAL ALLOWANCE </t>
  </si>
  <si>
    <t>윤년여부</t>
  </si>
  <si>
    <t xml:space="preserve">YUNNYUN  </t>
  </si>
  <si>
    <t xml:space="preserve">YEAR  </t>
  </si>
  <si>
    <t>내용년수</t>
  </si>
  <si>
    <t xml:space="preserve">YEAR COUNT </t>
  </si>
  <si>
    <t>YY_MM</t>
  </si>
  <si>
    <t xml:space="preserve">YEAR MONTH </t>
  </si>
  <si>
    <t>년평균과세표준</t>
  </si>
  <si>
    <t>YYAVG_TXS</t>
  </si>
  <si>
    <t xml:space="preserve">YEAR AVERAGE TAX STANDARD </t>
  </si>
  <si>
    <t xml:space="preserve">YEAR DIFFERENCE  </t>
  </si>
  <si>
    <t>연차일수</t>
  </si>
  <si>
    <t>YYFDAY_CNT</t>
  </si>
  <si>
    <t xml:space="preserve">YEAR DIFFERENCE DAY COUNT </t>
  </si>
  <si>
    <t>연월차일</t>
  </si>
  <si>
    <t>YYM_CNT</t>
  </si>
  <si>
    <t xml:space="preserve">YEAR MONTH COUNT </t>
  </si>
  <si>
    <t xml:space="preserve">YEAR MONTH  </t>
  </si>
  <si>
    <t>연월차수당산출액</t>
  </si>
  <si>
    <t>YYMOUT_AMT</t>
  </si>
  <si>
    <t xml:space="preserve">YEAR MONTH OUT AMOUNT </t>
    <phoneticPr fontId="3" type="noConversion"/>
  </si>
  <si>
    <t>연월차기사용일수</t>
  </si>
  <si>
    <t>YYMUSE_CNT</t>
  </si>
  <si>
    <t xml:space="preserve">YEAR MONTH USE COUNT </t>
  </si>
  <si>
    <t>흥미분야</t>
  </si>
  <si>
    <t>ZESBYA</t>
  </si>
  <si>
    <t xml:space="preserve">ZEST BUNYA  </t>
  </si>
  <si>
    <t xml:space="preserve">ZIP CODE NUMBER </t>
  </si>
  <si>
    <t>세입징수관서우편번호</t>
    <phoneticPr fontId="3" type="noConversion"/>
  </si>
  <si>
    <t>ZIP_NO1</t>
  </si>
  <si>
    <t>세입징수관서우편번호</t>
  </si>
  <si>
    <t>시스템구분</t>
    <phoneticPr fontId="3" type="noConversion"/>
  </si>
  <si>
    <t>SYS_GB</t>
    <phoneticPr fontId="3" type="noConversion"/>
  </si>
  <si>
    <t>SYSTEM GUBUN</t>
    <phoneticPr fontId="3" type="noConversion"/>
  </si>
  <si>
    <t>권한</t>
    <phoneticPr fontId="3" type="noConversion"/>
  </si>
  <si>
    <t>AUTHOR</t>
    <phoneticPr fontId="3" type="noConversion"/>
  </si>
  <si>
    <t>자산중분류</t>
    <phoneticPr fontId="3" type="noConversion"/>
  </si>
  <si>
    <t>AST_MGI</t>
    <phoneticPr fontId="3" type="noConversion"/>
  </si>
  <si>
    <t>ASSET MID GROUPING</t>
    <phoneticPr fontId="3" type="noConversion"/>
  </si>
  <si>
    <t>수정전적요</t>
    <phoneticPr fontId="3" type="noConversion"/>
  </si>
  <si>
    <t>UP_BF_TXT</t>
    <phoneticPr fontId="3" type="noConversion"/>
  </si>
  <si>
    <t>UPDATE BEFORE TEXT</t>
    <phoneticPr fontId="3" type="noConversion"/>
  </si>
  <si>
    <t>수정후적요</t>
    <phoneticPr fontId="3" type="noConversion"/>
  </si>
  <si>
    <t>UP_AF_TXT</t>
    <phoneticPr fontId="3" type="noConversion"/>
  </si>
  <si>
    <t>UPDATE AFTER TEXT</t>
    <phoneticPr fontId="3" type="noConversion"/>
  </si>
  <si>
    <t>계약분류</t>
    <phoneticPr fontId="3" type="noConversion"/>
  </si>
  <si>
    <t>CTT_CSS</t>
    <phoneticPr fontId="3" type="noConversion"/>
  </si>
  <si>
    <t>CONTRACT CLASS</t>
    <phoneticPr fontId="3" type="noConversion"/>
  </si>
  <si>
    <t>계약분류(물품, 용역, 공사, 기타(공과금, 업무추진비 등))</t>
    <phoneticPr fontId="3" type="noConversion"/>
  </si>
  <si>
    <t>통합자금 세금계산서 사용내역 키(SEQ)</t>
    <phoneticPr fontId="3" type="noConversion"/>
  </si>
  <si>
    <t>TAX_CCS_SEQ</t>
    <phoneticPr fontId="3" type="noConversion"/>
  </si>
  <si>
    <t>TAX CALCULATION SHEET SEQUENCE</t>
    <phoneticPr fontId="3" type="noConversion"/>
  </si>
  <si>
    <t>세금계산서구분</t>
    <phoneticPr fontId="3" type="noConversion"/>
  </si>
  <si>
    <t>TAX_CCS</t>
    <phoneticPr fontId="3" type="noConversion"/>
  </si>
  <si>
    <t>TAX CALCULATION SHEET</t>
    <phoneticPr fontId="3" type="noConversion"/>
  </si>
  <si>
    <t>세금계산서구분(전자세금계산서, 종이세금계산서)</t>
    <phoneticPr fontId="3" type="noConversion"/>
  </si>
  <si>
    <t>계약절차</t>
    <phoneticPr fontId="3" type="noConversion"/>
  </si>
  <si>
    <t>CTT_PROC</t>
    <phoneticPr fontId="3" type="noConversion"/>
  </si>
  <si>
    <t>CONTRACT PROCESS</t>
    <phoneticPr fontId="3" type="noConversion"/>
  </si>
  <si>
    <t>계약절차(자체, 조달)</t>
    <phoneticPr fontId="3" type="noConversion"/>
  </si>
  <si>
    <t>용역구분</t>
    <phoneticPr fontId="3" type="noConversion"/>
  </si>
  <si>
    <t>SER_GB</t>
    <phoneticPr fontId="3" type="noConversion"/>
  </si>
  <si>
    <t>SAME PERIOD RATE GUBUN</t>
    <phoneticPr fontId="3" type="noConversion"/>
  </si>
  <si>
    <t>용역구분(연구용역, 전산용역, 일반용역)</t>
    <phoneticPr fontId="3" type="noConversion"/>
  </si>
  <si>
    <t>비수도권지역인제여부</t>
    <phoneticPr fontId="3" type="noConversion"/>
  </si>
  <si>
    <t>NRP_YN</t>
    <phoneticPr fontId="3" type="noConversion"/>
  </si>
  <si>
    <t xml:space="preserve">NONCAPITAL REGION PERSON YES NO </t>
    <phoneticPr fontId="3" type="noConversion"/>
  </si>
  <si>
    <t>비수도권지역인제 여부</t>
    <phoneticPr fontId="3" type="noConversion"/>
  </si>
  <si>
    <t>고졸여부</t>
    <phoneticPr fontId="3" type="noConversion"/>
  </si>
  <si>
    <t>HSD_YN</t>
    <phoneticPr fontId="3" type="noConversion"/>
  </si>
  <si>
    <t xml:space="preserve">HIGH SCHOOL DILPOMA YES NO </t>
    <phoneticPr fontId="3" type="noConversion"/>
  </si>
  <si>
    <t>보훈처인정여부</t>
    <phoneticPr fontId="3" type="noConversion"/>
  </si>
  <si>
    <t>MPINJUNG_YN</t>
    <phoneticPr fontId="3" type="noConversion"/>
  </si>
  <si>
    <t>MINISTRY PATRIOTS INJUNG YES NO</t>
    <phoneticPr fontId="3" type="noConversion"/>
  </si>
  <si>
    <t>투자부동산여부</t>
    <phoneticPr fontId="3" type="noConversion"/>
  </si>
  <si>
    <t>IVE_EST_YN</t>
    <phoneticPr fontId="3" type="noConversion"/>
  </si>
  <si>
    <t>INVEST ESTATE YN</t>
    <phoneticPr fontId="3" type="noConversion"/>
  </si>
  <si>
    <t>안분비율</t>
    <phoneticPr fontId="3" type="noConversion"/>
  </si>
  <si>
    <t>DIV_RAT</t>
    <phoneticPr fontId="3" type="noConversion"/>
  </si>
  <si>
    <t>DIVIDE PROPORTIONALLY RATIO</t>
    <phoneticPr fontId="3" type="noConversion"/>
  </si>
  <si>
    <t>공정가치</t>
    <phoneticPr fontId="3" type="noConversion"/>
  </si>
  <si>
    <t>FAIR_VAL</t>
    <phoneticPr fontId="3" type="noConversion"/>
  </si>
  <si>
    <t>FAIR VALUE</t>
    <phoneticPr fontId="3" type="noConversion"/>
  </si>
  <si>
    <t>매각예정여부</t>
    <phoneticPr fontId="3" type="noConversion"/>
  </si>
  <si>
    <t>SAL_SCH_YN</t>
    <phoneticPr fontId="3" type="noConversion"/>
  </si>
  <si>
    <t>SALE SCHEDULE YN</t>
    <phoneticPr fontId="3" type="noConversion"/>
  </si>
  <si>
    <t>분류일자</t>
    <phoneticPr fontId="3" type="noConversion"/>
  </si>
  <si>
    <t>CSS_DAT</t>
    <phoneticPr fontId="3" type="noConversion"/>
  </si>
  <si>
    <t>CLASS DATE</t>
    <phoneticPr fontId="3" type="noConversion"/>
  </si>
  <si>
    <t>매각예정일</t>
    <phoneticPr fontId="3" type="noConversion"/>
  </si>
  <si>
    <t>SAL_SCH_DAT</t>
    <phoneticPr fontId="3" type="noConversion"/>
  </si>
  <si>
    <t>SALE SCHEDULE DATE</t>
    <phoneticPr fontId="3" type="noConversion"/>
  </si>
  <si>
    <t>매각금액</t>
    <phoneticPr fontId="3" type="noConversion"/>
  </si>
  <si>
    <t>SAL_AMT</t>
    <phoneticPr fontId="3" type="noConversion"/>
  </si>
  <si>
    <t xml:space="preserve">SALE AMOUNT </t>
    <phoneticPr fontId="3" type="noConversion"/>
  </si>
  <si>
    <t>휴직상세</t>
    <phoneticPr fontId="3" type="noConversion"/>
  </si>
  <si>
    <t>SUSPE_DT</t>
    <phoneticPr fontId="3" type="noConversion"/>
  </si>
  <si>
    <t>SUSPEND DETAIL</t>
    <phoneticPr fontId="3" type="noConversion"/>
  </si>
  <si>
    <t>한자성명이미지</t>
    <phoneticPr fontId="3" type="noConversion"/>
  </si>
  <si>
    <t>CNM_PIC</t>
    <phoneticPr fontId="3" type="noConversion"/>
  </si>
  <si>
    <t>CHINESE NAME PICTURE</t>
    <phoneticPr fontId="3" type="noConversion"/>
  </si>
  <si>
    <t>수급자 성명</t>
    <phoneticPr fontId="3" type="noConversion"/>
  </si>
  <si>
    <t>RCV_NM</t>
    <phoneticPr fontId="3" type="noConversion"/>
  </si>
  <si>
    <t>RECEIVER NAME</t>
    <phoneticPr fontId="3" type="noConversion"/>
  </si>
  <si>
    <t>수급자 주민번호</t>
    <phoneticPr fontId="3" type="noConversion"/>
  </si>
  <si>
    <t>RCV_JUM_NO</t>
    <phoneticPr fontId="3" type="noConversion"/>
  </si>
  <si>
    <t xml:space="preserve">RECEIVER JUMIN NUMBER </t>
    <phoneticPr fontId="3" type="noConversion"/>
  </si>
  <si>
    <t>수급자 우편번호</t>
    <phoneticPr fontId="3" type="noConversion"/>
  </si>
  <si>
    <t>RCV_ZIP_NO</t>
    <phoneticPr fontId="3" type="noConversion"/>
  </si>
  <si>
    <t xml:space="preserve">RECEIVER ZIP CODE NUMBER </t>
    <phoneticPr fontId="3" type="noConversion"/>
  </si>
  <si>
    <t>수급자 주소(동이상)</t>
    <phoneticPr fontId="3" type="noConversion"/>
  </si>
  <si>
    <t>RCV_DCU_ADDR</t>
    <phoneticPr fontId="3" type="noConversion"/>
  </si>
  <si>
    <t xml:space="preserve">RECEIVER DONG CURRENT UPPER ADDRESS </t>
    <phoneticPr fontId="3" type="noConversion"/>
  </si>
  <si>
    <t>수급자 주소(동이하)</t>
    <phoneticPr fontId="3" type="noConversion"/>
  </si>
  <si>
    <t>RCV_DCD_ADDR</t>
    <phoneticPr fontId="3" type="noConversion"/>
  </si>
  <si>
    <t xml:space="preserve">RECEIVER DONG CURRENT DOWN ADDRESS </t>
    <phoneticPr fontId="3" type="noConversion"/>
  </si>
  <si>
    <t>세대주 성명</t>
    <phoneticPr fontId="3" type="noConversion"/>
  </si>
  <si>
    <t>HUD_NM</t>
    <phoneticPr fontId="3" type="noConversion"/>
  </si>
  <si>
    <t>HOUSEHOLDER NAME</t>
    <phoneticPr fontId="3" type="noConversion"/>
  </si>
  <si>
    <t>세대주성명(시설명)</t>
    <phoneticPr fontId="3" type="noConversion"/>
  </si>
  <si>
    <t>세대주 와의 관계명</t>
    <phoneticPr fontId="3" type="noConversion"/>
  </si>
  <si>
    <t>RCV_RLT_NM</t>
    <phoneticPr fontId="3" type="noConversion"/>
  </si>
  <si>
    <t xml:space="preserve">RECEIVER RELATION NAME </t>
    <phoneticPr fontId="3" type="noConversion"/>
  </si>
  <si>
    <t>세대주와의 관계명</t>
    <phoneticPr fontId="3" type="noConversion"/>
  </si>
  <si>
    <t>손상액</t>
    <phoneticPr fontId="3" type="noConversion"/>
  </si>
  <si>
    <t>DMG_AMT</t>
    <phoneticPr fontId="3" type="noConversion"/>
  </si>
  <si>
    <t>DAMAGE AMOUNT</t>
    <phoneticPr fontId="3" type="noConversion"/>
  </si>
  <si>
    <t>환입액</t>
    <phoneticPr fontId="3" type="noConversion"/>
  </si>
  <si>
    <t>RET_AMT</t>
    <phoneticPr fontId="3" type="noConversion"/>
  </si>
  <si>
    <t>RETURN AMT</t>
    <phoneticPr fontId="3" type="noConversion"/>
  </si>
  <si>
    <t>적립액</t>
    <phoneticPr fontId="3" type="noConversion"/>
  </si>
  <si>
    <t>SAV_MON</t>
    <phoneticPr fontId="3" type="noConversion"/>
  </si>
  <si>
    <t>SAVED MONE</t>
  </si>
  <si>
    <t>적립일</t>
    <phoneticPr fontId="3" type="noConversion"/>
  </si>
  <si>
    <t>SAV_MON_DAT</t>
    <phoneticPr fontId="3" type="noConversion"/>
  </si>
  <si>
    <t>SAVED MONEY DATE</t>
    <phoneticPr fontId="3" type="noConversion"/>
  </si>
  <si>
    <t>적립의무율</t>
    <phoneticPr fontId="3" type="noConversion"/>
  </si>
  <si>
    <t>SAV_OBL_RAT</t>
    <phoneticPr fontId="3" type="noConversion"/>
  </si>
  <si>
    <t>SAVED OBLIGATION RATE</t>
    <phoneticPr fontId="3" type="noConversion"/>
  </si>
  <si>
    <t>추계액 대비 적립비율</t>
    <phoneticPr fontId="3" type="noConversion"/>
  </si>
  <si>
    <t>EC_SAV_RAT</t>
    <phoneticPr fontId="3" type="noConversion"/>
  </si>
  <si>
    <t xml:space="preserve">ESTIMATE  CONTRAST SAVED RATE </t>
    <phoneticPr fontId="3" type="noConversion"/>
  </si>
  <si>
    <t>등록여부</t>
    <phoneticPr fontId="3" type="noConversion"/>
  </si>
  <si>
    <t>RGS_YN</t>
    <phoneticPr fontId="3" type="noConversion"/>
  </si>
  <si>
    <t>REGIST YES NO</t>
    <phoneticPr fontId="3" type="noConversion"/>
  </si>
  <si>
    <t>자산취득조서 대상직접등재 여부</t>
    <phoneticPr fontId="3" type="noConversion"/>
  </si>
  <si>
    <t>결재상태</t>
    <phoneticPr fontId="3" type="noConversion"/>
  </si>
  <si>
    <t>AVR_STS</t>
    <phoneticPr fontId="3" type="noConversion"/>
  </si>
  <si>
    <t>APPROVAL STATUS</t>
    <phoneticPr fontId="3" type="noConversion"/>
  </si>
  <si>
    <t>연수과정명</t>
    <phoneticPr fontId="3" type="noConversion"/>
  </si>
  <si>
    <t>TR_COU_NM</t>
    <phoneticPr fontId="3" type="noConversion"/>
  </si>
  <si>
    <t>TRAINING COURSE NAME</t>
    <phoneticPr fontId="3" type="noConversion"/>
  </si>
  <si>
    <t>연수과정</t>
    <phoneticPr fontId="3" type="noConversion"/>
  </si>
  <si>
    <t>TR_COU</t>
    <phoneticPr fontId="3" type="noConversion"/>
  </si>
  <si>
    <t>TRAINING COURSE</t>
    <phoneticPr fontId="3" type="noConversion"/>
  </si>
  <si>
    <t>연수인원</t>
    <phoneticPr fontId="3" type="noConversion"/>
  </si>
  <si>
    <t>TR_NMP</t>
    <phoneticPr fontId="3" type="noConversion"/>
  </si>
  <si>
    <t>TRAINING NUMBER OF PERSONS</t>
    <phoneticPr fontId="3" type="noConversion"/>
  </si>
  <si>
    <t>승인인원</t>
  </si>
  <si>
    <t>APP_NMP</t>
    <phoneticPr fontId="3" type="noConversion"/>
  </si>
  <si>
    <t>연수장소</t>
    <phoneticPr fontId="3" type="noConversion"/>
  </si>
  <si>
    <t>TR_PLS</t>
    <phoneticPr fontId="3" type="noConversion"/>
  </si>
  <si>
    <t>TRANINIG PLACE</t>
    <phoneticPr fontId="3" type="noConversion"/>
  </si>
  <si>
    <t>약정금액</t>
    <phoneticPr fontId="3" type="noConversion"/>
  </si>
  <si>
    <t>PRM_AMT</t>
    <phoneticPr fontId="3" type="noConversion"/>
  </si>
  <si>
    <t xml:space="preserve">PROMISE AMOUNT </t>
    <phoneticPr fontId="3" type="noConversion"/>
  </si>
  <si>
    <t>약정금액한글</t>
    <phoneticPr fontId="3" type="noConversion"/>
  </si>
  <si>
    <t>PRM_AMT_KOR</t>
    <phoneticPr fontId="3" type="noConversion"/>
  </si>
  <si>
    <t>PROMISE AMOUNT KOREA</t>
    <phoneticPr fontId="3" type="noConversion"/>
  </si>
  <si>
    <t>정부지원금</t>
    <phoneticPr fontId="3" type="noConversion"/>
  </si>
  <si>
    <t>GOV_AID_AMT</t>
  </si>
  <si>
    <t>GOVERNMENT AID AMOUNT</t>
    <phoneticPr fontId="3" type="noConversion"/>
  </si>
  <si>
    <t>정부지원금(1인당)</t>
    <phoneticPr fontId="3" type="noConversion"/>
  </si>
  <si>
    <t>개인부담금</t>
    <phoneticPr fontId="3" type="noConversion"/>
  </si>
  <si>
    <t>PER_BRD_AMT</t>
    <phoneticPr fontId="3" type="noConversion"/>
  </si>
  <si>
    <t>PERSON BURDEN AMOUNT</t>
    <phoneticPr fontId="3" type="noConversion"/>
  </si>
  <si>
    <t>지급보증금</t>
    <phoneticPr fontId="3" type="noConversion"/>
  </si>
  <si>
    <t>PMTGRN_AMT</t>
    <phoneticPr fontId="3" type="noConversion"/>
  </si>
  <si>
    <t xml:space="preserve">PAYMENT GURRANTEE AMOUNT </t>
    <phoneticPr fontId="3" type="noConversion"/>
  </si>
  <si>
    <t>연수기간(FROM)</t>
    <phoneticPr fontId="3" type="noConversion"/>
  </si>
  <si>
    <t>TR_FRDAT</t>
    <phoneticPr fontId="3" type="noConversion"/>
  </si>
  <si>
    <t xml:space="preserve">TRAINING FROM DATE </t>
    <phoneticPr fontId="3" type="noConversion"/>
  </si>
  <si>
    <t>연수기간(TO)</t>
    <phoneticPr fontId="3" type="noConversion"/>
  </si>
  <si>
    <t>TR_TODAT</t>
    <phoneticPr fontId="3" type="noConversion"/>
  </si>
  <si>
    <t xml:space="preserve">TRAINING TO DATE </t>
    <phoneticPr fontId="3" type="noConversion"/>
  </si>
  <si>
    <t>서류제출기한(FROM)</t>
    <phoneticPr fontId="3" type="noConversion"/>
  </si>
  <si>
    <t>DOC_SBM_FRDAT</t>
    <phoneticPr fontId="3" type="noConversion"/>
  </si>
  <si>
    <t>DOCUMENT SUBMIT FROM DATE</t>
    <phoneticPr fontId="3" type="noConversion"/>
  </si>
  <si>
    <t>서류제출기한(TO)</t>
    <phoneticPr fontId="3" type="noConversion"/>
  </si>
  <si>
    <t>DOC_SBM_TODAT</t>
    <phoneticPr fontId="3" type="noConversion"/>
  </si>
  <si>
    <t>DOCUMENT SUBMIT TO DATE</t>
    <phoneticPr fontId="3" type="noConversion"/>
  </si>
  <si>
    <t>약정기간(FROM)</t>
    <phoneticPr fontId="3" type="noConversion"/>
  </si>
  <si>
    <t>PRM_FRDAT</t>
    <phoneticPr fontId="3" type="noConversion"/>
  </si>
  <si>
    <t>PROMISE FROM DATE</t>
    <phoneticPr fontId="3" type="noConversion"/>
  </si>
  <si>
    <t>약정기간(TO)</t>
    <phoneticPr fontId="3" type="noConversion"/>
  </si>
  <si>
    <t>PRM_TODAT</t>
    <phoneticPr fontId="3" type="noConversion"/>
  </si>
  <si>
    <t>PROMISE TO DATE</t>
    <phoneticPr fontId="3" type="noConversion"/>
  </si>
  <si>
    <t>약정일자</t>
    <phoneticPr fontId="3" type="noConversion"/>
  </si>
  <si>
    <t>PRM_DAT</t>
    <phoneticPr fontId="3" type="noConversion"/>
  </si>
  <si>
    <t xml:space="preserve">PROMISE DATE </t>
    <phoneticPr fontId="3" type="noConversion"/>
  </si>
  <si>
    <t>약정집행금액</t>
    <phoneticPr fontId="3" type="noConversion"/>
  </si>
  <si>
    <t>PRMEFR_AMT</t>
    <phoneticPr fontId="3" type="noConversion"/>
  </si>
  <si>
    <t xml:space="preserve">PROMISE ENFORCEMENT AMOUNT </t>
    <phoneticPr fontId="3" type="noConversion"/>
  </si>
  <si>
    <t>붙임순번</t>
    <phoneticPr fontId="3" type="noConversion"/>
  </si>
  <si>
    <t>ATCH_SQN</t>
    <phoneticPr fontId="3" type="noConversion"/>
  </si>
  <si>
    <t>ATTACH SEQUENCE</t>
    <phoneticPr fontId="3" type="noConversion"/>
  </si>
  <si>
    <t>붙임서류명</t>
    <phoneticPr fontId="3" type="noConversion"/>
  </si>
  <si>
    <t>ATCH_DOC_NM</t>
    <phoneticPr fontId="3" type="noConversion"/>
  </si>
  <si>
    <t>ATTACH DOCUMENT NAME</t>
    <phoneticPr fontId="3" type="noConversion"/>
  </si>
  <si>
    <t>기초적립액</t>
    <phoneticPr fontId="3" type="noConversion"/>
  </si>
  <si>
    <t>BAS_SAV_MON</t>
    <phoneticPr fontId="3" type="noConversion"/>
  </si>
  <si>
    <t>BASIC SAVED MONE</t>
    <phoneticPr fontId="3" type="noConversion"/>
  </si>
  <si>
    <t>납입부담금</t>
    <phoneticPr fontId="3" type="noConversion"/>
  </si>
  <si>
    <t>DLI_BDN_AMT</t>
    <phoneticPr fontId="3" type="noConversion"/>
  </si>
  <si>
    <t>DELIVERY BURDEN AMOUNT</t>
    <phoneticPr fontId="3" type="noConversion"/>
  </si>
  <si>
    <t>운용수익</t>
    <phoneticPr fontId="3" type="noConversion"/>
  </si>
  <si>
    <t>ORT_PRF</t>
    <phoneticPr fontId="3" type="noConversion"/>
  </si>
  <si>
    <t>OPERATING PROFIT</t>
  </si>
  <si>
    <t>기말적립금</t>
    <phoneticPr fontId="3" type="noConversion"/>
  </si>
  <si>
    <t>EOF_SAV_MON</t>
    <phoneticPr fontId="3" type="noConversion"/>
  </si>
  <si>
    <t>END OF TERM SAVED MONE</t>
    <phoneticPr fontId="3" type="noConversion"/>
  </si>
  <si>
    <t>기본부담금</t>
    <phoneticPr fontId="3" type="noConversion"/>
  </si>
  <si>
    <t>BAS_ALT</t>
    <phoneticPr fontId="3" type="noConversion"/>
  </si>
  <si>
    <t xml:space="preserve">BASIS ALLOTMENT </t>
    <phoneticPr fontId="3" type="noConversion"/>
  </si>
  <si>
    <t>연간임금총액</t>
    <phoneticPr fontId="3" type="noConversion"/>
  </si>
  <si>
    <t>YEAR_PAMTOT_AMT</t>
    <phoneticPr fontId="3" type="noConversion"/>
  </si>
  <si>
    <t xml:space="preserve">YEAR PAYMENT TOTAL AMOUNT </t>
    <phoneticPr fontId="3" type="noConversion"/>
  </si>
  <si>
    <t>유예기간(FROM)</t>
    <phoneticPr fontId="3" type="noConversion"/>
  </si>
  <si>
    <t>DLY_FRTRM</t>
    <phoneticPr fontId="3" type="noConversion"/>
  </si>
  <si>
    <t xml:space="preserve">DELAY FROM TERM </t>
    <phoneticPr fontId="3" type="noConversion"/>
  </si>
  <si>
    <t>유예기간(TO)</t>
    <phoneticPr fontId="3" type="noConversion"/>
  </si>
  <si>
    <t>DLY_TOTRM</t>
    <phoneticPr fontId="3" type="noConversion"/>
  </si>
  <si>
    <t xml:space="preserve">DELAY TO TERM </t>
    <phoneticPr fontId="3" type="noConversion"/>
  </si>
  <si>
    <t>센터입출금일자</t>
    <phoneticPr fontId="3" type="noConversion"/>
  </si>
  <si>
    <t>CET_DNW_DAT</t>
    <phoneticPr fontId="3" type="noConversion"/>
  </si>
  <si>
    <t>CENTER DEPOSIT AND WITHDRAWAL DATE</t>
    <phoneticPr fontId="3" type="noConversion"/>
  </si>
  <si>
    <t>EPS센터입출금일자</t>
    <phoneticPr fontId="3" type="noConversion"/>
  </si>
  <si>
    <t>센터입출금순번</t>
    <phoneticPr fontId="3" type="noConversion"/>
  </si>
  <si>
    <t>CET_DNW_SQN</t>
    <phoneticPr fontId="3" type="noConversion"/>
  </si>
  <si>
    <t>CENTER DEPOSIT AND WITHDRAWAL SEQUENCE</t>
    <phoneticPr fontId="3" type="noConversion"/>
  </si>
  <si>
    <t>EPS센터입출금순번</t>
    <phoneticPr fontId="3" type="noConversion"/>
  </si>
  <si>
    <t>센터입출금구분</t>
    <phoneticPr fontId="3" type="noConversion"/>
  </si>
  <si>
    <t>CET_DNW_GB</t>
    <phoneticPr fontId="3" type="noConversion"/>
  </si>
  <si>
    <t>CENTER DEPOSIT AND WITHDRAWAL GUBUN</t>
    <phoneticPr fontId="3" type="noConversion"/>
  </si>
  <si>
    <t>EPS센터입출금구분</t>
    <phoneticPr fontId="3" type="noConversion"/>
  </si>
  <si>
    <t>달러금액</t>
    <phoneticPr fontId="3" type="noConversion"/>
  </si>
  <si>
    <t>DOL_AMT</t>
    <phoneticPr fontId="3" type="noConversion"/>
  </si>
  <si>
    <t>DOLLER AMOUNT</t>
    <phoneticPr fontId="3" type="noConversion"/>
  </si>
  <si>
    <t>현지금액</t>
    <phoneticPr fontId="3" type="noConversion"/>
  </si>
  <si>
    <t>LCA_AMT</t>
    <phoneticPr fontId="3" type="noConversion"/>
  </si>
  <si>
    <t>LOCAL AREA AMOUNT</t>
    <phoneticPr fontId="3" type="noConversion"/>
  </si>
  <si>
    <t>원화금액</t>
    <phoneticPr fontId="3" type="noConversion"/>
  </si>
  <si>
    <t>WON_AMT</t>
    <phoneticPr fontId="3" type="noConversion"/>
  </si>
  <si>
    <t>WON AMOUNT</t>
    <phoneticPr fontId="3" type="noConversion"/>
  </si>
  <si>
    <t>입출금적요</t>
    <phoneticPr fontId="3" type="noConversion"/>
  </si>
  <si>
    <t>DNW_TXT</t>
    <phoneticPr fontId="3" type="noConversion"/>
  </si>
  <si>
    <t>DEPOSIT AND WITHDRAWAL FOR TEXT</t>
    <phoneticPr fontId="3" type="noConversion"/>
  </si>
  <si>
    <t>영수처</t>
    <phoneticPr fontId="3" type="noConversion"/>
  </si>
  <si>
    <t>RCP_PLC</t>
    <phoneticPr fontId="3" type="noConversion"/>
  </si>
  <si>
    <t>RECEPT PLACE</t>
    <phoneticPr fontId="3" type="noConversion"/>
  </si>
  <si>
    <t>달러잔액</t>
    <phoneticPr fontId="3" type="noConversion"/>
  </si>
  <si>
    <t>DOL_JAN</t>
    <phoneticPr fontId="3" type="noConversion"/>
  </si>
  <si>
    <t>DOLLER JANAEK AMOUNT</t>
    <phoneticPr fontId="3" type="noConversion"/>
  </si>
  <si>
    <t>현지잔액</t>
    <phoneticPr fontId="3" type="noConversion"/>
  </si>
  <si>
    <t>LCA_JAN</t>
    <phoneticPr fontId="3" type="noConversion"/>
  </si>
  <si>
    <t>LOCAL AREA JANAEK AMOUNT</t>
    <phoneticPr fontId="3" type="noConversion"/>
  </si>
  <si>
    <t>달러평가금액</t>
    <phoneticPr fontId="3" type="noConversion"/>
  </si>
  <si>
    <t>DOL_EVL_JAN</t>
    <phoneticPr fontId="3" type="noConversion"/>
  </si>
  <si>
    <t>DOLLER EVALUATION JANAEK AMOUNT</t>
    <phoneticPr fontId="3" type="noConversion"/>
  </si>
  <si>
    <t>원화잔액</t>
    <phoneticPr fontId="3" type="noConversion"/>
  </si>
  <si>
    <t>WON_JAN</t>
    <phoneticPr fontId="3" type="noConversion"/>
  </si>
  <si>
    <t>WON JANAEK AMOUNT</t>
    <phoneticPr fontId="3" type="noConversion"/>
  </si>
  <si>
    <t>달러환율</t>
    <phoneticPr fontId="3" type="noConversion"/>
  </si>
  <si>
    <t>DOL_XRT</t>
    <phoneticPr fontId="3" type="noConversion"/>
  </si>
  <si>
    <t>DOLLER EXCHANGE RATE</t>
    <phoneticPr fontId="3" type="noConversion"/>
  </si>
  <si>
    <t>이동평균환율</t>
    <phoneticPr fontId="3" type="noConversion"/>
  </si>
  <si>
    <t>MOV_AVG_XRT</t>
    <phoneticPr fontId="3" type="noConversion"/>
  </si>
  <si>
    <t>MOVEMENT AVERAGE EXCHANGE RATE</t>
    <phoneticPr fontId="3" type="noConversion"/>
  </si>
  <si>
    <t>이동평균구분</t>
    <phoneticPr fontId="3" type="noConversion"/>
  </si>
  <si>
    <t>MOV_AVG_GB</t>
    <phoneticPr fontId="3" type="noConversion"/>
  </si>
  <si>
    <t>MOVEMENT AVERAGE GUBUN</t>
    <phoneticPr fontId="3" type="noConversion"/>
  </si>
  <si>
    <t>경영평가 지급율</t>
    <phoneticPr fontId="3" type="noConversion"/>
  </si>
  <si>
    <t>ELR_PMT_RAT</t>
    <phoneticPr fontId="3" type="noConversion"/>
  </si>
  <si>
    <t>EVALUATION RESULT PAYMENT RATE</t>
    <phoneticPr fontId="3" type="noConversion"/>
  </si>
  <si>
    <t>특별성과 지급율</t>
    <phoneticPr fontId="3" type="noConversion"/>
  </si>
  <si>
    <t>SCR_PMT_RAT</t>
    <phoneticPr fontId="3" type="noConversion"/>
  </si>
  <si>
    <t>SPECIAL RESULT PAYMENT RATE</t>
    <phoneticPr fontId="3" type="noConversion"/>
  </si>
  <si>
    <t>자체성과 지급율</t>
    <phoneticPr fontId="3" type="noConversion"/>
  </si>
  <si>
    <t>ITR_PMT_RAT</t>
    <phoneticPr fontId="3" type="noConversion"/>
  </si>
  <si>
    <t>ITSELF  RESULT PAYMENT RATE</t>
    <phoneticPr fontId="3" type="noConversion"/>
  </si>
  <si>
    <t>입출금부서</t>
    <phoneticPr fontId="3" type="noConversion"/>
  </si>
  <si>
    <t>DNW_DEPT_CD</t>
    <phoneticPr fontId="3" type="noConversion"/>
  </si>
  <si>
    <t>DEPOSIT AND WITHDRAWAL DEPARTMENT CODE</t>
    <phoneticPr fontId="3" type="noConversion"/>
  </si>
  <si>
    <t>EPS센터 입출금부서</t>
    <phoneticPr fontId="3" type="noConversion"/>
  </si>
  <si>
    <t>경영평가 성과급</t>
    <phoneticPr fontId="3" type="noConversion"/>
  </si>
  <si>
    <t>ELR_PMT</t>
    <phoneticPr fontId="3" type="noConversion"/>
  </si>
  <si>
    <t xml:space="preserve">EVALUATION RESULT PAYMENT </t>
    <phoneticPr fontId="3" type="noConversion"/>
  </si>
  <si>
    <t>특별성과 성과급</t>
    <phoneticPr fontId="3" type="noConversion"/>
  </si>
  <si>
    <t>SCR_PMT</t>
    <phoneticPr fontId="3" type="noConversion"/>
  </si>
  <si>
    <t>SPECIAL RESULT PAYMENT</t>
    <phoneticPr fontId="3" type="noConversion"/>
  </si>
  <si>
    <t>자체성과 성과급</t>
    <phoneticPr fontId="3" type="noConversion"/>
  </si>
  <si>
    <t>ITR_PMT</t>
    <phoneticPr fontId="3" type="noConversion"/>
  </si>
  <si>
    <t>ITSELF  RESULT PAYMENT</t>
    <phoneticPr fontId="3" type="noConversion"/>
  </si>
  <si>
    <t>기관지급률</t>
  </si>
  <si>
    <t>OCD_PMT_RAT</t>
    <phoneticPr fontId="3" type="noConversion"/>
  </si>
  <si>
    <t>관리기관</t>
    <phoneticPr fontId="3" type="noConversion"/>
  </si>
  <si>
    <t>기산일</t>
    <phoneticPr fontId="3" type="noConversion"/>
  </si>
  <si>
    <t>RKI_DAT</t>
    <phoneticPr fontId="3" type="noConversion"/>
  </si>
  <si>
    <t>DATE IN RECKONING</t>
    <phoneticPr fontId="3" type="noConversion"/>
  </si>
  <si>
    <t>퇴직소득정률공제금액</t>
    <phoneticPr fontId="3" type="noConversion"/>
  </si>
  <si>
    <t>RETSFR_RMV_AMT</t>
    <phoneticPr fontId="3" type="noConversion"/>
  </si>
  <si>
    <t xml:space="preserve">RETIREMENT EARN TAX STANDARD A FIXED RATE  REMOVE AMOUNT </t>
    <phoneticPr fontId="3" type="noConversion"/>
  </si>
  <si>
    <t>근속연수공제</t>
    <phoneticPr fontId="3" type="noConversion"/>
  </si>
  <si>
    <t>WRK_NYS_DET</t>
    <phoneticPr fontId="3" type="noConversion"/>
  </si>
  <si>
    <t>WORK NUMBER OF YEAR SERVICE DEDUCTION</t>
    <phoneticPr fontId="3" type="noConversion"/>
  </si>
  <si>
    <t>이전과세표준안분</t>
    <phoneticPr fontId="3" type="noConversion"/>
  </si>
  <si>
    <t>BEFATM_TAX_BAS</t>
    <phoneticPr fontId="3" type="noConversion"/>
  </si>
  <si>
    <t xml:space="preserve">BEFOR APPORTIONMENT OF TAX BASE </t>
    <phoneticPr fontId="3" type="noConversion"/>
  </si>
  <si>
    <t>이전연평균과세표준</t>
    <phoneticPr fontId="3" type="noConversion"/>
  </si>
  <si>
    <t>BEFANN_AVE_TST</t>
    <phoneticPr fontId="3" type="noConversion"/>
  </si>
  <si>
    <t xml:space="preserve">BEFOR ANNUAL AVERAGE  TAX STANDARD </t>
    <phoneticPr fontId="3" type="noConversion"/>
  </si>
  <si>
    <t>이전환산과세표준</t>
    <phoneticPr fontId="3" type="noConversion"/>
  </si>
  <si>
    <t>BEFEXC_TAX_STD</t>
    <phoneticPr fontId="3" type="noConversion"/>
  </si>
  <si>
    <t xml:space="preserve">BEFOR EXCHANGE  TAX STANDARD   </t>
    <phoneticPr fontId="3" type="noConversion"/>
  </si>
  <si>
    <t>이전환산산출세액</t>
    <phoneticPr fontId="3" type="noConversion"/>
  </si>
  <si>
    <t>BEFEXC_OTX</t>
    <phoneticPr fontId="3" type="noConversion"/>
  </si>
  <si>
    <t xml:space="preserve">BEFOR EXCHANGE OUT TAX </t>
    <phoneticPr fontId="3" type="noConversion"/>
  </si>
  <si>
    <t>이전연평균산출세액</t>
    <phoneticPr fontId="3" type="noConversion"/>
  </si>
  <si>
    <t>BEFANN_AVE_OTX</t>
    <phoneticPr fontId="3" type="noConversion"/>
  </si>
  <si>
    <t xml:space="preserve">BEFOR ANNUAL AVERAGE OUT TAX </t>
    <phoneticPr fontId="3" type="noConversion"/>
  </si>
  <si>
    <t>이전산출세액</t>
    <phoneticPr fontId="3" type="noConversion"/>
  </si>
  <si>
    <t>BEFOUT_TAX</t>
    <phoneticPr fontId="3" type="noConversion"/>
  </si>
  <si>
    <t xml:space="preserve">BEFOR OUT TAX </t>
    <phoneticPr fontId="3" type="noConversion"/>
  </si>
  <si>
    <t>이전기납부세액</t>
    <phoneticPr fontId="3" type="noConversion"/>
  </si>
  <si>
    <t>BEFWHT_TAX</t>
    <phoneticPr fontId="3" type="noConversion"/>
  </si>
  <si>
    <t>BEFOR WITHOLDING TAX</t>
    <phoneticPr fontId="3" type="noConversion"/>
  </si>
  <si>
    <t>이전신고대상세액</t>
    <phoneticPr fontId="3" type="noConversion"/>
  </si>
  <si>
    <t>BEFSUB_RPT_TAX</t>
    <phoneticPr fontId="3" type="noConversion"/>
  </si>
  <si>
    <t>BEFOR SUBJECT TO REPORT  TAX</t>
    <phoneticPr fontId="3" type="noConversion"/>
  </si>
  <si>
    <t>이후과세표준안분</t>
    <phoneticPr fontId="3" type="noConversion"/>
  </si>
  <si>
    <t>AFTATM_TAX_BAS</t>
    <phoneticPr fontId="3" type="noConversion"/>
  </si>
  <si>
    <t xml:space="preserve">AFTER APPORTIONMENT OF TAX BASE </t>
    <phoneticPr fontId="3" type="noConversion"/>
  </si>
  <si>
    <t>이후연평균과세표준</t>
    <phoneticPr fontId="3" type="noConversion"/>
  </si>
  <si>
    <t>AFTANN_AVE_TST</t>
    <phoneticPr fontId="3" type="noConversion"/>
  </si>
  <si>
    <t xml:space="preserve">AFTER ANNUAL AVERAGE  TAX STANDARD </t>
    <phoneticPr fontId="3" type="noConversion"/>
  </si>
  <si>
    <t>이후환산과세표준</t>
    <phoneticPr fontId="3" type="noConversion"/>
  </si>
  <si>
    <t>AFTEXC_TAX_STD</t>
    <phoneticPr fontId="3" type="noConversion"/>
  </si>
  <si>
    <t xml:space="preserve">AFTER EXCHANGE  TAX STANDARD   </t>
    <phoneticPr fontId="3" type="noConversion"/>
  </si>
  <si>
    <t>이후환산산출세액</t>
    <phoneticPr fontId="3" type="noConversion"/>
  </si>
  <si>
    <t>AFTEXC_OTX</t>
    <phoneticPr fontId="3" type="noConversion"/>
  </si>
  <si>
    <t xml:space="preserve">AFTER EXCHANGE OUT TAX </t>
    <phoneticPr fontId="3" type="noConversion"/>
  </si>
  <si>
    <t>이후연평균산출세액</t>
    <phoneticPr fontId="3" type="noConversion"/>
  </si>
  <si>
    <t>AFTANN_AVE_OTX</t>
    <phoneticPr fontId="3" type="noConversion"/>
  </si>
  <si>
    <t xml:space="preserve">AFTER ANNUAL AVERAGE OUT TAX </t>
    <phoneticPr fontId="3" type="noConversion"/>
  </si>
  <si>
    <t>이후산출세액</t>
    <phoneticPr fontId="3" type="noConversion"/>
  </si>
  <si>
    <t>AFTOUT_TAX</t>
    <phoneticPr fontId="3" type="noConversion"/>
  </si>
  <si>
    <t xml:space="preserve">AFTER OUT TAX </t>
    <phoneticPr fontId="3" type="noConversion"/>
  </si>
  <si>
    <t>이후기납부세액</t>
    <phoneticPr fontId="3" type="noConversion"/>
  </si>
  <si>
    <t>AFTWHT_TAX</t>
    <phoneticPr fontId="3" type="noConversion"/>
  </si>
  <si>
    <t>AFTER WITHOLDING TAX</t>
    <phoneticPr fontId="3" type="noConversion"/>
  </si>
  <si>
    <t>이후신고대상세액</t>
    <phoneticPr fontId="3" type="noConversion"/>
  </si>
  <si>
    <t>AFTSUB_RPT_TAX</t>
    <phoneticPr fontId="3" type="noConversion"/>
  </si>
  <si>
    <t>AFTER SUBJECT TO REPORT  TAX</t>
    <phoneticPr fontId="3" type="noConversion"/>
  </si>
  <si>
    <t>연금계좌취급자</t>
    <phoneticPr fontId="3" type="noConversion"/>
  </si>
  <si>
    <t>PSA_PEC</t>
    <phoneticPr fontId="3" type="noConversion"/>
  </si>
  <si>
    <t>PENSION ACCOUNT PERSON IN CHARGE</t>
    <phoneticPr fontId="3" type="noConversion"/>
  </si>
  <si>
    <t>연금계좌취급자</t>
  </si>
  <si>
    <t>연금계좌번호</t>
    <phoneticPr fontId="3" type="noConversion"/>
  </si>
  <si>
    <t>PES_GEJ_NO</t>
    <phoneticPr fontId="3" type="noConversion"/>
  </si>
  <si>
    <t xml:space="preserve">PENSION GEJWA NUMBER </t>
    <phoneticPr fontId="3" type="noConversion"/>
  </si>
  <si>
    <t>모니터링년도</t>
    <phoneticPr fontId="3" type="noConversion"/>
  </si>
  <si>
    <t>MON_YY</t>
    <phoneticPr fontId="3" type="noConversion"/>
  </si>
  <si>
    <t>MONITORING YEAR</t>
    <phoneticPr fontId="3" type="noConversion"/>
  </si>
  <si>
    <t>모니터링구분</t>
    <phoneticPr fontId="3" type="noConversion"/>
  </si>
  <si>
    <t>MON_GB</t>
    <phoneticPr fontId="3" type="noConversion"/>
  </si>
  <si>
    <t>MONITORING GUBUN</t>
    <phoneticPr fontId="3" type="noConversion"/>
  </si>
  <si>
    <t>국가직무능력표준코드</t>
    <phoneticPr fontId="3" type="noConversion"/>
  </si>
  <si>
    <t>NCS_CD</t>
    <phoneticPr fontId="3" type="noConversion"/>
  </si>
  <si>
    <t>NATIONAL COMPETENCY STANDARDS CODE</t>
    <phoneticPr fontId="3" type="noConversion"/>
  </si>
  <si>
    <t>선정상태</t>
    <phoneticPr fontId="3" type="noConversion"/>
  </si>
  <si>
    <t>SEL_STS</t>
    <phoneticPr fontId="3" type="noConversion"/>
  </si>
  <si>
    <t>SELL STATUS</t>
    <phoneticPr fontId="3" type="noConversion"/>
  </si>
  <si>
    <t>착수상태</t>
    <phoneticPr fontId="3" type="noConversion"/>
  </si>
  <si>
    <t>STW_STS</t>
    <phoneticPr fontId="3" type="noConversion"/>
  </si>
  <si>
    <t>START WORK STATUS</t>
    <phoneticPr fontId="3" type="noConversion"/>
  </si>
  <si>
    <t>중간보고상태</t>
    <phoneticPr fontId="3" type="noConversion"/>
  </si>
  <si>
    <t>IME_RPT_STS</t>
    <phoneticPr fontId="3" type="noConversion"/>
  </si>
  <si>
    <t>INTERMEDIATE REDUCE POINT STATE</t>
    <phoneticPr fontId="3" type="noConversion"/>
  </si>
  <si>
    <t>최종보고상태</t>
    <phoneticPr fontId="3" type="noConversion"/>
  </si>
  <si>
    <t>LST_RPT_STS</t>
    <phoneticPr fontId="3" type="noConversion"/>
  </si>
  <si>
    <t>LAST REDUCE POINT STATE</t>
    <phoneticPr fontId="3" type="noConversion"/>
  </si>
  <si>
    <t>개발완료상태</t>
    <phoneticPr fontId="3" type="noConversion"/>
  </si>
  <si>
    <t>DVL_CLT_STS</t>
    <phoneticPr fontId="3" type="noConversion"/>
  </si>
  <si>
    <t>DEVELOPMENT COMPLETION STATE</t>
    <phoneticPr fontId="3" type="noConversion"/>
  </si>
  <si>
    <t>총합계</t>
    <phoneticPr fontId="3" type="noConversion"/>
  </si>
  <si>
    <t>TOTAL</t>
    <phoneticPr fontId="3" type="noConversion"/>
  </si>
  <si>
    <t>값1</t>
    <phoneticPr fontId="3" type="noConversion"/>
  </si>
  <si>
    <t>VAL1</t>
    <phoneticPr fontId="3" type="noConversion"/>
  </si>
  <si>
    <t>VALUE 1</t>
    <phoneticPr fontId="3" type="noConversion"/>
  </si>
  <si>
    <t>값2</t>
    <phoneticPr fontId="3" type="noConversion"/>
  </si>
  <si>
    <t>VAL2</t>
    <phoneticPr fontId="3" type="noConversion"/>
  </si>
  <si>
    <t>VALUE 2</t>
    <phoneticPr fontId="3" type="noConversion"/>
  </si>
  <si>
    <t>값3</t>
    <phoneticPr fontId="3" type="noConversion"/>
  </si>
  <si>
    <t>VAL3</t>
    <phoneticPr fontId="3" type="noConversion"/>
  </si>
  <si>
    <t>VALUE 3</t>
    <phoneticPr fontId="3" type="noConversion"/>
  </si>
  <si>
    <t>값4</t>
    <phoneticPr fontId="3" type="noConversion"/>
  </si>
  <si>
    <t>VAL4</t>
    <phoneticPr fontId="3" type="noConversion"/>
  </si>
  <si>
    <t>VALUE 4</t>
    <phoneticPr fontId="3" type="noConversion"/>
  </si>
  <si>
    <t>값5</t>
    <phoneticPr fontId="3" type="noConversion"/>
  </si>
  <si>
    <t>VAL5</t>
    <phoneticPr fontId="3" type="noConversion"/>
  </si>
  <si>
    <t>VALUE 5</t>
    <phoneticPr fontId="3" type="noConversion"/>
  </si>
  <si>
    <t>근무상태</t>
    <phoneticPr fontId="3" type="noConversion"/>
  </si>
  <si>
    <t>WRK_STS</t>
    <phoneticPr fontId="3" type="noConversion"/>
  </si>
  <si>
    <t>WORK STATUS</t>
    <phoneticPr fontId="3" type="noConversion"/>
  </si>
  <si>
    <t>지급율지급종류</t>
    <phoneticPr fontId="3" type="noConversion"/>
  </si>
  <si>
    <t>PMT_RAT_KND</t>
    <phoneticPr fontId="3" type="noConversion"/>
  </si>
  <si>
    <t>PAYMENT RATE KIND</t>
    <phoneticPr fontId="3" type="noConversion"/>
  </si>
  <si>
    <t>모니터링설정구분</t>
    <phoneticPr fontId="3" type="noConversion"/>
  </si>
  <si>
    <t>MON_ESR_GB</t>
    <phoneticPr fontId="3" type="noConversion"/>
  </si>
  <si>
    <t>MONITORING ESTABLISHMENT GUBUN</t>
    <phoneticPr fontId="3" type="noConversion"/>
  </si>
  <si>
    <t>모니터링설정시간</t>
    <phoneticPr fontId="3" type="noConversion"/>
  </si>
  <si>
    <t>MON_ESR_TIM</t>
    <phoneticPr fontId="3" type="noConversion"/>
  </si>
  <si>
    <t>MONITORING ESTABLISHMENT TIME</t>
    <phoneticPr fontId="3" type="noConversion"/>
  </si>
  <si>
    <t>체크상태</t>
    <phoneticPr fontId="3" type="noConversion"/>
  </si>
  <si>
    <t>CHK_STS</t>
    <phoneticPr fontId="3" type="noConversion"/>
  </si>
  <si>
    <t>CHECK STATUS</t>
    <phoneticPr fontId="3" type="noConversion"/>
  </si>
  <si>
    <t>사업소득총지급액</t>
    <phoneticPr fontId="3" type="noConversion"/>
  </si>
  <si>
    <t>SAUP_TOT_AMT</t>
    <phoneticPr fontId="3" type="noConversion"/>
  </si>
  <si>
    <t>SAUP TOTAL AMOUNT</t>
    <phoneticPr fontId="3" type="noConversion"/>
  </si>
  <si>
    <t>북한이탈자주민여부</t>
    <phoneticPr fontId="3" type="noConversion"/>
  </si>
  <si>
    <t>NKD_ASD_YN</t>
    <phoneticPr fontId="3" type="noConversion"/>
  </si>
  <si>
    <t xml:space="preserve">NORTH KOREA DEMOCRATIC A SECEDER YES NO </t>
    <phoneticPr fontId="3" type="noConversion"/>
  </si>
  <si>
    <t>가족수당제외일자</t>
    <phoneticPr fontId="3" type="noConversion"/>
  </si>
  <si>
    <t>FML_YN_DAT</t>
    <phoneticPr fontId="3" type="noConversion"/>
  </si>
  <si>
    <t>FAMILY YES NO DATE</t>
    <phoneticPr fontId="3" type="noConversion"/>
  </si>
  <si>
    <t>라인색깔</t>
    <phoneticPr fontId="3" type="noConversion"/>
  </si>
  <si>
    <t>LIN_COR</t>
    <phoneticPr fontId="3" type="noConversion"/>
  </si>
  <si>
    <t>LINE COLOR</t>
    <phoneticPr fontId="3" type="noConversion"/>
  </si>
  <si>
    <t>고용구분</t>
    <phoneticPr fontId="3" type="noConversion"/>
  </si>
  <si>
    <t>EGB</t>
    <phoneticPr fontId="3" type="noConversion"/>
  </si>
  <si>
    <t>EMPLOYEE GUBUN</t>
    <phoneticPr fontId="3" type="noConversion"/>
  </si>
  <si>
    <t>모니터링실적구분</t>
    <phoneticPr fontId="3" type="noConversion"/>
  </si>
  <si>
    <t>MON_ACV_GB</t>
    <phoneticPr fontId="3" type="noConversion"/>
  </si>
  <si>
    <t>MONITORING ACHIEVEMENT GUBUN</t>
    <phoneticPr fontId="3" type="noConversion"/>
  </si>
  <si>
    <t>임용년도</t>
    <phoneticPr fontId="3" type="noConversion"/>
  </si>
  <si>
    <t>EMP_YY</t>
    <phoneticPr fontId="3" type="noConversion"/>
  </si>
  <si>
    <t>EMPLOYEE YEAR</t>
    <phoneticPr fontId="3" type="noConversion"/>
  </si>
  <si>
    <t>영문 소속</t>
    <phoneticPr fontId="3" type="noConversion"/>
  </si>
  <si>
    <t>ESOSOK</t>
    <phoneticPr fontId="3" type="noConversion"/>
  </si>
  <si>
    <t>ENGLISH SOSOK</t>
    <phoneticPr fontId="3" type="noConversion"/>
  </si>
  <si>
    <t>영문 직급명</t>
    <phoneticPr fontId="3" type="noConversion"/>
  </si>
  <si>
    <t>EGRD_NM</t>
    <phoneticPr fontId="3" type="noConversion"/>
  </si>
  <si>
    <t xml:space="preserve">ENGLISH GRADE NAME </t>
    <phoneticPr fontId="3" type="noConversion"/>
  </si>
  <si>
    <t>EDCD_ADDR</t>
    <phoneticPr fontId="3" type="noConversion"/>
  </si>
  <si>
    <t xml:space="preserve">ENGLISH DONG CURRENT DOWN ADDRESS </t>
    <phoneticPr fontId="3" type="noConversion"/>
  </si>
  <si>
    <t>영문 주소(동이하)</t>
    <phoneticPr fontId="3" type="noConversion"/>
  </si>
  <si>
    <t>EDCU_ADDR</t>
    <phoneticPr fontId="3" type="noConversion"/>
  </si>
  <si>
    <t xml:space="preserve">ENGLISH DONG CURRENT UPPER ADDRESS </t>
    <phoneticPr fontId="3" type="noConversion"/>
  </si>
  <si>
    <t>영문 주소(동이상)</t>
    <phoneticPr fontId="3" type="noConversion"/>
  </si>
  <si>
    <t>모니터링그룹코드</t>
    <phoneticPr fontId="3" type="noConversion"/>
  </si>
  <si>
    <t>MON_GRP_CD</t>
    <phoneticPr fontId="3" type="noConversion"/>
  </si>
  <si>
    <t>MONITORING GROUP CODE</t>
    <phoneticPr fontId="3" type="noConversion"/>
  </si>
  <si>
    <t>모니터링상세코드</t>
    <phoneticPr fontId="3" type="noConversion"/>
  </si>
  <si>
    <t>MON_DTL_CD</t>
    <phoneticPr fontId="3" type="noConversion"/>
  </si>
  <si>
    <t>MONITORING DETAIL DOCDE</t>
    <phoneticPr fontId="3" type="noConversion"/>
  </si>
  <si>
    <t>모니터링년월</t>
    <phoneticPr fontId="3" type="noConversion"/>
  </si>
  <si>
    <t>MON_YM</t>
    <phoneticPr fontId="3" type="noConversion"/>
  </si>
  <si>
    <t>MONITORING YEAR MONTH</t>
    <phoneticPr fontId="3" type="noConversion"/>
  </si>
  <si>
    <t>성과연봉</t>
    <phoneticPr fontId="3" type="noConversion"/>
  </si>
  <si>
    <t>RES_PMT</t>
    <phoneticPr fontId="3" type="noConversion"/>
  </si>
  <si>
    <t>RESULT PAYMENT ANNUAL SALARY</t>
    <phoneticPr fontId="3" type="noConversion"/>
  </si>
  <si>
    <t>성과연봉지급율</t>
    <phoneticPr fontId="3" type="noConversion"/>
  </si>
  <si>
    <t>RES_PMT_RAT</t>
    <phoneticPr fontId="3" type="noConversion"/>
  </si>
  <si>
    <t>RESULT PAYMENT ANNUAL SALARY RATE</t>
    <phoneticPr fontId="3" type="noConversion"/>
  </si>
  <si>
    <t>성과연봉지급률</t>
    <phoneticPr fontId="3" type="noConversion"/>
  </si>
  <si>
    <t>성과연봉기준비율</t>
    <phoneticPr fontId="3" type="noConversion"/>
  </si>
  <si>
    <t>RES_PMT_BRAT</t>
    <phoneticPr fontId="3" type="noConversion"/>
  </si>
  <si>
    <t>RESULT PAYMENT ANNUAL SALARY BASE RATE</t>
    <phoneticPr fontId="3" type="noConversion"/>
  </si>
  <si>
    <t>차등지급률</t>
    <phoneticPr fontId="3" type="noConversion"/>
  </si>
  <si>
    <t>GRD_PMT_RAT</t>
    <phoneticPr fontId="3" type="noConversion"/>
  </si>
  <si>
    <t>GRADE PAYMENT RATE</t>
    <phoneticPr fontId="3" type="noConversion"/>
  </si>
  <si>
    <t>기지급액</t>
    <phoneticPr fontId="3" type="noConversion"/>
  </si>
  <si>
    <t>AVC_PMT</t>
    <phoneticPr fontId="3" type="noConversion"/>
  </si>
  <si>
    <t>ADVANCED PAYMENT</t>
    <phoneticPr fontId="3" type="noConversion"/>
  </si>
  <si>
    <t>산출액</t>
    <phoneticPr fontId="3" type="noConversion"/>
  </si>
  <si>
    <t>OUT_AMT_PMT</t>
    <phoneticPr fontId="3" type="noConversion"/>
  </si>
  <si>
    <t>OUT AMOUNT PAYMENT</t>
    <phoneticPr fontId="3" type="noConversion"/>
  </si>
  <si>
    <t>정산액</t>
    <phoneticPr fontId="3" type="noConversion"/>
  </si>
  <si>
    <t>ADJ_PMT</t>
    <phoneticPr fontId="3" type="noConversion"/>
  </si>
  <si>
    <t>ADJUSTMENT PAYMENT</t>
    <phoneticPr fontId="3" type="noConversion"/>
  </si>
  <si>
    <t>성과연봉기준비율</t>
    <phoneticPr fontId="1" type="noConversion"/>
  </si>
  <si>
    <t>RES_PMT_BRAT</t>
  </si>
  <si>
    <t>GRD_PMT_RAT</t>
  </si>
  <si>
    <t>차등지급률</t>
  </si>
  <si>
    <t>AVC_PMT</t>
  </si>
  <si>
    <t>기지급액</t>
  </si>
  <si>
    <t>OUT_AMT_PMT</t>
  </si>
  <si>
    <t>산출액</t>
  </si>
  <si>
    <t>ADJ_PMT</t>
  </si>
  <si>
    <t>정산액</t>
  </si>
  <si>
    <t>PMA650AA</t>
    <phoneticPr fontId="1" type="noConversion"/>
  </si>
  <si>
    <t>계산</t>
    <phoneticPr fontId="1" type="noConversion"/>
  </si>
  <si>
    <t>SP_PMA650AA_01.prc</t>
    <phoneticPr fontId="1" type="noConversion"/>
  </si>
  <si>
    <t>SP_PMA650AA_02.prc</t>
    <phoneticPr fontId="1" type="noConversion"/>
  </si>
  <si>
    <t>하반기</t>
    <phoneticPr fontId="1" type="noConversion"/>
  </si>
  <si>
    <t>산출</t>
    <phoneticPr fontId="1" type="noConversion"/>
  </si>
  <si>
    <t>금액</t>
    <phoneticPr fontId="1" type="noConversion"/>
  </si>
  <si>
    <t>the second half of the year</t>
  </si>
  <si>
    <t>secondOutAmt</t>
    <phoneticPr fontId="1" type="noConversion"/>
  </si>
  <si>
    <t>성과연봉 적용 기준 변경</t>
    <phoneticPr fontId="1" type="noConversion"/>
  </si>
  <si>
    <t>성과</t>
    <phoneticPr fontId="1" type="noConversion"/>
  </si>
  <si>
    <t>기초</t>
    <phoneticPr fontId="1" type="noConversion"/>
  </si>
  <si>
    <t>계산작업</t>
    <phoneticPr fontId="1" type="noConversion"/>
  </si>
  <si>
    <t>SP_PMA650AA_03.prc</t>
    <phoneticPr fontId="1" type="noConversion"/>
  </si>
  <si>
    <t>PMA660AA</t>
    <phoneticPr fontId="1" type="noConversion"/>
  </si>
  <si>
    <t>성과연봉현황</t>
    <phoneticPr fontId="1" type="noConversion"/>
  </si>
  <si>
    <t>대상자생성 - 기초작업</t>
    <phoneticPr fontId="1" type="noConversion"/>
  </si>
  <si>
    <t>메뉴얼작업</t>
    <phoneticPr fontId="1" type="noConversion"/>
  </si>
  <si>
    <t>급여</t>
    <phoneticPr fontId="1" type="noConversion"/>
  </si>
  <si>
    <t>작업전체</t>
    <phoneticPr fontId="1" type="noConversion"/>
  </si>
  <si>
    <t>급여대장(대표)  조회조건에 기관, 부서 추가.</t>
    <phoneticPr fontId="1" type="noConversion"/>
  </si>
  <si>
    <t>순번</t>
    <phoneticPr fontId="1" type="noConversion"/>
  </si>
  <si>
    <t>프로그램명</t>
    <phoneticPr fontId="1" type="noConversion"/>
  </si>
  <si>
    <t>프로그램ID</t>
    <phoneticPr fontId="1" type="noConversion"/>
  </si>
  <si>
    <t>작업</t>
    <phoneticPr fontId="1" type="noConversion"/>
  </si>
  <si>
    <t>비고</t>
    <phoneticPr fontId="1" type="noConversion"/>
  </si>
  <si>
    <t>O</t>
  </si>
  <si>
    <t>X</t>
    <phoneticPr fontId="1" type="noConversion"/>
  </si>
  <si>
    <t>O</t>
    <phoneticPr fontId="1" type="noConversion"/>
  </si>
  <si>
    <t>덧셈</t>
    <phoneticPr fontId="1" type="noConversion"/>
  </si>
  <si>
    <t>-</t>
    <phoneticPr fontId="1" type="noConversion"/>
  </si>
  <si>
    <t>UI및 변경 없음 - 내부 오류수정</t>
    <phoneticPr fontId="1" type="noConversion"/>
  </si>
  <si>
    <t>급여대상자관리</t>
    <phoneticPr fontId="1" type="noConversion"/>
  </si>
  <si>
    <t>개인별능력급지급율관리</t>
    <phoneticPr fontId="1" type="noConversion"/>
  </si>
  <si>
    <t>인사변동사항조회</t>
    <phoneticPr fontId="1" type="noConversion"/>
  </si>
  <si>
    <t xml:space="preserve">신규임용등록 </t>
    <phoneticPr fontId="1" type="noConversion"/>
  </si>
  <si>
    <t>개인별은행계좌관리</t>
    <phoneticPr fontId="1" type="noConversion"/>
  </si>
  <si>
    <t>모의연말정산결과보기</t>
    <phoneticPr fontId="1" type="noConversion"/>
  </si>
  <si>
    <t>인권비집행총괄표
인권비집행총괄표2</t>
    <phoneticPr fontId="3" type="noConversion"/>
  </si>
  <si>
    <t>정차장님 수정.</t>
    <phoneticPr fontId="1" type="noConversion"/>
  </si>
  <si>
    <t>임용일계산 조회
B. 인사기본사항등록/조회 화면의 직급발령일, 기관임용일, 현기관임용일, 현부서임용일, 보직임용일, 상당직급임용일, 최초임용일 등 각각 현시점까지의 근무일수를 표시 하고 퇴직일은 퇴직일까지의 남은 기간을 표시한다.</t>
    <phoneticPr fontId="1" type="noConversion"/>
  </si>
  <si>
    <t>급여금액 관련 항목 소수점 이하 Trunc 처리.</t>
    <phoneticPr fontId="1" type="noConversion"/>
  </si>
  <si>
    <t>인사휴직, 무급 == 휴직(당월)에대한 카운팅 추가에따른 프로시져 변경</t>
    <phoneticPr fontId="1" type="noConversion"/>
  </si>
  <si>
    <t>해당 프로시져 전체</t>
    <phoneticPr fontId="1" type="noConversion"/>
  </si>
  <si>
    <t>급여관련회의</t>
    <phoneticPr fontId="1" type="noConversion"/>
  </si>
  <si>
    <t>급여관련 리뷰 및 회의</t>
    <phoneticPr fontId="1" type="noConversion"/>
  </si>
  <si>
    <t>계약직 반영</t>
    <phoneticPr fontId="1" type="noConversion"/>
  </si>
  <si>
    <t>급여메뉴얼작업</t>
    <phoneticPr fontId="1" type="noConversion"/>
  </si>
  <si>
    <t>MIS-CC-110_사용자매뉴얼_3.급여_Only_20131211</t>
    <phoneticPr fontId="1" type="noConversion"/>
  </si>
  <si>
    <t>-</t>
    <phoneticPr fontId="1" type="noConversion"/>
  </si>
  <si>
    <t>휴직일자보다 작거나같은 자료.
성과급 계산시 --&gt; 호봉표의 금액을 가져오던것을 --&gt; PMA150TB에서 가져오도록한다.</t>
    <phoneticPr fontId="1" type="noConversion"/>
  </si>
  <si>
    <t>성과급 기초작업 엑셀업로드 기능 추가</t>
  </si>
  <si>
    <t># 기본급 지급내역생성시
    - 지급률이 0%이어도 지급내역을 생성하도록 한다.</t>
    <phoneticPr fontId="1" type="noConversion"/>
  </si>
  <si>
    <t>제도</t>
    <phoneticPr fontId="1" type="noConversion"/>
  </si>
  <si>
    <t>성과급기초작업-국민연금,건강보험 계약직로직 추가</t>
    <phoneticPr fontId="1" type="noConversion"/>
  </si>
  <si>
    <t>개별 추가 기능 추가</t>
    <phoneticPr fontId="1" type="noConversion"/>
  </si>
  <si>
    <t>성과연봉직급</t>
    <phoneticPr fontId="1" type="noConversion"/>
  </si>
  <si>
    <t xml:space="preserve">성과연봉 신규승진자 B등급 처리
--# 능력개발직 3급 : GRD_CD : 5030
--# 일반직     3급 : GRD_CD : 1330
--# 출제연구직 3급 : GRD_CD : 1870
</t>
    <phoneticPr fontId="1" type="noConversion"/>
  </si>
  <si>
    <t>- 발령이 파견일경우 파견지 소속을 이용하게.
- 겸임발령의 경우 전/후 소속이 다를 경우만 겸임으로 본다.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</si>
  <si>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</si>
  <si>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</si>
  <si>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</si>
  <si>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</si>
  <si>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SP_HMA950AA_01.prc</t>
    <phoneticPr fontId="1" type="noConversion"/>
  </si>
  <si>
    <t>SP_HMA950AA_03.prc</t>
    <phoneticPr fontId="1" type="noConversion"/>
  </si>
  <si>
    <t>PMA580AA</t>
    <phoneticPr fontId="1" type="noConversion"/>
  </si>
  <si>
    <t>PMA130TB ( 급여가족사항 )에서 가족수당 적용된 가족사항 상단에 조회되게.</t>
    <phoneticPr fontId="1" type="noConversion"/>
  </si>
  <si>
    <t>인사-휴직발령시 휴직상세(SUSPE_DT)휴직관리(hma380tb)에 적용되도록.</t>
    <phoneticPr fontId="1" type="noConversion"/>
  </si>
  <si>
    <t>임용일계산 조회 
    직번, 주민번호, 직급, 재/퇴직구분 추가</t>
    <phoneticPr fontId="1" type="noConversion"/>
  </si>
  <si>
    <t>결재상태 보여지게 수정.</t>
  </si>
  <si>
    <t>소속, 직급 보여지게 수정.</t>
    <phoneticPr fontId="1" type="noConversion"/>
  </si>
  <si>
    <t>부양가족신고서(결재)</t>
    <phoneticPr fontId="1" type="noConversion"/>
  </si>
  <si>
    <t>연봉</t>
    <phoneticPr fontId="1" type="noConversion"/>
  </si>
  <si>
    <t>-</t>
    <phoneticPr fontId="1" type="noConversion"/>
  </si>
  <si>
    <t>하</t>
    <phoneticPr fontId="1" type="noConversion"/>
  </si>
  <si>
    <t>PMA630AA</t>
    <phoneticPr fontId="1" type="noConversion"/>
  </si>
  <si>
    <t>급여소급계산</t>
    <phoneticPr fontId="1" type="noConversion"/>
  </si>
  <si>
    <t>SP_PMA325AA.prc</t>
    <phoneticPr fontId="1" type="noConversion"/>
  </si>
  <si>
    <t>성과급기초작업-국민연금,건강보험 계약직로직 추가 --&gt; 자동생성의 경우에만 입력되게</t>
    <phoneticPr fontId="1" type="noConversion"/>
  </si>
  <si>
    <t>PMA580AA</t>
  </si>
  <si>
    <t>성과연봉계산작업</t>
  </si>
  <si>
    <t>단위테스트</t>
    <phoneticPr fontId="1" type="noConversion"/>
  </si>
  <si>
    <t>명세</t>
    <phoneticPr fontId="1" type="noConversion"/>
  </si>
  <si>
    <t>결과</t>
    <phoneticPr fontId="1" type="noConversion"/>
  </si>
  <si>
    <t>통합테스트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</si>
  <si>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</si>
  <si>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</si>
  <si>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</si>
  <si>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</si>
  <si>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</si>
  <si>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</si>
  <si>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</si>
  <si>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Yes</t>
    <phoneticPr fontId="1" type="noConversion"/>
  </si>
  <si>
    <t>Yes</t>
    <phoneticPr fontId="1" type="noConversion"/>
  </si>
  <si>
    <t>Yes</t>
    <phoneticPr fontId="1" type="noConversion"/>
  </si>
  <si>
    <t>No</t>
    <phoneticPr fontId="1" type="noConversion"/>
  </si>
  <si>
    <t>No</t>
    <phoneticPr fontId="1" type="noConversion"/>
  </si>
  <si>
    <t>PMA630AA</t>
    <phoneticPr fontId="1" type="noConversion"/>
  </si>
  <si>
    <t>소급률관리</t>
    <phoneticPr fontId="1" type="noConversion"/>
  </si>
  <si>
    <t>개인별은행계좌관리</t>
    <phoneticPr fontId="1" type="noConversion"/>
  </si>
  <si>
    <t>신규임용등록</t>
    <phoneticPr fontId="1" type="noConversion"/>
  </si>
  <si>
    <t>인사변동사항조회</t>
    <phoneticPr fontId="1" type="noConversion"/>
  </si>
  <si>
    <t>개인별능력급지급율관리</t>
    <phoneticPr fontId="1" type="noConversion"/>
  </si>
  <si>
    <t>급여대상자관리</t>
    <phoneticPr fontId="1" type="noConversion"/>
  </si>
  <si>
    <t>급여변동사항관리</t>
    <phoneticPr fontId="1" type="noConversion"/>
  </si>
  <si>
    <t>비급여대상자리스트</t>
    <phoneticPr fontId="1" type="noConversion"/>
  </si>
  <si>
    <t>개인별지급관리</t>
    <phoneticPr fontId="1" type="noConversion"/>
  </si>
  <si>
    <t>일자별개인별시간외수당관리</t>
    <phoneticPr fontId="1" type="noConversion"/>
  </si>
  <si>
    <t>개인별공제관리</t>
    <phoneticPr fontId="1" type="noConversion"/>
  </si>
  <si>
    <t>성금관리</t>
    <phoneticPr fontId="1" type="noConversion"/>
  </si>
  <si>
    <t>부외자산대장</t>
    <phoneticPr fontId="1" type="noConversion"/>
  </si>
  <si>
    <t>차량운반구대장</t>
    <phoneticPr fontId="1" type="noConversion"/>
  </si>
  <si>
    <t>리스물품관리</t>
    <phoneticPr fontId="1" type="noConversion"/>
  </si>
  <si>
    <t>모의연말정산결과보기</t>
    <phoneticPr fontId="1" type="noConversion"/>
  </si>
  <si>
    <t>HMA950AA</t>
    <phoneticPr fontId="1" type="noConversion"/>
  </si>
  <si>
    <t>PMA600AA</t>
    <phoneticPr fontId="1" type="noConversion"/>
  </si>
  <si>
    <t>PMA650AA</t>
    <phoneticPr fontId="1" type="noConversion"/>
  </si>
  <si>
    <t>PMA610AA</t>
    <phoneticPr fontId="1" type="noConversion"/>
  </si>
  <si>
    <t>PMA620AA</t>
    <phoneticPr fontId="1" type="noConversion"/>
  </si>
  <si>
    <t>PMA660AA</t>
    <phoneticPr fontId="1" type="noConversion"/>
  </si>
  <si>
    <t>PMA650AA</t>
    <phoneticPr fontId="1" type="noConversion"/>
  </si>
  <si>
    <t>PMA620AA</t>
    <phoneticPr fontId="1" type="noConversion"/>
  </si>
  <si>
    <t>PMA140AA</t>
    <phoneticPr fontId="1" type="noConversion"/>
  </si>
  <si>
    <t>PMA600AA</t>
    <phoneticPr fontId="1" type="noConversion"/>
  </si>
  <si>
    <t>PMA310AA
PMA320AA
PMA325AA
PMA300AS
PMA330AA
PMA340AA</t>
    <phoneticPr fontId="1" type="noConversion"/>
  </si>
  <si>
    <t>HMA320AA</t>
    <phoneticPr fontId="1" type="noConversion"/>
  </si>
  <si>
    <t>SFR-007-05-01</t>
    <phoneticPr fontId="3" type="noConversion"/>
  </si>
  <si>
    <t>PMA325AA</t>
  </si>
  <si>
    <t>SFR-007-02-03</t>
    <phoneticPr fontId="3" type="noConversion"/>
  </si>
  <si>
    <t>자녀학비보조금신청서(결재)</t>
    <phoneticPr fontId="1" type="noConversion"/>
  </si>
  <si>
    <t>출산장려비지급신청서</t>
    <phoneticPr fontId="1" type="noConversion"/>
  </si>
  <si>
    <t>Yes</t>
    <phoneticPr fontId="1" type="noConversion"/>
  </si>
  <si>
    <t>Yes</t>
    <phoneticPr fontId="1" type="noConversion"/>
  </si>
  <si>
    <t>Yes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</si>
  <si>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</si>
  <si>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</si>
  <si>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</si>
  <si>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성과급계산작업</t>
  </si>
  <si>
    <t># 테스트 요소.
지급구분 - 급여(전체항목), 성과급(자체,특별,인센티브
*소득세,주민세,기타공제만
201309중(석)식비.csv
이혜경,790524-2550218,3000</t>
    <phoneticPr fontId="1" type="noConversion"/>
  </si>
  <si>
    <r>
      <t xml:space="preserve">사업주고용산재처럼 ..&lt;-- </t>
    </r>
    <r>
      <rPr>
        <b/>
        <sz val="12"/>
        <color rgb="FFFF0000"/>
        <rFont val="맑은 고딕"/>
        <family val="3"/>
        <charset val="129"/>
        <scheme val="minor"/>
      </rPr>
      <t>정차장님 처리한다고함.</t>
    </r>
    <phoneticPr fontId="1" type="noConversion"/>
  </si>
  <si>
    <t>연말정산-기타소득신고와비교
인건비 지급한액..등등 첫줄삭제.
확인필요 --&gt; 정차장님--&gt; 이혜경과장에게 문의하기로함 --&gt; 대장2의 사업비 는 급여대장의 전환자로 사람 일치.</t>
    <phoneticPr fontId="3" type="noConversion"/>
  </si>
  <si>
    <t>No</t>
    <phoneticPr fontId="1" type="noConversion"/>
  </si>
  <si>
    <t>Yes</t>
    <phoneticPr fontId="1" type="noConversion"/>
  </si>
  <si>
    <t>임용일계산조회</t>
  </si>
  <si>
    <t>Yes</t>
    <phoneticPr fontId="1" type="noConversion"/>
  </si>
  <si>
    <t>HMA620AS</t>
    <phoneticPr fontId="1" type="noConversion"/>
  </si>
  <si>
    <t>No</t>
    <phoneticPr fontId="1" type="noConversion"/>
  </si>
  <si>
    <t>No</t>
    <phoneticPr fontId="1" type="noConversion"/>
  </si>
  <si>
    <t>임용일계산 조회</t>
    <phoneticPr fontId="1" type="noConversion"/>
  </si>
  <si>
    <t>Yes</t>
    <phoneticPr fontId="1" type="noConversion"/>
  </si>
  <si>
    <t>No</t>
    <phoneticPr fontId="1" type="noConversion"/>
  </si>
  <si>
    <t>학력_전공관리</t>
    <phoneticPr fontId="1" type="noConversion"/>
  </si>
  <si>
    <t>보훈_장애관리</t>
    <phoneticPr fontId="1" type="noConversion"/>
  </si>
  <si>
    <t>제증명신청_발급처리</t>
    <phoneticPr fontId="1" type="noConversion"/>
  </si>
  <si>
    <t>Yes</t>
    <phoneticPr fontId="1" type="noConversion"/>
  </si>
  <si>
    <t>No</t>
    <phoneticPr fontId="1" type="noConversion"/>
  </si>
  <si>
    <t>항공마일리지</t>
    <phoneticPr fontId="1" type="noConversion"/>
  </si>
  <si>
    <t>Yes</t>
    <phoneticPr fontId="1" type="noConversion"/>
  </si>
  <si>
    <t>No</t>
    <phoneticPr fontId="1" type="noConversion"/>
  </si>
  <si>
    <t>Yes</t>
    <phoneticPr fontId="1" type="noConversion"/>
  </si>
  <si>
    <t>공기구비품대장</t>
    <phoneticPr fontId="1" type="noConversion"/>
  </si>
  <si>
    <t>Yes</t>
    <phoneticPr fontId="1" type="noConversion"/>
  </si>
  <si>
    <t>No</t>
    <phoneticPr fontId="1" type="noConversion"/>
  </si>
  <si>
    <t>HMA620AS</t>
    <phoneticPr fontId="1" type="noConversion"/>
  </si>
  <si>
    <t>지급률조회</t>
    <phoneticPr fontId="1" type="noConversion"/>
  </si>
  <si>
    <t>소급적용금액이 PMA150TB.BSL_AMT(기초금액), PMA150TB.RPI_AMT (지급금액)에 적용되도록 수정.</t>
  </si>
  <si>
    <t>문서작업</t>
    <phoneticPr fontId="1" type="noConversion"/>
  </si>
  <si>
    <t>단위테스트명세서</t>
    <phoneticPr fontId="1" type="noConversion"/>
  </si>
  <si>
    <t>단위테스트결과서</t>
    <phoneticPr fontId="1" type="noConversion"/>
  </si>
  <si>
    <t>통합테스트결과서(급여)</t>
    <phoneticPr fontId="1" type="noConversion"/>
  </si>
  <si>
    <t>통합테스트결과서(급여) - 증적문서</t>
    <phoneticPr fontId="1" type="noConversion"/>
  </si>
  <si>
    <t>erd작업 - hrdkmis 디비스키마 기준으로 논리명 한글주석으로 작업해서 김부장님 토스</t>
    <phoneticPr fontId="1" type="noConversion"/>
  </si>
  <si>
    <t>SP_PMA110AA_01_INSA_HUJIK_ILSU.prc</t>
    <phoneticPr fontId="1" type="noConversion"/>
  </si>
  <si>
    <t xml:space="preserve"> 1일이 아니고 휴직당월일경우는 휴직으로 보지 않는다.</t>
    <phoneticPr fontId="1" type="noConversion"/>
  </si>
  <si>
    <t>SP_PMA110AA_01_INSA_JING_ILSU.prc</t>
    <phoneticPr fontId="1" type="noConversion"/>
  </si>
  <si>
    <t>SP_PMA110AA_01_INSA_SIKAN_ILSU.prc</t>
    <phoneticPr fontId="1" type="noConversion"/>
  </si>
  <si>
    <t>SP_PMA110AA_01_BOCK_MU_ILSU.prc</t>
    <phoneticPr fontId="1" type="noConversion"/>
  </si>
  <si>
    <t>인사 징계일수</t>
  </si>
  <si>
    <t>인사 정직,감봉,시간제일수</t>
  </si>
  <si>
    <t>인사 휴직일수</t>
    <phoneticPr fontId="1" type="noConversion"/>
  </si>
  <si>
    <t>복무 무급,출산,생리휴가일수</t>
    <phoneticPr fontId="1" type="noConversion"/>
  </si>
  <si>
    <t>인사및복무 일수계산 별도 프로시져 구성</t>
    <phoneticPr fontId="1" type="noConversion"/>
  </si>
  <si>
    <t>maternity leave</t>
    <phoneticPr fontId="1" type="noConversion"/>
  </si>
  <si>
    <t>MatLeaveYn</t>
    <phoneticPr fontId="1" type="noConversion"/>
  </si>
  <si>
    <t>출산</t>
    <phoneticPr fontId="1" type="noConversion"/>
  </si>
  <si>
    <t>휴가</t>
    <phoneticPr fontId="1" type="noConversion"/>
  </si>
  <si>
    <t>결재</t>
    <phoneticPr fontId="1" type="noConversion"/>
  </si>
  <si>
    <t>휴직에서 , 휴직(까지)를 입력안할경우,
  지급종료일을 이용해 기간을 산출한다.
(휴직,휴직연장만 기본자료로 이용한다.)</t>
    <phoneticPr fontId="1" type="noConversion"/>
  </si>
  <si>
    <t>정경복차장님 -&gt; 최진욱 확인된 사항임.</t>
    <phoneticPr fontId="1" type="noConversion"/>
  </si>
  <si>
    <t xml:space="preserve">코드명 변경 :&gt; 휴직(당월) -&gt; 휴직 </t>
    <phoneticPr fontId="1" type="noConversion"/>
  </si>
  <si>
    <t>휴직구분을 기준으로 제일작은 시작일자 ~ 
                              제일큰 종료일까지의 기간을 휴직기간으로한다.
죵료일자가 없을경우 지급종료일을 이용한다.</t>
    <phoneticPr fontId="1" type="noConversion"/>
  </si>
  <si>
    <t>시간외근무시간</t>
    <phoneticPr fontId="1" type="noConversion"/>
  </si>
  <si>
    <t>프로시져</t>
    <phoneticPr fontId="1" type="noConversion"/>
  </si>
  <si>
    <t>-</t>
    <phoneticPr fontId="1" type="noConversion"/>
  </si>
  <si>
    <t>--</t>
    <phoneticPr fontId="1" type="noConversion"/>
  </si>
  <si>
    <t>급여 오픈후 대응 작업</t>
    <phoneticPr fontId="1" type="noConversion"/>
  </si>
  <si>
    <t>가족수당</t>
    <phoneticPr fontId="1" type="noConversion"/>
  </si>
  <si>
    <t xml:space="preserve">기준금액을 지급금액과 같게 입력되도록 수정 </t>
    <phoneticPr fontId="1" type="noConversion"/>
  </si>
  <si>
    <t>출산장려비 지급(변경)신청서(결재)</t>
  </si>
  <si>
    <t>DataBase</t>
    <phoneticPr fontId="1" type="noConversion"/>
  </si>
  <si>
    <t>급여현황</t>
    <phoneticPr fontId="1" type="noConversion"/>
  </si>
  <si>
    <t>출산신고서결재 화면 결재시 첫 칼럼에 체크박스를 만들어 일괄 결재 할수 있도록 요청</t>
  </si>
  <si>
    <t xml:space="preserve">기준금액을 지급금액과 같게 입력되도록 수정
(가족수당 기준금액을 배우자 포함한 금액으로 표시 요청함.) </t>
    <phoneticPr fontId="1" type="noConversion"/>
  </si>
  <si>
    <t>-</t>
    <phoneticPr fontId="1" type="noConversion"/>
  </si>
  <si>
    <t>개인별공제관리 소득세 입력시  , 입력금액의 10%를 
주민세에 자동 입력 기능 요청함</t>
    <phoneticPr fontId="3" type="noConversion"/>
  </si>
  <si>
    <t>SP_PMA230AS_PRINT</t>
  </si>
  <si>
    <t>PMT_STS , EGB 필드 적용작업</t>
    <phoneticPr fontId="1" type="noConversion"/>
  </si>
  <si>
    <t>*</t>
    <phoneticPr fontId="1" type="noConversion"/>
  </si>
  <si>
    <t>*</t>
    <phoneticPr fontId="1" type="noConversion"/>
  </si>
  <si>
    <t>성과급,성과연봉,소급 사용자 교육</t>
    <phoneticPr fontId="1" type="noConversion"/>
  </si>
  <si>
    <t>급여관련 인수인계교육</t>
    <phoneticPr fontId="1" type="noConversion"/>
  </si>
  <si>
    <t>교육자 : 김지훈차장
참석자 : 정경복차장, 조의식대리, 최대리</t>
    <phoneticPr fontId="1" type="noConversion"/>
  </si>
  <si>
    <t>교육자 : 김지훈차장
참석자 : 이혜경과장, 김종대과장, 정경복차장, 조의식대리, 최대리</t>
    <phoneticPr fontId="1" type="noConversion"/>
  </si>
  <si>
    <t>소급작업</t>
    <phoneticPr fontId="1" type="noConversion"/>
  </si>
  <si>
    <t>PMA340AA</t>
    <phoneticPr fontId="1" type="noConversion"/>
  </si>
  <si>
    <t>통합자금파일생성</t>
    <phoneticPr fontId="1" type="noConversion"/>
  </si>
  <si>
    <t>급여작업의 통합자금파일생성로직을 이용하여
소급에서도 통합자금파일생성이 될 수 있도록 수정.
소급은 1년단위로 자금파일이 생겨야했다.</t>
    <phoneticPr fontId="1" type="noConversion"/>
  </si>
  <si>
    <t>-</t>
    <phoneticPr fontId="3" type="noConversion"/>
  </si>
  <si>
    <t>SP_HMA340AA_01.prc</t>
    <phoneticPr fontId="1" type="noConversion"/>
  </si>
  <si>
    <t>주민번호 후미 앞자리 처리.
1,3,5,7,9 = 1
2,4,6,8,0 = 2</t>
    <phoneticPr fontId="1" type="noConversion"/>
  </si>
  <si>
    <t>인사</t>
    <phoneticPr fontId="1" type="noConversion"/>
  </si>
  <si>
    <t>정현원관리</t>
    <phoneticPr fontId="1" type="noConversion"/>
  </si>
  <si>
    <t>정현원생성 작업</t>
  </si>
  <si>
    <t>가계지원비, 명절휴가비 프로시져 수정
출산(12), 병가(05) 대상에서 제외되게.</t>
    <phoneticPr fontId="1" type="noConversion"/>
  </si>
  <si>
    <t>SP_PMA110AA_03</t>
  </si>
  <si>
    <t>공통</t>
    <phoneticPr fontId="1" type="noConversion"/>
  </si>
  <si>
    <t>운영</t>
    <phoneticPr fontId="1" type="noConversion"/>
  </si>
  <si>
    <t>-</t>
    <phoneticPr fontId="1" type="noConversion"/>
  </si>
  <si>
    <t>COM700AA</t>
    <phoneticPr fontId="1" type="noConversion"/>
  </si>
  <si>
    <t>도로명주소 업로드 기능 오류 수정.</t>
    <phoneticPr fontId="1" type="noConversion"/>
  </si>
  <si>
    <t>중식보조비(17)일 경우 지급금액을 비과세금액으로 처리되도록.
10만이상 비과세금액이 처리되지 않도록 수정.</t>
    <phoneticPr fontId="1" type="noConversion"/>
  </si>
  <si>
    <t>SP_PMA110AA_01</t>
  </si>
  <si>
    <t>프로시져</t>
    <phoneticPr fontId="1" type="noConversion"/>
  </si>
  <si>
    <t>SP_PMA110AA_01_FML</t>
    <phoneticPr fontId="1" type="noConversion"/>
  </si>
  <si>
    <t xml:space="preserve">오연의 가족수당 지급안됨--&gt;
 해결 : PMA130TB.JUM_NO 오류 (-문자 위치 오류)
</t>
    <phoneticPr fontId="1" type="noConversion"/>
  </si>
  <si>
    <t>SP_PMA110AA_01_JI03</t>
  </si>
  <si>
    <t>SP_PMA110AA_01_PMT_AMT</t>
  </si>
  <si>
    <t>기초금액 : 지급금액의 최대값이 기본값으로 입력</t>
  </si>
  <si>
    <t>l</t>
    <phoneticPr fontId="1" type="noConversion"/>
  </si>
  <si>
    <t>급영현황 - 전월대비급여 부터 예산과목별 소요예산</t>
    <phoneticPr fontId="1" type="noConversion"/>
  </si>
  <si>
    <t xml:space="preserve"># 직번항목 추가
- 급여대장                      PMA155AS
- 급여대장(대표)              PMA156AS
- 개인별계좌이체명세서    PMA160AS
- 전월대비급여변동내역    PMA180AS
- 시간외수당지급명세서    PMA190AS
- 급여공제내역출력          PMA195AS
- 업무추진비지급명세서    PMA210AS
- 직무급지급명세서현황    PMA275AS
- 성과연봉지급명세서현황 PMA280AS
- 개인별급여소급계좌이체 PMA330AA
- 노동조합비 현황            PMA390AS
- 증명서발행이력현황       PMA440AS
- 예산과목별소요예산내역 PMA450AS
</t>
    <phoneticPr fontId="1" type="noConversion"/>
  </si>
  <si>
    <t>프로젝트시작</t>
    <phoneticPr fontId="1" type="noConversion"/>
  </si>
  <si>
    <t>총근무일수</t>
    <phoneticPr fontId="1" type="noConversion"/>
  </si>
  <si>
    <t>계약직 초단시간제 급여 - 수당 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</si>
</sst>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176" formatCode="0_);[Red]\(0\)"/>
    <numFmt numFmtId="177" formatCode="_ * #,##0_ ;_ * \-#,##0_ ;_ * &quot;-&quot;_ ;_ @_ "/>
    <numFmt numFmtId="178" formatCode="_ * #,##0.00_ ;_ * \-#,##0.00_ ;_ * &quot;-&quot;??_ ;_ @_ "/>
    <numFmt numFmtId="179" formatCode="_-* #,##0.00_-;&quot;₩&quot;&quot;₩&quot;&quot;₩&quot;\-* #,##0.00_-;_-* &quot;-&quot;??_-;_-@_-"/>
    <numFmt numFmtId="180" formatCode="&quot;₩&quot;&quot;₩&quot;&quot;₩&quot;\$#,##0.00_);&quot;₩&quot;&quot;₩&quot;\(&quot;₩&quot;&quot;₩&quot;&quot;₩&quot;\$#,##0.00&quot;₩&quot;&quot;₩&quot;&quot;₩&quot;\)"/>
    <numFmt numFmtId="181" formatCode="_-* #,##0.00_-;&quot;₩&quot;&quot;₩&quot;&quot;₩&quot;&quot;₩&quot;&quot;₩&quot;\-* #,##0.00_-;_-* &quot;-&quot;??_-;_-@_-"/>
    <numFmt numFmtId="182" formatCode="&quot;₩&quot;#,##0;[Red]&quot;₩&quot;&quot;₩&quot;&quot;₩&quot;&quot;₩&quot;&quot;₩&quot;&quot;₩&quot;&quot;₩&quot;&quot;₩&quot;&quot;₩&quot;\-&quot;₩&quot;#,##0"/>
    <numFmt numFmtId="183" formatCode="_-&quot;₩&quot;* #,##0_-;&quot;₩&quot;&quot;₩&quot;&quot;₩&quot;&quot;₩&quot;&quot;₩&quot;&quot;₩&quot;&quot;₩&quot;&quot;₩&quot;&quot;₩&quot;\-&quot;₩&quot;* #,##0_-;_-&quot;₩&quot;* &quot;-&quot;_-;_-@_-"/>
    <numFmt numFmtId="184" formatCode="&quot;₩&quot;#,##0.00;[Red]&quot;₩&quot;&quot;₩&quot;&quot;₩&quot;&quot;₩&quot;&quot;₩&quot;&quot;₩&quot;&quot;₩&quot;&quot;₩&quot;&quot;₩&quot;&quot;₩&quot;&quot;₩&quot;\-&quot;₩&quot;#,##0.00"/>
    <numFmt numFmtId="185" formatCode="yy\/mm\/dd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돋움체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새굴림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</font>
    <font>
      <sz val="9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u/>
      <sz val="10"/>
      <color indexed="12"/>
      <name val="MS Sans Serif"/>
      <family val="2"/>
    </font>
    <font>
      <b/>
      <sz val="11"/>
      <name val="Helv"/>
      <family val="2"/>
    </font>
    <font>
      <sz val="10"/>
      <color rgb="FF0070C0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8"/>
      <color theme="3" tint="-0.249977111117893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8"/>
      <color theme="3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맑은 고딕"/>
      <family val="3"/>
      <charset val="129"/>
    </font>
    <font>
      <b/>
      <sz val="10"/>
      <color rgb="FF0070C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u/>
      <sz val="10"/>
      <color rgb="FF00FF00"/>
      <name val="맑은 고딕"/>
      <family val="2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9"/>
      <color indexed="63"/>
      <name val="돋움"/>
      <family val="3"/>
      <charset val="129"/>
    </font>
    <font>
      <sz val="8"/>
      <name val="굴림체"/>
      <family val="3"/>
      <charset val="129"/>
    </font>
    <font>
      <sz val="9"/>
      <color indexed="8"/>
      <name val="굴림"/>
      <family val="3"/>
      <charset val="129"/>
    </font>
    <font>
      <sz val="9"/>
      <name val="돋움"/>
      <family val="3"/>
      <charset val="129"/>
    </font>
    <font>
      <b/>
      <sz val="12"/>
      <color rgb="FF484C5F"/>
      <name val="돋움"/>
      <family val="3"/>
      <charset val="129"/>
    </font>
    <font>
      <sz val="10"/>
      <color theme="1"/>
      <name val="맑은 고딕"/>
      <family val="3"/>
      <charset val="129"/>
    </font>
    <font>
      <b/>
      <u/>
      <sz val="10"/>
      <color rgb="FFFF0000"/>
      <name val="맑은 고딕"/>
      <family val="3"/>
      <charset val="129"/>
      <scheme val="minor"/>
    </font>
    <font>
      <sz val="10"/>
      <name val="굴림"/>
      <family val="3"/>
      <charset val="129"/>
    </font>
    <font>
      <b/>
      <sz val="10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rgb="FFFFFF00"/>
      </right>
      <top/>
      <bottom style="thin">
        <color indexed="64"/>
      </bottom>
      <diagonal/>
    </border>
    <border>
      <left style="thin">
        <color indexed="64"/>
      </left>
      <right style="thin">
        <color rgb="FFFFFF00"/>
      </right>
      <top/>
      <bottom/>
      <diagonal/>
    </border>
    <border>
      <left style="thin">
        <color indexed="64"/>
      </left>
      <right style="thin">
        <color rgb="FFFFFF00"/>
      </right>
      <top style="medium">
        <color indexed="64"/>
      </top>
      <bottom style="thin">
        <color rgb="FFFFFF00"/>
      </bottom>
      <diagonal/>
    </border>
    <border>
      <left/>
      <right style="thin">
        <color indexed="64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/>
      <bottom style="thin">
        <color rgb="FFFFFF00"/>
      </bottom>
      <diagonal/>
    </border>
    <border>
      <left style="thin">
        <color rgb="FFFFFF00"/>
      </left>
      <right style="thin">
        <color indexed="64"/>
      </right>
      <top style="medium">
        <color indexed="64"/>
      </top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FFFF00"/>
      </bottom>
      <diagonal/>
    </border>
  </borders>
  <cellStyleXfs count="385">
    <xf numFmtId="0" fontId="0" fillId="0" borderId="0">
      <alignment vertical="center"/>
    </xf>
    <xf numFmtId="0" fontId="11" fillId="0" borderId="0">
      <alignment vertical="center"/>
    </xf>
    <xf numFmtId="0" fontId="11" fillId="0" borderId="0"/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23" borderId="18" applyNumberFormat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11" fillId="24" borderId="19" applyNumberFormat="0" applyFont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6" borderId="20" applyNumberFormat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24" fillId="0" borderId="21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6" fillId="10" borderId="18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30" fillId="0" borderId="25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2" fillId="23" borderId="26" applyNumberFormat="0" applyAlignment="0" applyProtection="0">
      <alignment vertical="center"/>
    </xf>
    <xf numFmtId="0" fontId="4" fillId="0" borderId="0">
      <alignment vertical="center"/>
    </xf>
    <xf numFmtId="0" fontId="11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179" fontId="11" fillId="0" borderId="0" applyFont="0" applyFill="0" applyBorder="0" applyAlignment="0" applyProtection="0"/>
    <xf numFmtId="180" fontId="11" fillId="0" borderId="0" applyFont="0" applyFill="0" applyBorder="0" applyAlignment="0" applyProtection="0"/>
    <xf numFmtId="0" fontId="35" fillId="0" borderId="0"/>
    <xf numFmtId="0" fontId="33" fillId="0" borderId="0"/>
    <xf numFmtId="0" fontId="36" fillId="0" borderId="0"/>
    <xf numFmtId="38" fontId="35" fillId="0" borderId="0" applyFont="0" applyFill="0" applyBorder="0" applyAlignment="0" applyProtection="0"/>
    <xf numFmtId="184" fontId="11" fillId="0" borderId="0"/>
    <xf numFmtId="182" fontId="11" fillId="0" borderId="0"/>
    <xf numFmtId="183" fontId="11" fillId="0" borderId="0"/>
    <xf numFmtId="38" fontId="37" fillId="27" borderId="0" applyNumberFormat="0" applyBorder="0" applyAlignment="0" applyProtection="0"/>
    <xf numFmtId="0" fontId="38" fillId="0" borderId="0">
      <alignment horizontal="left"/>
    </xf>
    <xf numFmtId="0" fontId="39" fillId="0" borderId="27" applyNumberFormat="0" applyAlignment="0" applyProtection="0">
      <alignment horizontal="left" vertical="center"/>
    </xf>
    <xf numFmtId="0" fontId="39" fillId="0" borderId="29">
      <alignment horizontal="left" vertical="center"/>
    </xf>
    <xf numFmtId="0" fontId="40" fillId="0" borderId="0" applyNumberFormat="0" applyFill="0" applyBorder="0" applyAlignment="0" applyProtection="0"/>
    <xf numFmtId="10" fontId="37" fillId="27" borderId="8" applyNumberFormat="0" applyBorder="0" applyAlignment="0" applyProtection="0"/>
    <xf numFmtId="0" fontId="41" fillId="0" borderId="28"/>
    <xf numFmtId="181" fontId="11" fillId="0" borderId="0"/>
    <xf numFmtId="10" fontId="33" fillId="0" borderId="0" applyFont="0" applyFill="0" applyBorder="0" applyAlignment="0" applyProtection="0"/>
    <xf numFmtId="0" fontId="41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23" borderId="18" applyNumberFormat="0" applyAlignment="0" applyProtection="0">
      <alignment vertical="center"/>
    </xf>
    <xf numFmtId="0" fontId="19" fillId="23" borderId="18" applyNumberFormat="0" applyAlignment="0" applyProtection="0">
      <alignment vertical="center"/>
    </xf>
    <xf numFmtId="0" fontId="19" fillId="23" borderId="18" applyNumberFormat="0" applyAlignment="0" applyProtection="0">
      <alignment vertical="center"/>
    </xf>
    <xf numFmtId="0" fontId="19" fillId="23" borderId="18" applyNumberFormat="0" applyAlignment="0" applyProtection="0">
      <alignment vertical="center"/>
    </xf>
    <xf numFmtId="0" fontId="19" fillId="23" borderId="18" applyNumberFormat="0" applyAlignment="0" applyProtection="0">
      <alignment vertical="center"/>
    </xf>
    <xf numFmtId="0" fontId="19" fillId="23" borderId="18" applyNumberFormat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11" fillId="24" borderId="19" applyNumberFormat="0" applyFont="0" applyAlignment="0" applyProtection="0">
      <alignment vertical="center"/>
    </xf>
    <xf numFmtId="0" fontId="11" fillId="24" borderId="19" applyNumberFormat="0" applyFont="0" applyAlignment="0" applyProtection="0">
      <alignment vertical="center"/>
    </xf>
    <xf numFmtId="0" fontId="11" fillId="24" borderId="19" applyNumberFormat="0" applyFont="0" applyAlignment="0" applyProtection="0">
      <alignment vertical="center"/>
    </xf>
    <xf numFmtId="0" fontId="11" fillId="24" borderId="19" applyNumberFormat="0" applyFont="0" applyAlignment="0" applyProtection="0">
      <alignment vertical="center"/>
    </xf>
    <xf numFmtId="0" fontId="11" fillId="24" borderId="19" applyNumberFormat="0" applyFont="0" applyAlignment="0" applyProtection="0">
      <alignment vertical="center"/>
    </xf>
    <xf numFmtId="0" fontId="11" fillId="24" borderId="19" applyNumberFormat="0" applyFont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6" borderId="20" applyNumberFormat="0" applyAlignment="0" applyProtection="0">
      <alignment vertical="center"/>
    </xf>
    <xf numFmtId="0" fontId="23" fillId="26" borderId="20" applyNumberFormat="0" applyAlignment="0" applyProtection="0">
      <alignment vertical="center"/>
    </xf>
    <xf numFmtId="0" fontId="23" fillId="26" borderId="20" applyNumberFormat="0" applyAlignment="0" applyProtection="0">
      <alignment vertical="center"/>
    </xf>
    <xf numFmtId="0" fontId="23" fillId="26" borderId="20" applyNumberFormat="0" applyAlignment="0" applyProtection="0">
      <alignment vertical="center"/>
    </xf>
    <xf numFmtId="0" fontId="23" fillId="26" borderId="20" applyNumberFormat="0" applyAlignment="0" applyProtection="0">
      <alignment vertical="center"/>
    </xf>
    <xf numFmtId="0" fontId="23" fillId="26" borderId="20" applyNumberFormat="0" applyAlignment="0" applyProtection="0">
      <alignment vertical="center"/>
    </xf>
    <xf numFmtId="0" fontId="33" fillId="0" borderId="0"/>
    <xf numFmtId="0" fontId="24" fillId="0" borderId="21" applyNumberFormat="0" applyFill="0" applyAlignment="0" applyProtection="0">
      <alignment vertical="center"/>
    </xf>
    <xf numFmtId="0" fontId="24" fillId="0" borderId="21" applyNumberFormat="0" applyFill="0" applyAlignment="0" applyProtection="0">
      <alignment vertical="center"/>
    </xf>
    <xf numFmtId="0" fontId="24" fillId="0" borderId="21" applyNumberFormat="0" applyFill="0" applyAlignment="0" applyProtection="0">
      <alignment vertical="center"/>
    </xf>
    <xf numFmtId="0" fontId="24" fillId="0" borderId="21" applyNumberFormat="0" applyFill="0" applyAlignment="0" applyProtection="0">
      <alignment vertical="center"/>
    </xf>
    <xf numFmtId="0" fontId="24" fillId="0" borderId="21" applyNumberFormat="0" applyFill="0" applyAlignment="0" applyProtection="0">
      <alignment vertical="center"/>
    </xf>
    <xf numFmtId="0" fontId="24" fillId="0" borderId="21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6" fillId="10" borderId="18" applyNumberFormat="0" applyAlignment="0" applyProtection="0">
      <alignment vertical="center"/>
    </xf>
    <xf numFmtId="0" fontId="26" fillId="10" borderId="18" applyNumberFormat="0" applyAlignment="0" applyProtection="0">
      <alignment vertical="center"/>
    </xf>
    <xf numFmtId="0" fontId="26" fillId="10" borderId="18" applyNumberFormat="0" applyAlignment="0" applyProtection="0">
      <alignment vertical="center"/>
    </xf>
    <xf numFmtId="0" fontId="26" fillId="10" borderId="18" applyNumberFormat="0" applyAlignment="0" applyProtection="0">
      <alignment vertical="center"/>
    </xf>
    <xf numFmtId="0" fontId="26" fillId="10" borderId="18" applyNumberFormat="0" applyAlignment="0" applyProtection="0">
      <alignment vertical="center"/>
    </xf>
    <xf numFmtId="0" fontId="26" fillId="10" borderId="18" applyNumberFormat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29" fillId="0" borderId="24" applyNumberFormat="0" applyFill="0" applyAlignment="0" applyProtection="0">
      <alignment vertical="center"/>
    </xf>
    <xf numFmtId="0" fontId="30" fillId="0" borderId="25" applyNumberFormat="0" applyFill="0" applyAlignment="0" applyProtection="0">
      <alignment vertical="center"/>
    </xf>
    <xf numFmtId="0" fontId="30" fillId="0" borderId="25" applyNumberFormat="0" applyFill="0" applyAlignment="0" applyProtection="0">
      <alignment vertical="center"/>
    </xf>
    <xf numFmtId="0" fontId="30" fillId="0" borderId="25" applyNumberFormat="0" applyFill="0" applyAlignment="0" applyProtection="0">
      <alignment vertical="center"/>
    </xf>
    <xf numFmtId="0" fontId="30" fillId="0" borderId="25" applyNumberFormat="0" applyFill="0" applyAlignment="0" applyProtection="0">
      <alignment vertical="center"/>
    </xf>
    <xf numFmtId="0" fontId="30" fillId="0" borderId="25" applyNumberFormat="0" applyFill="0" applyAlignment="0" applyProtection="0">
      <alignment vertical="center"/>
    </xf>
    <xf numFmtId="0" fontId="30" fillId="0" borderId="25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2" fillId="23" borderId="26" applyNumberFormat="0" applyAlignment="0" applyProtection="0">
      <alignment vertical="center"/>
    </xf>
    <xf numFmtId="0" fontId="32" fillId="23" borderId="26" applyNumberFormat="0" applyAlignment="0" applyProtection="0">
      <alignment vertical="center"/>
    </xf>
    <xf numFmtId="0" fontId="32" fillId="23" borderId="26" applyNumberFormat="0" applyAlignment="0" applyProtection="0">
      <alignment vertical="center"/>
    </xf>
    <xf numFmtId="0" fontId="32" fillId="23" borderId="26" applyNumberFormat="0" applyAlignment="0" applyProtection="0">
      <alignment vertical="center"/>
    </xf>
    <xf numFmtId="0" fontId="32" fillId="23" borderId="26" applyNumberFormat="0" applyAlignment="0" applyProtection="0">
      <alignment vertical="center"/>
    </xf>
    <xf numFmtId="0" fontId="32" fillId="23" borderId="26" applyNumberFormat="0" applyAlignment="0" applyProtection="0">
      <alignment vertical="center"/>
    </xf>
    <xf numFmtId="177" fontId="34" fillId="0" borderId="0" applyFont="0" applyFill="0" applyBorder="0" applyAlignment="0" applyProtection="0"/>
    <xf numFmtId="178" fontId="34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51" fillId="0" borderId="0" applyNumberFormat="0" applyFill="0" applyBorder="0" applyAlignment="0" applyProtection="0">
      <alignment vertical="center"/>
    </xf>
    <xf numFmtId="0" fontId="11" fillId="0" borderId="0"/>
  </cellStyleXfs>
  <cellXfs count="413">
    <xf numFmtId="0" fontId="0" fillId="0" borderId="0" xfId="0">
      <alignment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8" xfId="0" applyBorder="1">
      <alignment vertical="center"/>
    </xf>
    <xf numFmtId="14" fontId="0" fillId="0" borderId="8" xfId="0" applyNumberFormat="1" applyBorder="1">
      <alignment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6" fillId="0" borderId="7" xfId="0" applyFont="1" applyBorder="1" applyAlignment="1"/>
    <xf numFmtId="0" fontId="6" fillId="0" borderId="9" xfId="0" applyFont="1" applyBorder="1" applyAlignment="1"/>
    <xf numFmtId="0" fontId="6" fillId="0" borderId="0" xfId="0" applyFont="1" applyAlignment="1"/>
    <xf numFmtId="0" fontId="10" fillId="0" borderId="8" xfId="0" applyFont="1" applyBorder="1">
      <alignment vertical="center"/>
    </xf>
    <xf numFmtId="0" fontId="12" fillId="0" borderId="8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vertical="center"/>
    </xf>
    <xf numFmtId="0" fontId="43" fillId="2" borderId="8" xfId="0" applyFont="1" applyFill="1" applyBorder="1">
      <alignment vertical="center"/>
    </xf>
    <xf numFmtId="0" fontId="44" fillId="0" borderId="8" xfId="0" applyFont="1" applyBorder="1">
      <alignment vertical="center"/>
    </xf>
    <xf numFmtId="0" fontId="45" fillId="0" borderId="8" xfId="0" applyFont="1" applyFill="1" applyBorder="1">
      <alignment vertical="center"/>
    </xf>
    <xf numFmtId="0" fontId="44" fillId="0" borderId="0" xfId="0" applyFont="1">
      <alignment vertical="center"/>
    </xf>
    <xf numFmtId="0" fontId="44" fillId="0" borderId="14" xfId="0" applyFont="1" applyBorder="1">
      <alignment vertical="center"/>
    </xf>
    <xf numFmtId="0" fontId="44" fillId="0" borderId="15" xfId="0" applyFont="1" applyBorder="1">
      <alignment vertical="center"/>
    </xf>
    <xf numFmtId="0" fontId="44" fillId="0" borderId="16" xfId="0" applyFont="1" applyBorder="1">
      <alignment vertical="center"/>
    </xf>
    <xf numFmtId="0" fontId="44" fillId="0" borderId="7" xfId="0" applyFont="1" applyBorder="1">
      <alignment vertical="center"/>
    </xf>
    <xf numFmtId="0" fontId="44" fillId="0" borderId="9" xfId="0" applyFont="1" applyBorder="1">
      <alignment vertical="center"/>
    </xf>
    <xf numFmtId="0" fontId="44" fillId="0" borderId="10" xfId="0" applyFont="1" applyBorder="1">
      <alignment vertical="center"/>
    </xf>
    <xf numFmtId="0" fontId="44" fillId="0" borderId="11" xfId="0" applyFont="1" applyBorder="1">
      <alignment vertical="center"/>
    </xf>
    <xf numFmtId="0" fontId="44" fillId="0" borderId="12" xfId="0" applyFont="1" applyBorder="1">
      <alignment vertical="center"/>
    </xf>
    <xf numFmtId="0" fontId="44" fillId="28" borderId="37" xfId="0" applyFont="1" applyFill="1" applyBorder="1" applyAlignment="1">
      <alignment horizontal="center" vertical="center"/>
    </xf>
    <xf numFmtId="0" fontId="44" fillId="28" borderId="38" xfId="0" applyFont="1" applyFill="1" applyBorder="1" applyAlignment="1">
      <alignment horizontal="center" vertical="center"/>
    </xf>
    <xf numFmtId="0" fontId="44" fillId="29" borderId="8" xfId="0" applyFont="1" applyFill="1" applyBorder="1">
      <alignment vertical="center"/>
    </xf>
    <xf numFmtId="0" fontId="44" fillId="29" borderId="0" xfId="0" applyFont="1" applyFill="1">
      <alignment vertical="center"/>
    </xf>
    <xf numFmtId="0" fontId="44" fillId="29" borderId="7" xfId="0" applyFont="1" applyFill="1" applyBorder="1">
      <alignment vertical="center"/>
    </xf>
    <xf numFmtId="0" fontId="45" fillId="0" borderId="8" xfId="0" applyFont="1" applyBorder="1">
      <alignment vertical="center"/>
    </xf>
    <xf numFmtId="0" fontId="44" fillId="29" borderId="32" xfId="0" applyFont="1" applyFill="1" applyBorder="1">
      <alignment vertical="center"/>
    </xf>
    <xf numFmtId="0" fontId="44" fillId="0" borderId="32" xfId="0" applyFont="1" applyBorder="1">
      <alignment vertical="center"/>
    </xf>
    <xf numFmtId="0" fontId="44" fillId="29" borderId="9" xfId="0" applyFont="1" applyFill="1" applyBorder="1">
      <alignment vertical="center"/>
    </xf>
    <xf numFmtId="0" fontId="46" fillId="29" borderId="8" xfId="0" applyFont="1" applyFill="1" applyBorder="1">
      <alignment vertical="center"/>
    </xf>
    <xf numFmtId="0" fontId="47" fillId="0" borderId="8" xfId="0" applyFont="1" applyBorder="1">
      <alignment vertical="center"/>
    </xf>
    <xf numFmtId="0" fontId="48" fillId="0" borderId="0" xfId="0" applyFont="1">
      <alignment vertical="center"/>
    </xf>
    <xf numFmtId="0" fontId="48" fillId="0" borderId="8" xfId="0" applyFont="1" applyBorder="1">
      <alignment vertical="center"/>
    </xf>
    <xf numFmtId="0" fontId="48" fillId="0" borderId="5" xfId="0" applyFont="1" applyBorder="1">
      <alignment vertical="center"/>
    </xf>
    <xf numFmtId="0" fontId="49" fillId="29" borderId="1" xfId="0" applyFont="1" applyFill="1" applyBorder="1" applyAlignment="1">
      <alignment horizontal="center" vertical="center"/>
    </xf>
    <xf numFmtId="0" fontId="49" fillId="29" borderId="2" xfId="0" applyFont="1" applyFill="1" applyBorder="1" applyAlignment="1">
      <alignment horizontal="center" vertical="center"/>
    </xf>
    <xf numFmtId="0" fontId="49" fillId="29" borderId="3" xfId="0" applyFont="1" applyFill="1" applyBorder="1" applyAlignment="1">
      <alignment horizontal="center" vertical="center"/>
    </xf>
    <xf numFmtId="0" fontId="44" fillId="0" borderId="39" xfId="0" applyFont="1" applyBorder="1">
      <alignment vertical="center"/>
    </xf>
    <xf numFmtId="0" fontId="44" fillId="0" borderId="13" xfId="0" applyFont="1" applyBorder="1">
      <alignment vertical="center"/>
    </xf>
    <xf numFmtId="0" fontId="44" fillId="0" borderId="35" xfId="0" applyFont="1" applyBorder="1">
      <alignment vertical="center"/>
    </xf>
    <xf numFmtId="0" fontId="44" fillId="0" borderId="40" xfId="0" applyFont="1" applyBorder="1">
      <alignment vertical="center"/>
    </xf>
    <xf numFmtId="0" fontId="44" fillId="0" borderId="30" xfId="0" applyFont="1" applyBorder="1">
      <alignment vertical="center"/>
    </xf>
    <xf numFmtId="0" fontId="48" fillId="30" borderId="0" xfId="0" applyFont="1" applyFill="1">
      <alignment vertical="center"/>
    </xf>
    <xf numFmtId="0" fontId="5" fillId="0" borderId="8" xfId="0" applyFont="1" applyBorder="1">
      <alignment vertical="center"/>
    </xf>
    <xf numFmtId="49" fontId="44" fillId="0" borderId="15" xfId="0" applyNumberFormat="1" applyFont="1" applyBorder="1">
      <alignment vertical="center"/>
    </xf>
    <xf numFmtId="49" fontId="44" fillId="0" borderId="8" xfId="0" applyNumberFormat="1" applyFont="1" applyBorder="1">
      <alignment vertical="center"/>
    </xf>
    <xf numFmtId="49" fontId="44" fillId="0" borderId="0" xfId="0" applyNumberFormat="1" applyFont="1">
      <alignment vertical="center"/>
    </xf>
    <xf numFmtId="49" fontId="44" fillId="28" borderId="37" xfId="0" applyNumberFormat="1" applyFont="1" applyFill="1" applyBorder="1" applyAlignment="1">
      <alignment horizontal="center" vertical="center"/>
    </xf>
    <xf numFmtId="49" fontId="44" fillId="0" borderId="11" xfId="0" applyNumberFormat="1" applyFont="1" applyBorder="1">
      <alignment vertical="center"/>
    </xf>
    <xf numFmtId="49" fontId="44" fillId="29" borderId="8" xfId="0" applyNumberFormat="1" applyFont="1" applyFill="1" applyBorder="1">
      <alignment vertical="center"/>
    </xf>
    <xf numFmtId="49" fontId="44" fillId="0" borderId="13" xfId="0" applyNumberFormat="1" applyFont="1" applyBorder="1">
      <alignment vertical="center"/>
    </xf>
    <xf numFmtId="0" fontId="44" fillId="0" borderId="33" xfId="0" applyFont="1" applyBorder="1">
      <alignment vertical="center"/>
    </xf>
    <xf numFmtId="0" fontId="44" fillId="0" borderId="41" xfId="0" applyFont="1" applyBorder="1">
      <alignment vertical="center"/>
    </xf>
    <xf numFmtId="0" fontId="44" fillId="0" borderId="34" xfId="0" applyFont="1" applyBorder="1">
      <alignment vertical="center"/>
    </xf>
    <xf numFmtId="0" fontId="44" fillId="0" borderId="43" xfId="0" applyFont="1" applyBorder="1">
      <alignment vertical="center"/>
    </xf>
    <xf numFmtId="0" fontId="44" fillId="29" borderId="4" xfId="0" applyFont="1" applyFill="1" applyBorder="1">
      <alignment vertical="center"/>
    </xf>
    <xf numFmtId="0" fontId="44" fillId="29" borderId="42" xfId="0" applyFont="1" applyFill="1" applyBorder="1">
      <alignment vertical="center"/>
    </xf>
    <xf numFmtId="49" fontId="44" fillId="29" borderId="5" xfId="0" applyNumberFormat="1" applyFont="1" applyFill="1" applyBorder="1">
      <alignment vertical="center"/>
    </xf>
    <xf numFmtId="0" fontId="44" fillId="29" borderId="5" xfId="0" applyFont="1" applyFill="1" applyBorder="1">
      <alignment vertical="center"/>
    </xf>
    <xf numFmtId="0" fontId="44" fillId="29" borderId="6" xfId="0" applyFont="1" applyFill="1" applyBorder="1">
      <alignment vertical="center"/>
    </xf>
    <xf numFmtId="0" fontId="48" fillId="0" borderId="0" xfId="0" applyFont="1" applyBorder="1">
      <alignment vertical="center"/>
    </xf>
    <xf numFmtId="0" fontId="48" fillId="0" borderId="30" xfId="0" applyFont="1" applyBorder="1">
      <alignment vertical="center"/>
    </xf>
    <xf numFmtId="0" fontId="50" fillId="31" borderId="1" xfId="0" applyFont="1" applyFill="1" applyBorder="1" applyAlignment="1">
      <alignment horizontal="center" vertical="center"/>
    </xf>
    <xf numFmtId="0" fontId="50" fillId="31" borderId="2" xfId="0" applyFont="1" applyFill="1" applyBorder="1" applyAlignment="1">
      <alignment horizontal="center" vertical="center"/>
    </xf>
    <xf numFmtId="0" fontId="50" fillId="31" borderId="3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Fill="1" applyBorder="1">
      <alignment vertical="center"/>
    </xf>
    <xf numFmtId="0" fontId="0" fillId="0" borderId="44" xfId="0" applyFill="1" applyBorder="1" applyAlignment="1"/>
    <xf numFmtId="0" fontId="0" fillId="0" borderId="17" xfId="0" applyFill="1" applyBorder="1" applyAlignment="1"/>
    <xf numFmtId="0" fontId="51" fillId="0" borderId="8" xfId="383" applyBorder="1" applyAlignment="1">
      <alignment horizontal="center" vertical="center"/>
    </xf>
    <xf numFmtId="0" fontId="47" fillId="32" borderId="8" xfId="0" applyFont="1" applyFill="1" applyBorder="1">
      <alignment vertical="center"/>
    </xf>
    <xf numFmtId="0" fontId="48" fillId="32" borderId="8" xfId="0" applyFont="1" applyFill="1" applyBorder="1">
      <alignment vertical="center"/>
    </xf>
    <xf numFmtId="0" fontId="48" fillId="32" borderId="0" xfId="0" applyFont="1" applyFill="1">
      <alignment vertical="center"/>
    </xf>
    <xf numFmtId="0" fontId="47" fillId="0" borderId="5" xfId="0" applyFont="1" applyBorder="1">
      <alignment vertical="center"/>
    </xf>
    <xf numFmtId="0" fontId="43" fillId="0" borderId="8" xfId="0" applyFont="1" applyBorder="1" applyAlignment="1">
      <alignment horizontal="center" vertical="center"/>
    </xf>
    <xf numFmtId="0" fontId="52" fillId="32" borderId="8" xfId="0" applyFont="1" applyFill="1" applyBorder="1" applyAlignment="1">
      <alignment horizontal="center" vertical="center"/>
    </xf>
    <xf numFmtId="0" fontId="43" fillId="0" borderId="8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3" fillId="0" borderId="8" xfId="0" applyFont="1" applyFill="1" applyBorder="1" applyAlignment="1" applyProtection="1">
      <alignment horizontal="center" vertical="center" wrapText="1"/>
      <protection locked="0"/>
    </xf>
    <xf numFmtId="0" fontId="53" fillId="0" borderId="51" xfId="0" applyFont="1" applyFill="1" applyBorder="1" applyAlignment="1" applyProtection="1">
      <alignment horizontal="center" vertical="center" wrapText="1"/>
      <protection locked="0"/>
    </xf>
    <xf numFmtId="0" fontId="53" fillId="0" borderId="30" xfId="1" applyFont="1" applyFill="1" applyBorder="1" applyAlignment="1" applyProtection="1">
      <alignment horizontal="center" vertical="center" wrapText="1"/>
      <protection locked="0"/>
    </xf>
    <xf numFmtId="0" fontId="53" fillId="0" borderId="45" xfId="1" applyFont="1" applyFill="1" applyBorder="1" applyAlignment="1" applyProtection="1">
      <alignment horizontal="center" vertical="center" wrapText="1"/>
      <protection locked="0"/>
    </xf>
    <xf numFmtId="0" fontId="53" fillId="0" borderId="46" xfId="1" applyFont="1" applyFill="1" applyBorder="1" applyAlignment="1" applyProtection="1">
      <alignment horizontal="center" vertical="center" wrapText="1"/>
      <protection locked="0"/>
    </xf>
    <xf numFmtId="0" fontId="53" fillId="0" borderId="46" xfId="0" applyFont="1" applyFill="1" applyBorder="1" applyAlignment="1" applyProtection="1">
      <alignment horizontal="center" vertical="center" wrapText="1"/>
      <protection locked="0"/>
    </xf>
    <xf numFmtId="0" fontId="53" fillId="0" borderId="30" xfId="0" applyFont="1" applyFill="1" applyBorder="1" applyAlignment="1" applyProtection="1">
      <alignment horizontal="center" vertical="center" wrapText="1"/>
      <protection locked="0"/>
    </xf>
    <xf numFmtId="0" fontId="54" fillId="0" borderId="43" xfId="0" applyFont="1" applyFill="1" applyBorder="1" applyAlignment="1" applyProtection="1">
      <alignment horizontal="center" vertical="center" wrapText="1"/>
      <protection locked="0"/>
    </xf>
    <xf numFmtId="0" fontId="53" fillId="33" borderId="38" xfId="384" applyFont="1" applyFill="1" applyBorder="1" applyAlignment="1">
      <alignment horizontal="center" vertical="center" wrapText="1"/>
    </xf>
    <xf numFmtId="185" fontId="53" fillId="32" borderId="2" xfId="384" applyNumberFormat="1" applyFont="1" applyFill="1" applyBorder="1" applyAlignment="1">
      <alignment horizontal="center" vertical="center" wrapText="1"/>
    </xf>
    <xf numFmtId="9" fontId="53" fillId="34" borderId="52" xfId="31" applyFont="1" applyFill="1" applyBorder="1" applyAlignment="1">
      <alignment horizontal="center" vertical="center" wrapText="1"/>
    </xf>
    <xf numFmtId="0" fontId="53" fillId="0" borderId="0" xfId="384" applyFont="1" applyBorder="1" applyAlignment="1">
      <alignment horizontal="center" vertical="center" wrapText="1"/>
    </xf>
    <xf numFmtId="0" fontId="53" fillId="0" borderId="0" xfId="384" quotePrefix="1" applyFont="1" applyBorder="1" applyAlignment="1">
      <alignment horizontal="center" vertical="center" wrapText="1"/>
    </xf>
    <xf numFmtId="0" fontId="55" fillId="0" borderId="0" xfId="0" applyFont="1" applyAlignment="1">
      <alignment vertical="center" wrapText="1"/>
    </xf>
    <xf numFmtId="0" fontId="13" fillId="35" borderId="53" xfId="384" applyFont="1" applyFill="1" applyBorder="1" applyAlignment="1">
      <alignment horizontal="left" vertical="center" wrapText="1"/>
    </xf>
    <xf numFmtId="49" fontId="48" fillId="0" borderId="0" xfId="0" applyNumberFormat="1" applyFont="1">
      <alignment vertical="center"/>
    </xf>
    <xf numFmtId="0" fontId="47" fillId="28" borderId="8" xfId="0" applyFont="1" applyFill="1" applyBorder="1">
      <alignment vertical="center"/>
    </xf>
    <xf numFmtId="0" fontId="14" fillId="0" borderId="8" xfId="2" applyFont="1" applyBorder="1" applyAlignment="1">
      <alignment horizontal="center" vertical="center" wrapText="1"/>
    </xf>
    <xf numFmtId="0" fontId="12" fillId="0" borderId="13" xfId="0" applyFont="1" applyFill="1" applyBorder="1" applyAlignment="1" applyProtection="1">
      <alignment horizontal="center" vertical="center" wrapText="1"/>
      <protection locked="0"/>
    </xf>
    <xf numFmtId="0" fontId="51" fillId="0" borderId="13" xfId="383" applyBorder="1" applyAlignment="1">
      <alignment horizontal="center" vertical="center"/>
    </xf>
    <xf numFmtId="0" fontId="12" fillId="0" borderId="5" xfId="0" applyFont="1" applyFill="1" applyBorder="1" applyAlignment="1" applyProtection="1">
      <alignment horizontal="center" vertical="center" wrapText="1"/>
      <protection locked="0"/>
    </xf>
    <xf numFmtId="0" fontId="51" fillId="0" borderId="5" xfId="383" applyBorder="1" applyAlignment="1">
      <alignment horizontal="center" vertical="center"/>
    </xf>
    <xf numFmtId="0" fontId="12" fillId="0" borderId="15" xfId="0" applyFont="1" applyFill="1" applyBorder="1" applyAlignment="1" applyProtection="1">
      <alignment horizontal="center" vertical="center" wrapText="1"/>
      <protection locked="0"/>
    </xf>
    <xf numFmtId="0" fontId="51" fillId="0" borderId="15" xfId="383" applyBorder="1" applyAlignment="1">
      <alignment horizontal="center" vertical="center"/>
    </xf>
    <xf numFmtId="0" fontId="12" fillId="0" borderId="11" xfId="0" applyFont="1" applyFill="1" applyBorder="1" applyAlignment="1" applyProtection="1">
      <alignment horizontal="center" vertical="center" wrapText="1"/>
      <protection locked="0"/>
    </xf>
    <xf numFmtId="0" fontId="51" fillId="0" borderId="11" xfId="383" applyBorder="1" applyAlignment="1">
      <alignment horizontal="center" vertical="center"/>
    </xf>
    <xf numFmtId="0" fontId="14" fillId="0" borderId="31" xfId="2" applyFont="1" applyBorder="1" applyAlignment="1">
      <alignment horizontal="center" vertical="center" wrapText="1"/>
    </xf>
    <xf numFmtId="0" fontId="14" fillId="0" borderId="13" xfId="2" applyFont="1" applyBorder="1" applyAlignment="1">
      <alignment horizontal="center" vertical="center" wrapText="1"/>
    </xf>
    <xf numFmtId="0" fontId="14" fillId="0" borderId="15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53" fillId="0" borderId="13" xfId="0" applyFont="1" applyFill="1" applyBorder="1" applyAlignment="1" applyProtection="1">
      <alignment horizontal="center" vertical="center" wrapText="1"/>
      <protection locked="0"/>
    </xf>
    <xf numFmtId="0" fontId="14" fillId="0" borderId="55" xfId="2" applyFont="1" applyBorder="1" applyAlignment="1">
      <alignment horizontal="center" vertical="center" wrapText="1"/>
    </xf>
    <xf numFmtId="0" fontId="53" fillId="0" borderId="5" xfId="0" applyFont="1" applyFill="1" applyBorder="1" applyAlignment="1" applyProtection="1">
      <alignment horizontal="center" vertical="center" wrapText="1"/>
      <protection locked="0"/>
    </xf>
    <xf numFmtId="0" fontId="14" fillId="0" borderId="5" xfId="2" applyFont="1" applyBorder="1" applyAlignment="1">
      <alignment horizontal="center" vertical="center" wrapText="1"/>
    </xf>
    <xf numFmtId="0" fontId="53" fillId="0" borderId="15" xfId="0" applyFont="1" applyFill="1" applyBorder="1" applyAlignment="1" applyProtection="1">
      <alignment horizontal="center" vertical="center" wrapText="1"/>
      <protection locked="0"/>
    </xf>
    <xf numFmtId="0" fontId="53" fillId="0" borderId="11" xfId="0" applyFont="1" applyFill="1" applyBorder="1" applyAlignment="1" applyProtection="1">
      <alignment horizontal="center" vertical="center" wrapText="1"/>
      <protection locked="0"/>
    </xf>
    <xf numFmtId="49" fontId="14" fillId="0" borderId="5" xfId="2" applyNumberFormat="1" applyFont="1" applyBorder="1" applyAlignment="1">
      <alignment horizontal="left" vertical="center" wrapText="1"/>
    </xf>
    <xf numFmtId="49" fontId="42" fillId="0" borderId="56" xfId="2" applyNumberFormat="1" applyFont="1" applyBorder="1" applyAlignment="1">
      <alignment horizontal="left" vertical="center" wrapText="1"/>
    </xf>
    <xf numFmtId="0" fontId="14" fillId="0" borderId="51" xfId="2" applyFont="1" applyBorder="1" applyAlignment="1">
      <alignment horizontal="center" vertical="center" wrapText="1"/>
    </xf>
    <xf numFmtId="0" fontId="48" fillId="0" borderId="32" xfId="0" applyFont="1" applyBorder="1">
      <alignment vertical="center"/>
    </xf>
    <xf numFmtId="0" fontId="15" fillId="28" borderId="8" xfId="0" applyFont="1" applyFill="1" applyBorder="1">
      <alignment vertical="center"/>
    </xf>
    <xf numFmtId="0" fontId="14" fillId="0" borderId="58" xfId="2" applyFont="1" applyBorder="1" applyAlignment="1">
      <alignment horizontal="center" vertical="center" wrapText="1"/>
    </xf>
    <xf numFmtId="0" fontId="14" fillId="0" borderId="56" xfId="2" applyFont="1" applyBorder="1" applyAlignment="1">
      <alignment horizontal="center" vertical="center" wrapText="1"/>
    </xf>
    <xf numFmtId="0" fontId="56" fillId="0" borderId="15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57" fillId="0" borderId="0" xfId="0" applyFont="1">
      <alignment vertical="center"/>
    </xf>
    <xf numFmtId="0" fontId="58" fillId="2" borderId="8" xfId="0" applyFont="1" applyFill="1" applyBorder="1" applyAlignment="1">
      <alignment vertical="top" wrapText="1"/>
    </xf>
    <xf numFmtId="0" fontId="58" fillId="2" borderId="13" xfId="0" applyFont="1" applyFill="1" applyBorder="1" applyAlignment="1">
      <alignment vertical="top" wrapText="1"/>
    </xf>
    <xf numFmtId="0" fontId="58" fillId="2" borderId="15" xfId="0" applyFont="1" applyFill="1" applyBorder="1" applyAlignment="1">
      <alignment vertical="top" wrapText="1"/>
    </xf>
    <xf numFmtId="0" fontId="58" fillId="2" borderId="11" xfId="0" applyFont="1" applyFill="1" applyBorder="1" applyAlignment="1">
      <alignment vertical="top" wrapText="1"/>
    </xf>
    <xf numFmtId="0" fontId="58" fillId="2" borderId="5" xfId="0" applyFont="1" applyFill="1" applyBorder="1" applyAlignment="1">
      <alignment vertical="top" wrapText="1"/>
    </xf>
    <xf numFmtId="0" fontId="58" fillId="0" borderId="8" xfId="0" applyFont="1" applyBorder="1" applyAlignment="1">
      <alignment vertical="top" wrapText="1"/>
    </xf>
    <xf numFmtId="0" fontId="58" fillId="32" borderId="8" xfId="0" applyFont="1" applyFill="1" applyBorder="1" applyAlignment="1">
      <alignment vertical="top" wrapText="1"/>
    </xf>
    <xf numFmtId="0" fontId="58" fillId="0" borderId="15" xfId="0" applyFont="1" applyBorder="1" applyAlignment="1">
      <alignment vertical="top" wrapText="1"/>
    </xf>
    <xf numFmtId="0" fontId="58" fillId="0" borderId="11" xfId="0" applyFont="1" applyBorder="1" applyAlignment="1">
      <alignment vertical="top" wrapText="1"/>
    </xf>
    <xf numFmtId="0" fontId="58" fillId="0" borderId="5" xfId="0" applyFont="1" applyBorder="1" applyAlignment="1">
      <alignment vertical="top" wrapText="1"/>
    </xf>
    <xf numFmtId="0" fontId="58" fillId="0" borderId="8" xfId="0" applyFont="1" applyBorder="1" applyAlignment="1">
      <alignment vertical="center" wrapText="1"/>
    </xf>
    <xf numFmtId="0" fontId="58" fillId="0" borderId="17" xfId="0" applyFont="1" applyBorder="1">
      <alignment vertical="center"/>
    </xf>
    <xf numFmtId="0" fontId="58" fillId="0" borderId="15" xfId="0" applyFont="1" applyBorder="1">
      <alignment vertical="center"/>
    </xf>
    <xf numFmtId="0" fontId="58" fillId="0" borderId="8" xfId="0" quotePrefix="1" applyFont="1" applyBorder="1" applyAlignment="1">
      <alignment vertical="top" wrapText="1"/>
    </xf>
    <xf numFmtId="0" fontId="58" fillId="0" borderId="11" xfId="0" quotePrefix="1" applyFont="1" applyBorder="1" applyAlignment="1">
      <alignment vertical="top" wrapText="1"/>
    </xf>
    <xf numFmtId="0" fontId="58" fillId="0" borderId="8" xfId="0" applyFont="1" applyBorder="1">
      <alignment vertical="center"/>
    </xf>
    <xf numFmtId="0" fontId="12" fillId="0" borderId="8" xfId="0" applyFont="1" applyBorder="1" applyAlignment="1">
      <alignment horizontal="left" vertical="top" wrapText="1"/>
    </xf>
    <xf numFmtId="0" fontId="12" fillId="0" borderId="13" xfId="0" applyFont="1" applyBorder="1" applyAlignment="1">
      <alignment horizontal="left" vertical="top" wrapText="1"/>
    </xf>
    <xf numFmtId="0" fontId="14" fillId="0" borderId="11" xfId="0" applyFont="1" applyBorder="1" applyAlignment="1">
      <alignment horizontal="left" vertical="top" wrapText="1"/>
    </xf>
    <xf numFmtId="49" fontId="58" fillId="0" borderId="54" xfId="0" applyNumberFormat="1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12" fillId="0" borderId="5" xfId="0" applyFont="1" applyBorder="1" applyAlignment="1">
      <alignment horizontal="left" vertical="top" wrapText="1"/>
    </xf>
    <xf numFmtId="49" fontId="58" fillId="0" borderId="13" xfId="0" applyNumberFormat="1" applyFont="1" applyBorder="1" applyAlignment="1">
      <alignment horizontal="left" vertical="top" wrapText="1"/>
    </xf>
    <xf numFmtId="49" fontId="58" fillId="0" borderId="17" xfId="0" applyNumberFormat="1" applyFont="1" applyBorder="1" applyAlignment="1">
      <alignment horizontal="left" vertical="top"/>
    </xf>
    <xf numFmtId="49" fontId="58" fillId="0" borderId="13" xfId="0" applyNumberFormat="1" applyFont="1" applyBorder="1" applyAlignment="1">
      <alignment horizontal="left" vertical="top"/>
    </xf>
    <xf numFmtId="49" fontId="58" fillId="0" borderId="54" xfId="0" applyNumberFormat="1" applyFont="1" applyBorder="1" applyAlignment="1">
      <alignment horizontal="left" vertical="top"/>
    </xf>
    <xf numFmtId="49" fontId="58" fillId="0" borderId="11" xfId="0" applyNumberFormat="1" applyFont="1" applyBorder="1" applyAlignment="1">
      <alignment horizontal="left" vertical="top"/>
    </xf>
    <xf numFmtId="49" fontId="58" fillId="0" borderId="0" xfId="0" applyNumberFormat="1" applyFont="1" applyAlignment="1">
      <alignment horizontal="left" vertical="top"/>
    </xf>
    <xf numFmtId="0" fontId="57" fillId="0" borderId="0" xfId="0" applyFont="1" applyAlignment="1">
      <alignment horizontal="left" vertical="top"/>
    </xf>
    <xf numFmtId="49" fontId="62" fillId="0" borderId="11" xfId="383" applyNumberFormat="1" applyFont="1" applyBorder="1" applyAlignment="1">
      <alignment horizontal="left" vertical="top" wrapText="1"/>
    </xf>
    <xf numFmtId="49" fontId="62" fillId="0" borderId="5" xfId="383" applyNumberFormat="1" applyFont="1" applyBorder="1" applyAlignment="1">
      <alignment horizontal="left" vertical="top" wrapText="1"/>
    </xf>
    <xf numFmtId="49" fontId="62" fillId="0" borderId="15" xfId="383" applyNumberFormat="1" applyFont="1" applyBorder="1" applyAlignment="1">
      <alignment horizontal="left" vertical="top" wrapText="1"/>
    </xf>
    <xf numFmtId="49" fontId="62" fillId="0" borderId="8" xfId="383" applyNumberFormat="1" applyFont="1" applyBorder="1" applyAlignment="1">
      <alignment horizontal="left" vertical="top" wrapText="1"/>
    </xf>
    <xf numFmtId="0" fontId="57" fillId="0" borderId="0" xfId="0" applyFont="1" applyAlignment="1">
      <alignment vertical="top"/>
    </xf>
    <xf numFmtId="0" fontId="58" fillId="0" borderId="8" xfId="0" applyFont="1" applyBorder="1" applyAlignment="1">
      <alignment vertical="top"/>
    </xf>
    <xf numFmtId="0" fontId="58" fillId="0" borderId="13" xfId="0" applyFont="1" applyBorder="1" applyAlignment="1">
      <alignment vertical="top"/>
    </xf>
    <xf numFmtId="0" fontId="58" fillId="0" borderId="15" xfId="0" applyFont="1" applyBorder="1" applyAlignment="1">
      <alignment vertical="top"/>
    </xf>
    <xf numFmtId="0" fontId="58" fillId="0" borderId="11" xfId="0" applyFont="1" applyBorder="1" applyAlignment="1">
      <alignment vertical="top"/>
    </xf>
    <xf numFmtId="0" fontId="58" fillId="0" borderId="5" xfId="0" applyFont="1" applyBorder="1" applyAlignment="1">
      <alignment vertical="top"/>
    </xf>
    <xf numFmtId="0" fontId="62" fillId="0" borderId="8" xfId="383" applyFont="1" applyBorder="1" applyAlignment="1">
      <alignment vertical="top"/>
    </xf>
    <xf numFmtId="0" fontId="58" fillId="0" borderId="17" xfId="0" applyFont="1" applyBorder="1" applyAlignment="1">
      <alignment vertical="top"/>
    </xf>
    <xf numFmtId="0" fontId="63" fillId="0" borderId="0" xfId="383" applyFont="1" applyAlignment="1">
      <alignment horizontal="center" vertical="top"/>
    </xf>
    <xf numFmtId="0" fontId="57" fillId="0" borderId="0" xfId="0" applyFont="1" applyAlignment="1">
      <alignment horizontal="center" vertical="center"/>
    </xf>
    <xf numFmtId="0" fontId="57" fillId="0" borderId="8" xfId="0" applyFont="1" applyBorder="1" applyAlignment="1">
      <alignment horizontal="center" vertical="top"/>
    </xf>
    <xf numFmtId="0" fontId="57" fillId="0" borderId="0" xfId="0" applyFont="1" applyAlignment="1">
      <alignment horizontal="center" vertical="top"/>
    </xf>
    <xf numFmtId="0" fontId="47" fillId="3" borderId="8" xfId="0" applyFont="1" applyFill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62" fillId="0" borderId="8" xfId="383" applyFont="1" applyBorder="1" applyAlignment="1">
      <alignment horizontal="center" vertical="center"/>
    </xf>
    <xf numFmtId="0" fontId="58" fillId="0" borderId="32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top"/>
    </xf>
    <xf numFmtId="176" fontId="58" fillId="0" borderId="13" xfId="0" applyNumberFormat="1" applyFont="1" applyBorder="1" applyAlignment="1">
      <alignment horizontal="center" vertical="center"/>
    </xf>
    <xf numFmtId="14" fontId="58" fillId="0" borderId="8" xfId="0" applyNumberFormat="1" applyFont="1" applyBorder="1" applyAlignment="1">
      <alignment horizontal="center" vertical="top"/>
    </xf>
    <xf numFmtId="0" fontId="12" fillId="0" borderId="8" xfId="0" applyFont="1" applyFill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top"/>
    </xf>
    <xf numFmtId="0" fontId="58" fillId="0" borderId="13" xfId="0" applyFont="1" applyBorder="1" applyAlignment="1">
      <alignment horizontal="center" vertical="center"/>
    </xf>
    <xf numFmtId="0" fontId="58" fillId="0" borderId="41" xfId="0" applyFont="1" applyBorder="1" applyAlignment="1">
      <alignment horizontal="center" vertical="center"/>
    </xf>
    <xf numFmtId="14" fontId="58" fillId="0" borderId="13" xfId="0" applyNumberFormat="1" applyFont="1" applyBorder="1" applyAlignment="1">
      <alignment horizontal="center" vertical="top"/>
    </xf>
    <xf numFmtId="0" fontId="12" fillId="0" borderId="13" xfId="0" applyFont="1" applyFill="1" applyBorder="1" applyAlignment="1">
      <alignment horizontal="center" vertical="center" wrapText="1"/>
    </xf>
    <xf numFmtId="0" fontId="58" fillId="0" borderId="33" xfId="0" applyFont="1" applyBorder="1" applyAlignment="1">
      <alignment horizontal="center" vertical="center"/>
    </xf>
    <xf numFmtId="0" fontId="58" fillId="0" borderId="15" xfId="0" applyFont="1" applyBorder="1" applyAlignment="1">
      <alignment horizontal="center" vertical="top"/>
    </xf>
    <xf numFmtId="176" fontId="58" fillId="0" borderId="54" xfId="0" applyNumberFormat="1" applyFont="1" applyBorder="1" applyAlignment="1">
      <alignment horizontal="center" vertical="center"/>
    </xf>
    <xf numFmtId="14" fontId="58" fillId="0" borderId="15" xfId="0" applyNumberFormat="1" applyFont="1" applyBorder="1" applyAlignment="1">
      <alignment horizontal="center" vertical="top"/>
    </xf>
    <xf numFmtId="0" fontId="12" fillId="0" borderId="15" xfId="0" applyFont="1" applyFill="1" applyBorder="1" applyAlignment="1">
      <alignment horizontal="center" vertical="center" wrapText="1"/>
    </xf>
    <xf numFmtId="0" fontId="58" fillId="0" borderId="15" xfId="0" applyFont="1" applyBorder="1" applyAlignment="1">
      <alignment horizontal="center" vertical="center"/>
    </xf>
    <xf numFmtId="0" fontId="58" fillId="0" borderId="36" xfId="0" applyFont="1" applyBorder="1" applyAlignment="1">
      <alignment horizontal="center" vertical="top"/>
    </xf>
    <xf numFmtId="0" fontId="58" fillId="0" borderId="34" xfId="0" applyFont="1" applyBorder="1" applyAlignment="1">
      <alignment horizontal="center" vertical="center"/>
    </xf>
    <xf numFmtId="0" fontId="58" fillId="0" borderId="11" xfId="0" applyFont="1" applyBorder="1" applyAlignment="1">
      <alignment horizontal="center" vertical="top"/>
    </xf>
    <xf numFmtId="176" fontId="58" fillId="0" borderId="11" xfId="0" applyNumberFormat="1" applyFont="1" applyBorder="1" applyAlignment="1">
      <alignment horizontal="center" vertical="center"/>
    </xf>
    <xf numFmtId="14" fontId="58" fillId="0" borderId="11" xfId="0" applyNumberFormat="1" applyFont="1" applyBorder="1" applyAlignment="1">
      <alignment horizontal="center" vertical="top"/>
    </xf>
    <xf numFmtId="0" fontId="12" fillId="0" borderId="11" xfId="0" applyFont="1" applyFill="1" applyBorder="1" applyAlignment="1">
      <alignment horizontal="center" vertical="center" wrapText="1"/>
    </xf>
    <xf numFmtId="0" fontId="58" fillId="0" borderId="11" xfId="0" applyFont="1" applyBorder="1" applyAlignment="1">
      <alignment horizontal="center" vertical="center"/>
    </xf>
    <xf numFmtId="0" fontId="58" fillId="0" borderId="12" xfId="0" applyFont="1" applyBorder="1" applyAlignment="1">
      <alignment horizontal="center" vertical="top"/>
    </xf>
    <xf numFmtId="176" fontId="58" fillId="0" borderId="15" xfId="0" applyNumberFormat="1" applyFont="1" applyBorder="1" applyAlignment="1">
      <alignment horizontal="center" vertical="center"/>
    </xf>
    <xf numFmtId="0" fontId="58" fillId="0" borderId="16" xfId="0" applyFont="1" applyBorder="1" applyAlignment="1">
      <alignment horizontal="center" vertical="top"/>
    </xf>
    <xf numFmtId="0" fontId="62" fillId="0" borderId="5" xfId="383" applyFont="1" applyBorder="1" applyAlignment="1">
      <alignment horizontal="center" vertical="center"/>
    </xf>
    <xf numFmtId="0" fontId="58" fillId="0" borderId="42" xfId="0" applyFont="1" applyBorder="1" applyAlignment="1">
      <alignment horizontal="center" vertical="center"/>
    </xf>
    <xf numFmtId="0" fontId="58" fillId="0" borderId="5" xfId="0" applyFont="1" applyBorder="1" applyAlignment="1">
      <alignment horizontal="center" vertical="top"/>
    </xf>
    <xf numFmtId="176" fontId="58" fillId="0" borderId="17" xfId="0" applyNumberFormat="1" applyFont="1" applyBorder="1" applyAlignment="1">
      <alignment horizontal="center" vertical="center"/>
    </xf>
    <xf numFmtId="14" fontId="58" fillId="0" borderId="5" xfId="0" applyNumberFormat="1" applyFont="1" applyBorder="1" applyAlignment="1">
      <alignment horizontal="center" vertical="top"/>
    </xf>
    <xf numFmtId="0" fontId="12" fillId="0" borderId="5" xfId="0" applyFont="1" applyFill="1" applyBorder="1" applyAlignment="1">
      <alignment horizontal="center" vertical="center" wrapText="1"/>
    </xf>
    <xf numFmtId="0" fontId="58" fillId="0" borderId="5" xfId="0" applyFont="1" applyBorder="1" applyAlignment="1">
      <alignment horizontal="center" vertical="center"/>
    </xf>
    <xf numFmtId="0" fontId="58" fillId="0" borderId="57" xfId="0" applyFont="1" applyBorder="1" applyAlignment="1">
      <alignment horizontal="center" vertical="top"/>
    </xf>
    <xf numFmtId="0" fontId="58" fillId="0" borderId="35" xfId="0" applyFont="1" applyBorder="1" applyAlignment="1">
      <alignment horizontal="center" vertical="top"/>
    </xf>
    <xf numFmtId="176" fontId="58" fillId="0" borderId="8" xfId="0" applyNumberFormat="1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top"/>
    </xf>
    <xf numFmtId="0" fontId="58" fillId="0" borderId="17" xfId="0" applyFont="1" applyBorder="1" applyAlignment="1">
      <alignment horizontal="center" vertical="top"/>
    </xf>
    <xf numFmtId="0" fontId="58" fillId="0" borderId="8" xfId="0" applyFont="1" applyBorder="1" applyAlignment="1">
      <alignment horizontal="left" vertical="center"/>
    </xf>
    <xf numFmtId="0" fontId="58" fillId="0" borderId="13" xfId="0" applyFont="1" applyBorder="1" applyAlignment="1">
      <alignment horizontal="left" vertical="center"/>
    </xf>
    <xf numFmtId="0" fontId="58" fillId="0" borderId="15" xfId="0" applyFont="1" applyBorder="1" applyAlignment="1">
      <alignment horizontal="left" vertical="center"/>
    </xf>
    <xf numFmtId="176" fontId="58" fillId="0" borderId="36" xfId="0" applyNumberFormat="1" applyFont="1" applyBorder="1" applyAlignment="1">
      <alignment horizontal="center" vertical="center"/>
    </xf>
    <xf numFmtId="14" fontId="58" fillId="0" borderId="32" xfId="0" applyNumberFormat="1" applyFont="1" applyBorder="1" applyAlignment="1">
      <alignment horizontal="center" vertical="top"/>
    </xf>
    <xf numFmtId="176" fontId="58" fillId="0" borderId="35" xfId="0" applyNumberFormat="1" applyFont="1" applyBorder="1" applyAlignment="1">
      <alignment horizontal="center" vertical="center"/>
    </xf>
    <xf numFmtId="0" fontId="58" fillId="0" borderId="11" xfId="0" applyFont="1" applyBorder="1">
      <alignment vertical="center"/>
    </xf>
    <xf numFmtId="176" fontId="58" fillId="0" borderId="12" xfId="0" applyNumberFormat="1" applyFont="1" applyBorder="1" applyAlignment="1">
      <alignment horizontal="center" vertical="center"/>
    </xf>
    <xf numFmtId="0" fontId="58" fillId="0" borderId="5" xfId="0" applyFont="1" applyBorder="1">
      <alignment vertical="center"/>
    </xf>
    <xf numFmtId="0" fontId="58" fillId="0" borderId="17" xfId="0" applyFont="1" applyBorder="1" applyAlignment="1">
      <alignment horizontal="center" vertical="center"/>
    </xf>
    <xf numFmtId="0" fontId="53" fillId="0" borderId="43" xfId="0" applyFont="1" applyFill="1" applyBorder="1" applyAlignment="1" applyProtection="1">
      <alignment horizontal="center" vertical="center" wrapText="1"/>
      <protection locked="0"/>
    </xf>
    <xf numFmtId="0" fontId="58" fillId="0" borderId="47" xfId="0" applyFont="1" applyBorder="1" applyAlignment="1">
      <alignment horizontal="center" vertical="center"/>
    </xf>
    <xf numFmtId="0" fontId="58" fillId="0" borderId="0" xfId="0" applyFont="1">
      <alignment vertical="center"/>
    </xf>
    <xf numFmtId="14" fontId="58" fillId="0" borderId="17" xfId="0" applyNumberFormat="1" applyFont="1" applyBorder="1" applyAlignment="1">
      <alignment horizontal="center" vertical="top"/>
    </xf>
    <xf numFmtId="0" fontId="58" fillId="0" borderId="17" xfId="0" applyFont="1" applyBorder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14" fillId="0" borderId="59" xfId="2" applyFont="1" applyBorder="1" applyAlignment="1">
      <alignment horizontal="center" vertical="center" wrapText="1"/>
    </xf>
    <xf numFmtId="0" fontId="47" fillId="3" borderId="13" xfId="0" applyFont="1" applyFill="1" applyBorder="1" applyAlignment="1">
      <alignment horizontal="center" vertical="center"/>
    </xf>
    <xf numFmtId="0" fontId="58" fillId="0" borderId="11" xfId="0" applyFont="1" applyBorder="1" applyAlignment="1">
      <alignment horizontal="center" vertical="top" wrapText="1"/>
    </xf>
    <xf numFmtId="0" fontId="51" fillId="0" borderId="5" xfId="383" applyBorder="1" applyAlignment="1">
      <alignment horizontal="left" vertical="top" wrapText="1"/>
    </xf>
    <xf numFmtId="0" fontId="58" fillId="0" borderId="8" xfId="0" applyFont="1" applyBorder="1" applyAlignment="1">
      <alignment horizontal="center" vertical="top" wrapText="1"/>
    </xf>
    <xf numFmtId="0" fontId="58" fillId="36" borderId="11" xfId="0" applyFont="1" applyFill="1" applyBorder="1" applyAlignment="1">
      <alignment vertical="top" wrapText="1"/>
    </xf>
    <xf numFmtId="0" fontId="58" fillId="0" borderId="15" xfId="0" applyFont="1" applyBorder="1" applyAlignment="1">
      <alignment horizontal="center" vertical="top" wrapText="1"/>
    </xf>
    <xf numFmtId="0" fontId="58" fillId="36" borderId="8" xfId="0" applyFont="1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4" fillId="36" borderId="8" xfId="0" applyFont="1" applyFill="1" applyBorder="1" applyAlignment="1">
      <alignment vertical="top" wrapText="1"/>
    </xf>
    <xf numFmtId="0" fontId="47" fillId="2" borderId="8" xfId="0" applyFont="1" applyFill="1" applyBorder="1">
      <alignment vertical="center"/>
    </xf>
    <xf numFmtId="0" fontId="15" fillId="2" borderId="8" xfId="0" applyFont="1" applyFill="1" applyBorder="1">
      <alignment vertical="center"/>
    </xf>
    <xf numFmtId="0" fontId="51" fillId="0" borderId="8" xfId="383" applyBorder="1" applyAlignment="1">
      <alignment horizontal="left" vertical="top" wrapText="1"/>
    </xf>
    <xf numFmtId="0" fontId="51" fillId="0" borderId="8" xfId="383" applyFill="1" applyBorder="1" applyAlignment="1">
      <alignment horizontal="center" vertical="center"/>
    </xf>
    <xf numFmtId="0" fontId="62" fillId="0" borderId="8" xfId="383" applyFont="1" applyFill="1" applyBorder="1" applyAlignment="1">
      <alignment horizontal="center" vertical="center"/>
    </xf>
    <xf numFmtId="0" fontId="58" fillId="0" borderId="32" xfId="0" applyFont="1" applyFill="1" applyBorder="1" applyAlignment="1">
      <alignment horizontal="center" vertical="center"/>
    </xf>
    <xf numFmtId="0" fontId="14" fillId="0" borderId="8" xfId="2" applyFont="1" applyFill="1" applyBorder="1" applyAlignment="1">
      <alignment horizontal="center" vertical="center" wrapText="1"/>
    </xf>
    <xf numFmtId="0" fontId="58" fillId="0" borderId="8" xfId="0" applyFont="1" applyFill="1" applyBorder="1" applyAlignment="1">
      <alignment horizontal="center" vertical="top"/>
    </xf>
    <xf numFmtId="0" fontId="58" fillId="0" borderId="8" xfId="0" applyFont="1" applyFill="1" applyBorder="1" applyAlignment="1">
      <alignment vertical="top"/>
    </xf>
    <xf numFmtId="0" fontId="58" fillId="0" borderId="8" xfId="0" applyFont="1" applyFill="1" applyBorder="1" applyAlignment="1">
      <alignment vertical="top" wrapText="1"/>
    </xf>
    <xf numFmtId="49" fontId="58" fillId="0" borderId="13" xfId="0" applyNumberFormat="1" applyFont="1" applyFill="1" applyBorder="1" applyAlignment="1">
      <alignment horizontal="left" vertical="top" wrapText="1"/>
    </xf>
    <xf numFmtId="176" fontId="58" fillId="0" borderId="13" xfId="0" applyNumberFormat="1" applyFont="1" applyFill="1" applyBorder="1" applyAlignment="1">
      <alignment horizontal="center" vertical="center"/>
    </xf>
    <xf numFmtId="14" fontId="58" fillId="0" borderId="8" xfId="0" applyNumberFormat="1" applyFont="1" applyFill="1" applyBorder="1" applyAlignment="1">
      <alignment horizontal="center" vertical="top"/>
    </xf>
    <xf numFmtId="0" fontId="58" fillId="0" borderId="8" xfId="0" applyFont="1" applyFill="1" applyBorder="1" applyAlignment="1">
      <alignment horizontal="center" vertical="center"/>
    </xf>
    <xf numFmtId="0" fontId="58" fillId="0" borderId="35" xfId="0" applyFont="1" applyFill="1" applyBorder="1" applyAlignment="1">
      <alignment horizontal="center" vertical="top"/>
    </xf>
    <xf numFmtId="0" fontId="0" fillId="0" borderId="0" xfId="0" applyFill="1">
      <alignment vertical="center"/>
    </xf>
    <xf numFmtId="0" fontId="12" fillId="0" borderId="8" xfId="0" applyFont="1" applyBorder="1" applyAlignment="1">
      <alignment vertical="center" wrapText="1"/>
    </xf>
    <xf numFmtId="49" fontId="42" fillId="0" borderId="31" xfId="2" applyNumberFormat="1" applyFont="1" applyFill="1" applyBorder="1" applyAlignment="1">
      <alignment horizontal="left" vertical="center" wrapText="1"/>
    </xf>
    <xf numFmtId="49" fontId="59" fillId="0" borderId="13" xfId="0" applyNumberFormat="1" applyFont="1" applyFill="1" applyBorder="1" applyAlignment="1">
      <alignment horizontal="left" vertical="top"/>
    </xf>
    <xf numFmtId="0" fontId="12" fillId="0" borderId="8" xfId="0" quotePrefix="1" applyFont="1" applyBorder="1" applyAlignment="1">
      <alignment horizontal="left" vertical="top" wrapText="1"/>
    </xf>
    <xf numFmtId="0" fontId="15" fillId="0" borderId="8" xfId="0" applyFont="1" applyBorder="1">
      <alignment vertical="center"/>
    </xf>
    <xf numFmtId="0" fontId="15" fillId="0" borderId="5" xfId="0" applyFont="1" applyBorder="1">
      <alignment vertical="center"/>
    </xf>
    <xf numFmtId="0" fontId="58" fillId="0" borderId="8" xfId="0" quotePrefix="1" applyFont="1" applyFill="1" applyBorder="1" applyAlignment="1">
      <alignment vertical="top" wrapText="1"/>
    </xf>
    <xf numFmtId="49" fontId="51" fillId="0" borderId="11" xfId="383" applyNumberFormat="1" applyBorder="1" applyAlignment="1">
      <alignment horizontal="left" vertical="top" wrapText="1"/>
    </xf>
    <xf numFmtId="49" fontId="51" fillId="0" borderId="13" xfId="383" applyNumberFormat="1" applyBorder="1" applyAlignment="1">
      <alignment horizontal="left" vertical="top" wrapText="1"/>
    </xf>
    <xf numFmtId="49" fontId="51" fillId="0" borderId="15" xfId="383" applyNumberFormat="1" applyBorder="1" applyAlignment="1">
      <alignment horizontal="left" vertical="top" wrapText="1"/>
    </xf>
    <xf numFmtId="49" fontId="51" fillId="0" borderId="8" xfId="383" applyNumberFormat="1" applyBorder="1" applyAlignment="1">
      <alignment horizontal="left" vertical="top" wrapText="1"/>
    </xf>
    <xf numFmtId="0" fontId="0" fillId="0" borderId="8" xfId="0" applyFill="1" applyBorder="1">
      <alignment vertical="center"/>
    </xf>
    <xf numFmtId="0" fontId="51" fillId="0" borderId="15" xfId="383" applyFill="1" applyBorder="1" applyAlignment="1" applyProtection="1">
      <alignment horizontal="center" vertical="center" wrapText="1"/>
      <protection locked="0"/>
    </xf>
    <xf numFmtId="0" fontId="51" fillId="0" borderId="8" xfId="383" applyFill="1" applyBorder="1" applyAlignment="1" applyProtection="1">
      <alignment horizontal="center" vertical="center" wrapText="1"/>
      <protection locked="0"/>
    </xf>
    <xf numFmtId="0" fontId="51" fillId="0" borderId="11" xfId="383" applyFill="1" applyBorder="1" applyAlignment="1" applyProtection="1">
      <alignment horizontal="center" vertical="center" wrapText="1"/>
      <protection locked="0"/>
    </xf>
    <xf numFmtId="49" fontId="42" fillId="0" borderId="31" xfId="2" applyNumberFormat="1" applyFont="1" applyBorder="1" applyAlignment="1">
      <alignment horizontal="left" vertical="center" wrapText="1"/>
    </xf>
    <xf numFmtId="0" fontId="48" fillId="0" borderId="8" xfId="0" quotePrefix="1" applyFont="1" applyBorder="1" applyAlignment="1">
      <alignment vertical="center" wrapText="1"/>
    </xf>
    <xf numFmtId="0" fontId="48" fillId="2" borderId="5" xfId="0" applyFont="1" applyFill="1" applyBorder="1">
      <alignment vertical="center"/>
    </xf>
    <xf numFmtId="0" fontId="48" fillId="2" borderId="8" xfId="0" applyFont="1" applyFill="1" applyBorder="1">
      <alignment vertical="center"/>
    </xf>
    <xf numFmtId="0" fontId="52" fillId="0" borderId="8" xfId="0" applyFont="1" applyBorder="1">
      <alignment vertical="center"/>
    </xf>
    <xf numFmtId="0" fontId="58" fillId="0" borderId="5" xfId="0" applyFont="1" applyFill="1" applyBorder="1" applyAlignment="1">
      <alignment horizontal="center" vertical="center"/>
    </xf>
    <xf numFmtId="0" fontId="51" fillId="0" borderId="5" xfId="383" applyFill="1" applyBorder="1" applyAlignment="1">
      <alignment horizontal="center" vertical="center"/>
    </xf>
    <xf numFmtId="0" fontId="58" fillId="0" borderId="42" xfId="0" applyFont="1" applyFill="1" applyBorder="1" applyAlignment="1">
      <alignment horizontal="center" vertical="center"/>
    </xf>
    <xf numFmtId="0" fontId="14" fillId="0" borderId="5" xfId="2" applyFont="1" applyFill="1" applyBorder="1" applyAlignment="1">
      <alignment horizontal="center" vertical="center" wrapText="1"/>
    </xf>
    <xf numFmtId="49" fontId="42" fillId="0" borderId="51" xfId="2" applyNumberFormat="1" applyFont="1" applyFill="1" applyBorder="1" applyAlignment="1">
      <alignment horizontal="left" vertical="center" wrapText="1"/>
    </xf>
    <xf numFmtId="0" fontId="0" fillId="0" borderId="5" xfId="0" applyFill="1" applyBorder="1">
      <alignment vertical="center"/>
    </xf>
    <xf numFmtId="49" fontId="59" fillId="0" borderId="17" xfId="0" applyNumberFormat="1" applyFont="1" applyFill="1" applyBorder="1" applyAlignment="1">
      <alignment horizontal="left" vertical="top"/>
    </xf>
    <xf numFmtId="176" fontId="58" fillId="0" borderId="17" xfId="0" applyNumberFormat="1" applyFont="1" applyFill="1" applyBorder="1" applyAlignment="1">
      <alignment horizontal="center" vertical="center"/>
    </xf>
    <xf numFmtId="14" fontId="58" fillId="0" borderId="5" xfId="0" applyNumberFormat="1" applyFont="1" applyFill="1" applyBorder="1" applyAlignment="1">
      <alignment horizontal="center" vertical="top"/>
    </xf>
    <xf numFmtId="0" fontId="58" fillId="0" borderId="57" xfId="0" applyFont="1" applyFill="1" applyBorder="1" applyAlignment="1">
      <alignment horizontal="center" vertical="top"/>
    </xf>
    <xf numFmtId="0" fontId="51" fillId="0" borderId="15" xfId="383" applyFill="1" applyBorder="1" applyAlignment="1">
      <alignment horizontal="center" vertical="center"/>
    </xf>
    <xf numFmtId="0" fontId="58" fillId="0" borderId="15" xfId="0" applyFont="1" applyFill="1" applyBorder="1" applyAlignment="1">
      <alignment vertical="top" wrapText="1"/>
    </xf>
    <xf numFmtId="0" fontId="51" fillId="0" borderId="15" xfId="383" applyBorder="1" applyAlignment="1">
      <alignment horizontal="left" vertical="top" wrapText="1"/>
    </xf>
    <xf numFmtId="14" fontId="58" fillId="0" borderId="15" xfId="0" applyNumberFormat="1" applyFont="1" applyFill="1" applyBorder="1" applyAlignment="1">
      <alignment horizontal="center" vertical="top"/>
    </xf>
    <xf numFmtId="0" fontId="58" fillId="0" borderId="15" xfId="0" applyFont="1" applyFill="1" applyBorder="1" applyAlignment="1">
      <alignment horizontal="center" vertical="center"/>
    </xf>
    <xf numFmtId="0" fontId="51" fillId="0" borderId="11" xfId="383" applyFill="1" applyBorder="1" applyAlignment="1">
      <alignment horizontal="center" vertical="center"/>
    </xf>
    <xf numFmtId="0" fontId="58" fillId="0" borderId="11" xfId="0" applyFont="1" applyFill="1" applyBorder="1" applyAlignment="1">
      <alignment vertical="top" wrapText="1"/>
    </xf>
    <xf numFmtId="49" fontId="59" fillId="0" borderId="11" xfId="0" applyNumberFormat="1" applyFont="1" applyFill="1" applyBorder="1" applyAlignment="1">
      <alignment horizontal="left" vertical="top"/>
    </xf>
    <xf numFmtId="0" fontId="51" fillId="0" borderId="11" xfId="383" applyBorder="1" applyAlignment="1">
      <alignment horizontal="left" vertical="top" wrapText="1"/>
    </xf>
    <xf numFmtId="176" fontId="58" fillId="0" borderId="11" xfId="0" applyNumberFormat="1" applyFont="1" applyFill="1" applyBorder="1" applyAlignment="1">
      <alignment horizontal="center" vertical="center"/>
    </xf>
    <xf numFmtId="14" fontId="58" fillId="0" borderId="11" xfId="0" applyNumberFormat="1" applyFont="1" applyFill="1" applyBorder="1" applyAlignment="1">
      <alignment horizontal="center" vertical="top"/>
    </xf>
    <xf numFmtId="0" fontId="58" fillId="0" borderId="11" xfId="0" applyFont="1" applyFill="1" applyBorder="1" applyAlignment="1">
      <alignment horizontal="center" vertical="center"/>
    </xf>
    <xf numFmtId="0" fontId="58" fillId="0" borderId="12" xfId="0" applyFont="1" applyFill="1" applyBorder="1" applyAlignment="1">
      <alignment horizontal="center" vertical="top"/>
    </xf>
    <xf numFmtId="49" fontId="42" fillId="0" borderId="8" xfId="2" applyNumberFormat="1" applyFont="1" applyFill="1" applyBorder="1" applyAlignment="1">
      <alignment horizontal="left" vertical="center" wrapText="1"/>
    </xf>
    <xf numFmtId="49" fontId="59" fillId="0" borderId="8" xfId="0" applyNumberFormat="1" applyFont="1" applyFill="1" applyBorder="1" applyAlignment="1">
      <alignment horizontal="left" vertical="top"/>
    </xf>
    <xf numFmtId="176" fontId="58" fillId="0" borderId="8" xfId="0" applyNumberFormat="1" applyFont="1" applyFill="1" applyBorder="1" applyAlignment="1">
      <alignment horizontal="center" vertical="center"/>
    </xf>
    <xf numFmtId="49" fontId="42" fillId="0" borderId="15" xfId="2" applyNumberFormat="1" applyFont="1" applyFill="1" applyBorder="1" applyAlignment="1">
      <alignment horizontal="left" vertical="center" wrapText="1"/>
    </xf>
    <xf numFmtId="49" fontId="59" fillId="0" borderId="15" xfId="0" applyNumberFormat="1" applyFont="1" applyFill="1" applyBorder="1" applyAlignment="1">
      <alignment horizontal="left" vertical="top"/>
    </xf>
    <xf numFmtId="176" fontId="58" fillId="0" borderId="15" xfId="0" applyNumberFormat="1" applyFont="1" applyFill="1" applyBorder="1" applyAlignment="1">
      <alignment horizontal="center" vertical="center"/>
    </xf>
    <xf numFmtId="49" fontId="42" fillId="0" borderId="11" xfId="2" applyNumberFormat="1" applyFont="1" applyFill="1" applyBorder="1" applyAlignment="1">
      <alignment horizontal="left" vertical="center" wrapText="1"/>
    </xf>
    <xf numFmtId="0" fontId="58" fillId="0" borderId="16" xfId="0" applyFont="1" applyFill="1" applyBorder="1" applyAlignment="1">
      <alignment horizontal="center" vertical="top"/>
    </xf>
    <xf numFmtId="0" fontId="58" fillId="0" borderId="9" xfId="0" applyFont="1" applyFill="1" applyBorder="1" applyAlignment="1">
      <alignment horizontal="center" vertical="top"/>
    </xf>
    <xf numFmtId="0" fontId="60" fillId="0" borderId="8" xfId="0" applyFont="1" applyFill="1" applyBorder="1" applyAlignment="1">
      <alignment vertical="top" wrapText="1"/>
    </xf>
    <xf numFmtId="0" fontId="65" fillId="0" borderId="8" xfId="0" applyFont="1" applyBorder="1">
      <alignment vertical="center"/>
    </xf>
    <xf numFmtId="0" fontId="65" fillId="0" borderId="8" xfId="0" applyFont="1" applyFill="1" applyBorder="1">
      <alignment vertical="center"/>
    </xf>
    <xf numFmtId="0" fontId="65" fillId="0" borderId="32" xfId="0" applyFont="1" applyBorder="1">
      <alignment vertical="center"/>
    </xf>
    <xf numFmtId="0" fontId="65" fillId="0" borderId="32" xfId="0" applyFont="1" applyFill="1" applyBorder="1">
      <alignment vertical="center"/>
    </xf>
    <xf numFmtId="0" fontId="66" fillId="0" borderId="0" xfId="0" applyFont="1">
      <alignment vertical="center"/>
    </xf>
    <xf numFmtId="0" fontId="67" fillId="0" borderId="32" xfId="0" applyFont="1" applyBorder="1">
      <alignment vertical="center"/>
    </xf>
    <xf numFmtId="0" fontId="68" fillId="0" borderId="32" xfId="0" applyFont="1" applyBorder="1">
      <alignment vertical="center"/>
    </xf>
    <xf numFmtId="0" fontId="68" fillId="0" borderId="32" xfId="0" applyFont="1" applyBorder="1" applyAlignment="1">
      <alignment horizontal="left" vertical="center"/>
    </xf>
    <xf numFmtId="0" fontId="68" fillId="0" borderId="0" xfId="0" applyFont="1">
      <alignment vertical="center"/>
    </xf>
    <xf numFmtId="0" fontId="69" fillId="0" borderId="0" xfId="0" applyFont="1">
      <alignment vertical="center"/>
    </xf>
    <xf numFmtId="0" fontId="65" fillId="37" borderId="8" xfId="0" applyFont="1" applyFill="1" applyBorder="1" applyAlignment="1"/>
    <xf numFmtId="0" fontId="65" fillId="28" borderId="8" xfId="0" applyFont="1" applyFill="1" applyBorder="1">
      <alignment vertical="center"/>
    </xf>
    <xf numFmtId="0" fontId="65" fillId="0" borderId="8" xfId="0" applyFont="1" applyBorder="1" applyAlignment="1">
      <alignment vertical="center" wrapText="1"/>
    </xf>
    <xf numFmtId="0" fontId="65" fillId="0" borderId="13" xfId="0" applyFont="1" applyBorder="1">
      <alignment vertical="center"/>
    </xf>
    <xf numFmtId="0" fontId="65" fillId="0" borderId="13" xfId="0" applyFont="1" applyFill="1" applyBorder="1">
      <alignment vertical="center"/>
    </xf>
    <xf numFmtId="0" fontId="65" fillId="0" borderId="0" xfId="0" applyFont="1">
      <alignment vertical="center"/>
    </xf>
    <xf numFmtId="49" fontId="42" fillId="0" borderId="5" xfId="2" applyNumberFormat="1" applyFont="1" applyFill="1" applyBorder="1" applyAlignment="1">
      <alignment horizontal="left" vertical="center" wrapText="1"/>
    </xf>
    <xf numFmtId="0" fontId="58" fillId="0" borderId="5" xfId="0" applyFont="1" applyFill="1" applyBorder="1" applyAlignment="1">
      <alignment vertical="top" wrapText="1"/>
    </xf>
    <xf numFmtId="49" fontId="59" fillId="0" borderId="5" xfId="0" applyNumberFormat="1" applyFont="1" applyFill="1" applyBorder="1" applyAlignment="1">
      <alignment horizontal="left" vertical="top"/>
    </xf>
    <xf numFmtId="0" fontId="58" fillId="0" borderId="6" xfId="0" applyFont="1" applyFill="1" applyBorder="1" applyAlignment="1">
      <alignment horizontal="center" vertical="top"/>
    </xf>
    <xf numFmtId="49" fontId="42" fillId="0" borderId="61" xfId="2" applyNumberFormat="1" applyFont="1" applyFill="1" applyBorder="1" applyAlignment="1">
      <alignment horizontal="left" vertical="center" wrapText="1"/>
    </xf>
    <xf numFmtId="0" fontId="0" fillId="0" borderId="62" xfId="0" applyFill="1" applyBorder="1">
      <alignment vertical="center"/>
    </xf>
    <xf numFmtId="0" fontId="58" fillId="0" borderId="63" xfId="0" applyFont="1" applyBorder="1" applyAlignment="1">
      <alignment horizontal="center" vertical="center"/>
    </xf>
    <xf numFmtId="0" fontId="53" fillId="0" borderId="63" xfId="0" applyFont="1" applyFill="1" applyBorder="1" applyAlignment="1" applyProtection="1">
      <alignment horizontal="center" vertical="center" wrapText="1"/>
      <protection locked="0"/>
    </xf>
    <xf numFmtId="0" fontId="12" fillId="0" borderId="63" xfId="0" applyFont="1" applyFill="1" applyBorder="1" applyAlignment="1" applyProtection="1">
      <alignment horizontal="center" vertical="center" wrapText="1"/>
      <protection locked="0"/>
    </xf>
    <xf numFmtId="0" fontId="51" fillId="0" borderId="63" xfId="383" applyFill="1" applyBorder="1" applyAlignment="1">
      <alignment horizontal="center" vertical="center"/>
    </xf>
    <xf numFmtId="0" fontId="58" fillId="0" borderId="64" xfId="0" applyFont="1" applyFill="1" applyBorder="1" applyAlignment="1">
      <alignment horizontal="center" vertical="center"/>
    </xf>
    <xf numFmtId="0" fontId="58" fillId="0" borderId="63" xfId="0" applyFont="1" applyBorder="1">
      <alignment vertical="center"/>
    </xf>
    <xf numFmtId="49" fontId="42" fillId="0" borderId="65" xfId="2" applyNumberFormat="1" applyFont="1" applyFill="1" applyBorder="1" applyAlignment="1">
      <alignment horizontal="left" vertical="center" wrapText="1"/>
    </xf>
    <xf numFmtId="0" fontId="0" fillId="0" borderId="63" xfId="0" applyFill="1" applyBorder="1">
      <alignment vertical="center"/>
    </xf>
    <xf numFmtId="49" fontId="59" fillId="0" borderId="63" xfId="0" applyNumberFormat="1" applyFont="1" applyFill="1" applyBorder="1" applyAlignment="1">
      <alignment horizontal="left" vertical="top"/>
    </xf>
    <xf numFmtId="0" fontId="51" fillId="0" borderId="63" xfId="383" applyBorder="1" applyAlignment="1">
      <alignment horizontal="left" vertical="top" wrapText="1"/>
    </xf>
    <xf numFmtId="176" fontId="58" fillId="0" borderId="63" xfId="0" applyNumberFormat="1" applyFont="1" applyFill="1" applyBorder="1" applyAlignment="1">
      <alignment horizontal="center" vertical="center"/>
    </xf>
    <xf numFmtId="14" fontId="58" fillId="0" borderId="63" xfId="0" applyNumberFormat="1" applyFont="1" applyFill="1" applyBorder="1" applyAlignment="1">
      <alignment horizontal="center" vertical="top"/>
    </xf>
    <xf numFmtId="0" fontId="12" fillId="0" borderId="63" xfId="0" applyFont="1" applyFill="1" applyBorder="1" applyAlignment="1">
      <alignment horizontal="center" vertical="center" wrapText="1"/>
    </xf>
    <xf numFmtId="0" fontId="58" fillId="0" borderId="63" xfId="0" applyFont="1" applyFill="1" applyBorder="1" applyAlignment="1">
      <alignment horizontal="center" vertical="center"/>
    </xf>
    <xf numFmtId="0" fontId="58" fillId="0" borderId="66" xfId="0" applyFont="1" applyFill="1" applyBorder="1" applyAlignment="1">
      <alignment horizontal="center" vertical="top"/>
    </xf>
    <xf numFmtId="0" fontId="0" fillId="0" borderId="67" xfId="0" applyFill="1" applyBorder="1">
      <alignment vertical="center"/>
    </xf>
    <xf numFmtId="0" fontId="70" fillId="0" borderId="0" xfId="0" applyFont="1">
      <alignment vertical="center"/>
    </xf>
    <xf numFmtId="49" fontId="71" fillId="0" borderId="8" xfId="2" applyNumberFormat="1" applyFont="1" applyFill="1" applyBorder="1" applyAlignment="1">
      <alignment horizontal="left" vertical="center" wrapText="1"/>
    </xf>
    <xf numFmtId="49" fontId="71" fillId="0" borderId="8" xfId="2" applyNumberFormat="1" applyFont="1" applyBorder="1" applyAlignment="1">
      <alignment horizontal="left" vertical="center" wrapText="1"/>
    </xf>
    <xf numFmtId="0" fontId="58" fillId="0" borderId="8" xfId="0" applyFont="1" applyFill="1" applyBorder="1" applyAlignment="1">
      <alignment horizontal="left" vertical="top"/>
    </xf>
    <xf numFmtId="0" fontId="58" fillId="0" borderId="8" xfId="0" applyFont="1" applyBorder="1" applyAlignment="1">
      <alignment horizontal="left" vertical="top" wrapText="1"/>
    </xf>
    <xf numFmtId="0" fontId="58" fillId="0" borderId="8" xfId="0" applyFont="1" applyBorder="1" applyAlignment="1">
      <alignment horizontal="left" vertical="top"/>
    </xf>
    <xf numFmtId="49" fontId="71" fillId="0" borderId="8" xfId="2" applyNumberFormat="1" applyFont="1" applyFill="1" applyBorder="1" applyAlignment="1">
      <alignment horizontal="center" vertical="center" wrapText="1"/>
    </xf>
    <xf numFmtId="49" fontId="71" fillId="0" borderId="8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7" fillId="3" borderId="8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0" xfId="0" quotePrefix="1">
      <alignment vertical="center"/>
    </xf>
    <xf numFmtId="49" fontId="58" fillId="0" borderId="8" xfId="0" applyNumberFormat="1" applyFont="1" applyBorder="1" applyAlignment="1">
      <alignment horizontal="left" vertical="top"/>
    </xf>
    <xf numFmtId="0" fontId="12" fillId="0" borderId="5" xfId="2" applyFont="1" applyBorder="1" applyAlignment="1">
      <alignment horizontal="center" vertical="center" wrapText="1"/>
    </xf>
    <xf numFmtId="176" fontId="58" fillId="0" borderId="5" xfId="0" applyNumberFormat="1" applyFont="1" applyBorder="1" applyAlignment="1">
      <alignment horizontal="center" vertical="center"/>
    </xf>
    <xf numFmtId="0" fontId="58" fillId="0" borderId="6" xfId="0" applyFont="1" applyBorder="1" applyAlignment="1">
      <alignment horizontal="center" vertical="top"/>
    </xf>
    <xf numFmtId="0" fontId="12" fillId="0" borderId="8" xfId="2" applyFont="1" applyBorder="1" applyAlignment="1">
      <alignment horizontal="center" vertical="center" wrapText="1"/>
    </xf>
    <xf numFmtId="0" fontId="56" fillId="0" borderId="8" xfId="0" applyFont="1" applyBorder="1" applyAlignment="1">
      <alignment horizontal="left" vertical="top" wrapText="1"/>
    </xf>
    <xf numFmtId="0" fontId="72" fillId="0" borderId="8" xfId="383" applyFont="1" applyBorder="1" applyAlignment="1">
      <alignment horizontal="left" vertical="top" wrapText="1"/>
    </xf>
    <xf numFmtId="0" fontId="47" fillId="3" borderId="8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" borderId="30" xfId="0" applyFont="1" applyFill="1" applyBorder="1" applyAlignment="1">
      <alignment vertical="center"/>
    </xf>
    <xf numFmtId="0" fontId="47" fillId="3" borderId="32" xfId="0" applyFont="1" applyFill="1" applyBorder="1" applyAlignment="1">
      <alignment vertical="center"/>
    </xf>
    <xf numFmtId="0" fontId="12" fillId="0" borderId="31" xfId="0" applyFont="1" applyFill="1" applyBorder="1" applyAlignment="1" applyProtection="1">
      <alignment horizontal="center" vertical="center" wrapText="1"/>
      <protection locked="0"/>
    </xf>
    <xf numFmtId="0" fontId="0" fillId="0" borderId="17" xfId="0" applyFill="1" applyBorder="1">
      <alignment vertical="center"/>
    </xf>
    <xf numFmtId="0" fontId="58" fillId="0" borderId="8" xfId="0" quotePrefix="1" applyFont="1" applyBorder="1" applyAlignment="1">
      <alignment horizontal="center" vertical="top"/>
    </xf>
    <xf numFmtId="0" fontId="73" fillId="0" borderId="8" xfId="0" applyFont="1" applyBorder="1" applyAlignment="1">
      <alignment vertical="center" wrapText="1"/>
    </xf>
    <xf numFmtId="0" fontId="71" fillId="0" borderId="11" xfId="0" applyFont="1" applyBorder="1" applyAlignment="1">
      <alignment horizontal="left" vertical="top" wrapText="1"/>
    </xf>
    <xf numFmtId="0" fontId="57" fillId="0" borderId="0" xfId="0" applyFont="1" applyAlignment="1">
      <alignment vertical="center" wrapText="1"/>
    </xf>
    <xf numFmtId="0" fontId="57" fillId="0" borderId="5" xfId="0" applyFont="1" applyBorder="1" applyAlignment="1">
      <alignment vertical="center" wrapText="1"/>
    </xf>
    <xf numFmtId="14" fontId="57" fillId="0" borderId="0" xfId="0" applyNumberFormat="1" applyFont="1" applyAlignment="1">
      <alignment vertical="center" wrapText="1"/>
    </xf>
    <xf numFmtId="49" fontId="74" fillId="0" borderId="13" xfId="0" applyNumberFormat="1" applyFont="1" applyFill="1" applyBorder="1" applyAlignment="1">
      <alignment horizontal="left" vertical="top" wrapText="1"/>
    </xf>
    <xf numFmtId="0" fontId="57" fillId="0" borderId="69" xfId="0" applyFont="1" applyBorder="1" applyAlignment="1">
      <alignment horizontal="center" vertical="center"/>
    </xf>
    <xf numFmtId="0" fontId="57" fillId="0" borderId="68" xfId="0" applyFont="1" applyBorder="1" applyAlignment="1">
      <alignment horizontal="center" vertical="center"/>
    </xf>
    <xf numFmtId="0" fontId="75" fillId="4" borderId="71" xfId="0" applyFont="1" applyFill="1" applyBorder="1" applyAlignment="1">
      <alignment horizontal="left" vertical="center"/>
    </xf>
    <xf numFmtId="0" fontId="75" fillId="4" borderId="73" xfId="0" applyFont="1" applyFill="1" applyBorder="1" applyAlignment="1">
      <alignment horizontal="left" vertical="center"/>
    </xf>
    <xf numFmtId="0" fontId="75" fillId="4" borderId="70" xfId="0" applyFont="1" applyFill="1" applyBorder="1" applyAlignment="1">
      <alignment horizontal="left" vertical="center"/>
    </xf>
    <xf numFmtId="14" fontId="76" fillId="38" borderId="74" xfId="0" applyNumberFormat="1" applyFont="1" applyFill="1" applyBorder="1" applyAlignment="1">
      <alignment horizontal="left" vertical="top"/>
    </xf>
    <xf numFmtId="14" fontId="76" fillId="38" borderId="72" xfId="0" applyNumberFormat="1" applyFont="1" applyFill="1" applyBorder="1" applyAlignment="1">
      <alignment horizontal="left" vertical="top"/>
    </xf>
    <xf numFmtId="0" fontId="53" fillId="0" borderId="48" xfId="0" applyFont="1" applyFill="1" applyBorder="1" applyAlignment="1" applyProtection="1">
      <alignment horizontal="center" vertical="center" wrapText="1"/>
      <protection locked="0"/>
    </xf>
    <xf numFmtId="0" fontId="53" fillId="0" borderId="49" xfId="0" applyFont="1" applyFill="1" applyBorder="1" applyAlignment="1" applyProtection="1">
      <alignment horizontal="center" vertical="center" wrapText="1"/>
      <protection locked="0"/>
    </xf>
    <xf numFmtId="0" fontId="53" fillId="0" borderId="50" xfId="0" applyFont="1" applyFill="1" applyBorder="1" applyAlignment="1" applyProtection="1">
      <alignment horizontal="center" vertical="center" wrapText="1"/>
      <protection locked="0"/>
    </xf>
    <xf numFmtId="0" fontId="47" fillId="3" borderId="8" xfId="0" applyFont="1" applyFill="1" applyBorder="1" applyAlignment="1">
      <alignment horizontal="center" vertical="center" wrapText="1"/>
    </xf>
    <xf numFmtId="0" fontId="47" fillId="3" borderId="13" xfId="0" applyFont="1" applyFill="1" applyBorder="1" applyAlignment="1">
      <alignment horizontal="center" vertical="center"/>
    </xf>
    <xf numFmtId="0" fontId="47" fillId="3" borderId="8" xfId="0" applyFont="1" applyFill="1" applyBorder="1" applyAlignment="1">
      <alignment horizontal="center" vertical="center"/>
    </xf>
    <xf numFmtId="0" fontId="47" fillId="3" borderId="17" xfId="0" applyFont="1" applyFill="1" applyBorder="1" applyAlignment="1">
      <alignment horizontal="center" vertical="center"/>
    </xf>
    <xf numFmtId="0" fontId="47" fillId="3" borderId="45" xfId="0" applyFont="1" applyFill="1" applyBorder="1" applyAlignment="1">
      <alignment horizontal="center" vertical="center"/>
    </xf>
    <xf numFmtId="0" fontId="47" fillId="3" borderId="60" xfId="0" applyFont="1" applyFill="1" applyBorder="1" applyAlignment="1">
      <alignment horizontal="center" vertical="center"/>
    </xf>
    <xf numFmtId="0" fontId="47" fillId="3" borderId="32" xfId="0" applyFont="1" applyFill="1" applyBorder="1" applyAlignment="1">
      <alignment horizontal="center" vertical="center"/>
    </xf>
    <xf numFmtId="0" fontId="47" fillId="3" borderId="41" xfId="0" applyFont="1" applyFill="1" applyBorder="1" applyAlignment="1">
      <alignment horizontal="center" vertical="center"/>
    </xf>
    <xf numFmtId="0" fontId="47" fillId="3" borderId="5" xfId="0" applyFont="1" applyFill="1" applyBorder="1" applyAlignment="1">
      <alignment horizontal="center" vertical="center"/>
    </xf>
  </cellXfs>
  <cellStyles count="385">
    <cellStyle name="20% - 강조색1 2" xfId="48"/>
    <cellStyle name="20% - 강조색1 3" xfId="49"/>
    <cellStyle name="20% - 강조색1 4" xfId="50"/>
    <cellStyle name="20% - 강조색1 5" xfId="51"/>
    <cellStyle name="20% - 강조색1 6" xfId="52"/>
    <cellStyle name="20% - 강조색1 7" xfId="53"/>
    <cellStyle name="20% - 강조색1 8" xfId="3"/>
    <cellStyle name="20% - 강조색2 2" xfId="54"/>
    <cellStyle name="20% - 강조색2 3" xfId="55"/>
    <cellStyle name="20% - 강조색2 4" xfId="56"/>
    <cellStyle name="20% - 강조색2 5" xfId="57"/>
    <cellStyle name="20% - 강조색2 6" xfId="58"/>
    <cellStyle name="20% - 강조색2 7" xfId="59"/>
    <cellStyle name="20% - 강조색2 8" xfId="4"/>
    <cellStyle name="20% - 강조색3 2" xfId="60"/>
    <cellStyle name="20% - 강조색3 3" xfId="61"/>
    <cellStyle name="20% - 강조색3 4" xfId="62"/>
    <cellStyle name="20% - 강조색3 5" xfId="63"/>
    <cellStyle name="20% - 강조색3 6" xfId="64"/>
    <cellStyle name="20% - 강조색3 7" xfId="65"/>
    <cellStyle name="20% - 강조색3 8" xfId="5"/>
    <cellStyle name="20% - 강조색4 2" xfId="66"/>
    <cellStyle name="20% - 강조색4 3" xfId="67"/>
    <cellStyle name="20% - 강조색4 4" xfId="68"/>
    <cellStyle name="20% - 강조색4 5" xfId="69"/>
    <cellStyle name="20% - 강조색4 6" xfId="70"/>
    <cellStyle name="20% - 강조색4 7" xfId="71"/>
    <cellStyle name="20% - 강조색4 8" xfId="6"/>
    <cellStyle name="20% - 강조색5 2" xfId="72"/>
    <cellStyle name="20% - 강조색5 3" xfId="73"/>
    <cellStyle name="20% - 강조색5 4" xfId="74"/>
    <cellStyle name="20% - 강조색5 5" xfId="75"/>
    <cellStyle name="20% - 강조색5 6" xfId="76"/>
    <cellStyle name="20% - 강조색5 7" xfId="77"/>
    <cellStyle name="20% - 강조색5 8" xfId="7"/>
    <cellStyle name="20% - 강조색6 2" xfId="78"/>
    <cellStyle name="20% - 강조색6 3" xfId="79"/>
    <cellStyle name="20% - 강조색6 4" xfId="80"/>
    <cellStyle name="20% - 강조색6 5" xfId="81"/>
    <cellStyle name="20% - 강조색6 6" xfId="82"/>
    <cellStyle name="20% - 강조색6 7" xfId="83"/>
    <cellStyle name="20% - 강조색6 8" xfId="8"/>
    <cellStyle name="40% - 강조색1 2" xfId="84"/>
    <cellStyle name="40% - 강조색1 3" xfId="85"/>
    <cellStyle name="40% - 강조색1 4" xfId="86"/>
    <cellStyle name="40% - 강조색1 5" xfId="87"/>
    <cellStyle name="40% - 강조색1 6" xfId="88"/>
    <cellStyle name="40% - 강조색1 7" xfId="89"/>
    <cellStyle name="40% - 강조색1 8" xfId="9"/>
    <cellStyle name="40% - 강조색2 2" xfId="90"/>
    <cellStyle name="40% - 강조색2 3" xfId="91"/>
    <cellStyle name="40% - 강조색2 4" xfId="92"/>
    <cellStyle name="40% - 강조색2 5" xfId="93"/>
    <cellStyle name="40% - 강조색2 6" xfId="94"/>
    <cellStyle name="40% - 강조색2 7" xfId="95"/>
    <cellStyle name="40% - 강조색2 8" xfId="10"/>
    <cellStyle name="40% - 강조색3 2" xfId="96"/>
    <cellStyle name="40% - 강조색3 3" xfId="97"/>
    <cellStyle name="40% - 강조색3 4" xfId="98"/>
    <cellStyle name="40% - 강조색3 5" xfId="99"/>
    <cellStyle name="40% - 강조색3 6" xfId="100"/>
    <cellStyle name="40% - 강조색3 7" xfId="101"/>
    <cellStyle name="40% - 강조색3 8" xfId="11"/>
    <cellStyle name="40% - 강조색4 2" xfId="102"/>
    <cellStyle name="40% - 강조색4 3" xfId="103"/>
    <cellStyle name="40% - 강조색4 4" xfId="104"/>
    <cellStyle name="40% - 강조색4 5" xfId="105"/>
    <cellStyle name="40% - 강조색4 6" xfId="106"/>
    <cellStyle name="40% - 강조색4 7" xfId="107"/>
    <cellStyle name="40% - 강조색4 8" xfId="12"/>
    <cellStyle name="40% - 강조색5 2" xfId="108"/>
    <cellStyle name="40% - 강조색5 3" xfId="109"/>
    <cellStyle name="40% - 강조색5 4" xfId="110"/>
    <cellStyle name="40% - 강조색5 5" xfId="111"/>
    <cellStyle name="40% - 강조색5 6" xfId="112"/>
    <cellStyle name="40% - 강조색5 7" xfId="113"/>
    <cellStyle name="40% - 강조색5 8" xfId="13"/>
    <cellStyle name="40% - 강조색6 2" xfId="114"/>
    <cellStyle name="40% - 강조색6 3" xfId="115"/>
    <cellStyle name="40% - 강조색6 4" xfId="116"/>
    <cellStyle name="40% - 강조색6 5" xfId="117"/>
    <cellStyle name="40% - 강조색6 6" xfId="118"/>
    <cellStyle name="40% - 강조색6 7" xfId="119"/>
    <cellStyle name="40% - 강조색6 8" xfId="14"/>
    <cellStyle name="60% - 강조색1 2" xfId="120"/>
    <cellStyle name="60% - 강조색1 3" xfId="121"/>
    <cellStyle name="60% - 강조색1 4" xfId="122"/>
    <cellStyle name="60% - 강조색1 5" xfId="123"/>
    <cellStyle name="60% - 강조색1 6" xfId="124"/>
    <cellStyle name="60% - 강조색1 7" xfId="125"/>
    <cellStyle name="60% - 강조색1 8" xfId="15"/>
    <cellStyle name="60% - 강조색2 2" xfId="126"/>
    <cellStyle name="60% - 강조색2 3" xfId="127"/>
    <cellStyle name="60% - 강조색2 4" xfId="128"/>
    <cellStyle name="60% - 강조색2 5" xfId="129"/>
    <cellStyle name="60% - 강조색2 6" xfId="130"/>
    <cellStyle name="60% - 강조색2 7" xfId="131"/>
    <cellStyle name="60% - 강조색2 8" xfId="16"/>
    <cellStyle name="60% - 강조색3 2" xfId="132"/>
    <cellStyle name="60% - 강조색3 3" xfId="133"/>
    <cellStyle name="60% - 강조색3 4" xfId="134"/>
    <cellStyle name="60% - 강조색3 5" xfId="135"/>
    <cellStyle name="60% - 강조색3 6" xfId="136"/>
    <cellStyle name="60% - 강조색3 7" xfId="137"/>
    <cellStyle name="60% - 강조색3 8" xfId="17"/>
    <cellStyle name="60% - 강조색4 2" xfId="138"/>
    <cellStyle name="60% - 강조색4 3" xfId="139"/>
    <cellStyle name="60% - 강조색4 4" xfId="140"/>
    <cellStyle name="60% - 강조색4 5" xfId="141"/>
    <cellStyle name="60% - 강조색4 6" xfId="142"/>
    <cellStyle name="60% - 강조색4 7" xfId="143"/>
    <cellStyle name="60% - 강조색4 8" xfId="18"/>
    <cellStyle name="60% - 강조색5 2" xfId="144"/>
    <cellStyle name="60% - 강조색5 3" xfId="145"/>
    <cellStyle name="60% - 강조색5 4" xfId="146"/>
    <cellStyle name="60% - 강조색5 5" xfId="147"/>
    <cellStyle name="60% - 강조색5 6" xfId="148"/>
    <cellStyle name="60% - 강조색5 7" xfId="149"/>
    <cellStyle name="60% - 강조색5 8" xfId="19"/>
    <cellStyle name="60% - 강조색6 2" xfId="150"/>
    <cellStyle name="60% - 강조색6 3" xfId="151"/>
    <cellStyle name="60% - 강조색6 4" xfId="152"/>
    <cellStyle name="60% - 강조색6 5" xfId="153"/>
    <cellStyle name="60% - 강조색6 6" xfId="154"/>
    <cellStyle name="60% - 강조색6 7" xfId="155"/>
    <cellStyle name="60% - 강조색6 8" xfId="20"/>
    <cellStyle name="AeE­ [0]_PERSONAL" xfId="156"/>
    <cellStyle name="AeE­_PERSONAL" xfId="157"/>
    <cellStyle name="ALIGNMENT" xfId="158"/>
    <cellStyle name="C￥AØ_PERSONAL" xfId="159"/>
    <cellStyle name="category" xfId="160"/>
    <cellStyle name="Comma [0]_MACRO1.XLM" xfId="161"/>
    <cellStyle name="comma zerodec" xfId="162"/>
    <cellStyle name="Currency1" xfId="163"/>
    <cellStyle name="Dollar (zero dec)" xfId="164"/>
    <cellStyle name="Grey" xfId="165"/>
    <cellStyle name="HEADER" xfId="166"/>
    <cellStyle name="Header1" xfId="167"/>
    <cellStyle name="Header2" xfId="168"/>
    <cellStyle name="Hyperlink_NEGS" xfId="169"/>
    <cellStyle name="Input [yellow]" xfId="170"/>
    <cellStyle name="Model" xfId="171"/>
    <cellStyle name="Normal - Style1" xfId="172"/>
    <cellStyle name="Percent [2]" xfId="173"/>
    <cellStyle name="subhead" xfId="174"/>
    <cellStyle name="강조색1 2" xfId="175"/>
    <cellStyle name="강조색1 3" xfId="176"/>
    <cellStyle name="강조색1 4" xfId="177"/>
    <cellStyle name="강조색1 5" xfId="178"/>
    <cellStyle name="강조색1 6" xfId="179"/>
    <cellStyle name="강조색1 7" xfId="180"/>
    <cellStyle name="강조색1 8" xfId="21"/>
    <cellStyle name="강조색2 2" xfId="181"/>
    <cellStyle name="강조색2 3" xfId="182"/>
    <cellStyle name="강조색2 4" xfId="183"/>
    <cellStyle name="강조색2 5" xfId="184"/>
    <cellStyle name="강조색2 6" xfId="185"/>
    <cellStyle name="강조색2 7" xfId="186"/>
    <cellStyle name="강조색2 8" xfId="22"/>
    <cellStyle name="강조색3 2" xfId="187"/>
    <cellStyle name="강조색3 3" xfId="188"/>
    <cellStyle name="강조색3 4" xfId="189"/>
    <cellStyle name="강조색3 5" xfId="190"/>
    <cellStyle name="강조색3 6" xfId="191"/>
    <cellStyle name="강조색3 7" xfId="192"/>
    <cellStyle name="강조색3 8" xfId="23"/>
    <cellStyle name="강조색4 2" xfId="193"/>
    <cellStyle name="강조색4 3" xfId="194"/>
    <cellStyle name="강조색4 4" xfId="195"/>
    <cellStyle name="강조색4 5" xfId="196"/>
    <cellStyle name="강조색4 6" xfId="197"/>
    <cellStyle name="강조색4 7" xfId="198"/>
    <cellStyle name="강조색4 8" xfId="24"/>
    <cellStyle name="강조색5 2" xfId="199"/>
    <cellStyle name="강조색5 3" xfId="200"/>
    <cellStyle name="강조색5 4" xfId="201"/>
    <cellStyle name="강조색5 5" xfId="202"/>
    <cellStyle name="강조색5 6" xfId="203"/>
    <cellStyle name="강조색5 7" xfId="204"/>
    <cellStyle name="강조색5 8" xfId="25"/>
    <cellStyle name="강조색6 2" xfId="205"/>
    <cellStyle name="강조색6 3" xfId="206"/>
    <cellStyle name="강조색6 4" xfId="207"/>
    <cellStyle name="강조색6 5" xfId="208"/>
    <cellStyle name="강조색6 6" xfId="209"/>
    <cellStyle name="강조색6 7" xfId="210"/>
    <cellStyle name="강조색6 8" xfId="26"/>
    <cellStyle name="경고문 2" xfId="211"/>
    <cellStyle name="경고문 3" xfId="212"/>
    <cellStyle name="경고문 4" xfId="213"/>
    <cellStyle name="경고문 5" xfId="214"/>
    <cellStyle name="경고문 6" xfId="215"/>
    <cellStyle name="경고문 7" xfId="216"/>
    <cellStyle name="경고문 8" xfId="27"/>
    <cellStyle name="계산 2" xfId="217"/>
    <cellStyle name="계산 3" xfId="218"/>
    <cellStyle name="계산 4" xfId="219"/>
    <cellStyle name="계산 5" xfId="220"/>
    <cellStyle name="계산 6" xfId="221"/>
    <cellStyle name="계산 7" xfId="222"/>
    <cellStyle name="계산 8" xfId="28"/>
    <cellStyle name="나쁨 2" xfId="223"/>
    <cellStyle name="나쁨 3" xfId="224"/>
    <cellStyle name="나쁨 4" xfId="225"/>
    <cellStyle name="나쁨 5" xfId="226"/>
    <cellStyle name="나쁨 6" xfId="227"/>
    <cellStyle name="나쁨 7" xfId="228"/>
    <cellStyle name="나쁨 8" xfId="29"/>
    <cellStyle name="메모 2" xfId="229"/>
    <cellStyle name="메모 3" xfId="230"/>
    <cellStyle name="메모 4" xfId="231"/>
    <cellStyle name="메모 5" xfId="232"/>
    <cellStyle name="메모 6" xfId="233"/>
    <cellStyle name="메모 7" xfId="234"/>
    <cellStyle name="메모 8" xfId="30"/>
    <cellStyle name="백분율 2" xfId="31"/>
    <cellStyle name="보통 2" xfId="235"/>
    <cellStyle name="보통 3" xfId="236"/>
    <cellStyle name="보통 4" xfId="237"/>
    <cellStyle name="보통 5" xfId="238"/>
    <cellStyle name="보통 6" xfId="239"/>
    <cellStyle name="보통 7" xfId="240"/>
    <cellStyle name="보통 8" xfId="32"/>
    <cellStyle name="설명 텍스트 2" xfId="241"/>
    <cellStyle name="설명 텍스트 3" xfId="242"/>
    <cellStyle name="설명 텍스트 4" xfId="243"/>
    <cellStyle name="설명 텍스트 5" xfId="244"/>
    <cellStyle name="설명 텍스트 6" xfId="245"/>
    <cellStyle name="설명 텍스트 7" xfId="246"/>
    <cellStyle name="설명 텍스트 8" xfId="33"/>
    <cellStyle name="셀 확인 2" xfId="247"/>
    <cellStyle name="셀 확인 3" xfId="248"/>
    <cellStyle name="셀 확인 4" xfId="249"/>
    <cellStyle name="셀 확인 5" xfId="250"/>
    <cellStyle name="셀 확인 6" xfId="251"/>
    <cellStyle name="셀 확인 7" xfId="252"/>
    <cellStyle name="셀 확인 8" xfId="34"/>
    <cellStyle name="쉼표 [0] 2" xfId="35"/>
    <cellStyle name="스타일 1" xfId="253"/>
    <cellStyle name="연결된 셀 2" xfId="254"/>
    <cellStyle name="연결된 셀 3" xfId="255"/>
    <cellStyle name="연결된 셀 4" xfId="256"/>
    <cellStyle name="연결된 셀 5" xfId="257"/>
    <cellStyle name="연결된 셀 6" xfId="258"/>
    <cellStyle name="연결된 셀 7" xfId="259"/>
    <cellStyle name="연결된 셀 8" xfId="36"/>
    <cellStyle name="요약 2" xfId="260"/>
    <cellStyle name="요약 3" xfId="261"/>
    <cellStyle name="요약 4" xfId="262"/>
    <cellStyle name="요약 5" xfId="263"/>
    <cellStyle name="요약 6" xfId="264"/>
    <cellStyle name="요약 7" xfId="265"/>
    <cellStyle name="요약 8" xfId="37"/>
    <cellStyle name="입력 2" xfId="266"/>
    <cellStyle name="입력 3" xfId="267"/>
    <cellStyle name="입력 4" xfId="268"/>
    <cellStyle name="입력 5" xfId="269"/>
    <cellStyle name="입력 6" xfId="270"/>
    <cellStyle name="입력 7" xfId="271"/>
    <cellStyle name="입력 8" xfId="38"/>
    <cellStyle name="제목 1 2" xfId="272"/>
    <cellStyle name="제목 1 3" xfId="273"/>
    <cellStyle name="제목 1 4" xfId="274"/>
    <cellStyle name="제목 1 5" xfId="275"/>
    <cellStyle name="제목 1 6" xfId="276"/>
    <cellStyle name="제목 1 7" xfId="277"/>
    <cellStyle name="제목 1 8" xfId="40"/>
    <cellStyle name="제목 10" xfId="278"/>
    <cellStyle name="제목 11" xfId="39"/>
    <cellStyle name="제목 2 2" xfId="279"/>
    <cellStyle name="제목 2 3" xfId="280"/>
    <cellStyle name="제목 2 4" xfId="281"/>
    <cellStyle name="제목 2 5" xfId="282"/>
    <cellStyle name="제목 2 6" xfId="283"/>
    <cellStyle name="제목 2 7" xfId="284"/>
    <cellStyle name="제목 2 8" xfId="41"/>
    <cellStyle name="제목 3 2" xfId="285"/>
    <cellStyle name="제목 3 3" xfId="286"/>
    <cellStyle name="제목 3 4" xfId="287"/>
    <cellStyle name="제목 3 5" xfId="288"/>
    <cellStyle name="제목 3 6" xfId="289"/>
    <cellStyle name="제목 3 7" xfId="290"/>
    <cellStyle name="제목 3 8" xfId="42"/>
    <cellStyle name="제목 4 2" xfId="291"/>
    <cellStyle name="제목 4 3" xfId="292"/>
    <cellStyle name="제목 4 4" xfId="293"/>
    <cellStyle name="제목 4 5" xfId="294"/>
    <cellStyle name="제목 4 6" xfId="295"/>
    <cellStyle name="제목 4 7" xfId="296"/>
    <cellStyle name="제목 4 8" xfId="43"/>
    <cellStyle name="제목 5" xfId="297"/>
    <cellStyle name="제목 6" xfId="298"/>
    <cellStyle name="제목 7" xfId="299"/>
    <cellStyle name="제목 8" xfId="300"/>
    <cellStyle name="제목 9" xfId="301"/>
    <cellStyle name="좋음 2" xfId="302"/>
    <cellStyle name="좋음 3" xfId="303"/>
    <cellStyle name="좋음 4" xfId="304"/>
    <cellStyle name="좋음 5" xfId="305"/>
    <cellStyle name="좋음 6" xfId="306"/>
    <cellStyle name="좋음 7" xfId="307"/>
    <cellStyle name="좋음 8" xfId="44"/>
    <cellStyle name="출력 2" xfId="308"/>
    <cellStyle name="출력 3" xfId="309"/>
    <cellStyle name="출력 4" xfId="310"/>
    <cellStyle name="출력 5" xfId="311"/>
    <cellStyle name="출력 6" xfId="312"/>
    <cellStyle name="출력 7" xfId="313"/>
    <cellStyle name="출력 8" xfId="45"/>
    <cellStyle name="콤마 [0]_95" xfId="314"/>
    <cellStyle name="콤마_95" xfId="315"/>
    <cellStyle name="표준" xfId="0" builtinId="0"/>
    <cellStyle name="표준 10" xfId="1"/>
    <cellStyle name="표준 11" xfId="348"/>
    <cellStyle name="표준 12" xfId="368"/>
    <cellStyle name="표준 13" xfId="351"/>
    <cellStyle name="표준 14" xfId="336"/>
    <cellStyle name="표준 15" xfId="371"/>
    <cellStyle name="표준 16" xfId="362"/>
    <cellStyle name="표준 17" xfId="356"/>
    <cellStyle name="표준 18" xfId="373"/>
    <cellStyle name="표준 19" xfId="369"/>
    <cellStyle name="표준 2" xfId="47"/>
    <cellStyle name="표준 2 10" xfId="342"/>
    <cellStyle name="표준 2 2" xfId="316"/>
    <cellStyle name="표준 2 3" xfId="317"/>
    <cellStyle name="표준 2 4" xfId="318"/>
    <cellStyle name="표준 2 5" xfId="319"/>
    <cellStyle name="표준 2 6" xfId="320"/>
    <cellStyle name="표준 2 7" xfId="321"/>
    <cellStyle name="표준 2 8" xfId="322"/>
    <cellStyle name="표준 2 9" xfId="323"/>
    <cellStyle name="표준 20" xfId="344"/>
    <cellStyle name="표준 21" xfId="375"/>
    <cellStyle name="표준 22" xfId="358"/>
    <cellStyle name="표준 23" xfId="338"/>
    <cellStyle name="표준 24" xfId="366"/>
    <cellStyle name="표준 25" xfId="367"/>
    <cellStyle name="표준 26" xfId="355"/>
    <cellStyle name="표준 27" xfId="347"/>
    <cellStyle name="표준 28" xfId="339"/>
    <cellStyle name="표준 29" xfId="370"/>
    <cellStyle name="표준 3" xfId="333"/>
    <cellStyle name="표준 3 2" xfId="324"/>
    <cellStyle name="표준 30" xfId="378"/>
    <cellStyle name="표준 31" xfId="357"/>
    <cellStyle name="표준 32" xfId="353"/>
    <cellStyle name="표준 33" xfId="361"/>
    <cellStyle name="표준 34" xfId="365"/>
    <cellStyle name="표준 35" xfId="372"/>
    <cellStyle name="표준 36" xfId="345"/>
    <cellStyle name="표준 37" xfId="354"/>
    <cellStyle name="표준 38" xfId="360"/>
    <cellStyle name="표준 39" xfId="343"/>
    <cellStyle name="표준 4" xfId="340"/>
    <cellStyle name="표준 4 2" xfId="325"/>
    <cellStyle name="표준 4 3" xfId="326"/>
    <cellStyle name="표준 4 4" xfId="327"/>
    <cellStyle name="표준 4 5" xfId="328"/>
    <cellStyle name="표준 4 6" xfId="329"/>
    <cellStyle name="표준 4 7" xfId="330"/>
    <cellStyle name="표준 4 8" xfId="331"/>
    <cellStyle name="표준 4 9" xfId="332"/>
    <cellStyle name="표준 40" xfId="364"/>
    <cellStyle name="표준 41" xfId="337"/>
    <cellStyle name="표준 42" xfId="359"/>
    <cellStyle name="표준 43" xfId="363"/>
    <cellStyle name="표준 44" xfId="374"/>
    <cellStyle name="표준 45" xfId="377"/>
    <cellStyle name="표준 46" xfId="350"/>
    <cellStyle name="표준 47" xfId="352"/>
    <cellStyle name="표준 48" xfId="379"/>
    <cellStyle name="표준 49" xfId="349"/>
    <cellStyle name="표준 5" xfId="380"/>
    <cellStyle name="표준 50" xfId="376"/>
    <cellStyle name="표준 51" xfId="346"/>
    <cellStyle name="표준 52" xfId="334"/>
    <cellStyle name="표준 53" xfId="381"/>
    <cellStyle name="표준 54" xfId="382"/>
    <cellStyle name="표준 6" xfId="46"/>
    <cellStyle name="표준 7" xfId="335"/>
    <cellStyle name="표준 8" xfId="2"/>
    <cellStyle name="표준 9" xfId="341"/>
    <cellStyle name="표준_Sheet1" xfId="384"/>
    <cellStyle name="하이퍼링크" xfId="383" builtinId="8"/>
  </cellStyles>
  <dxfs count="2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FF5050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0</xdr:row>
          <xdr:rowOff>76200</xdr:rowOff>
        </xdr:from>
        <xdr:to>
          <xdr:col>3</xdr:col>
          <xdr:colOff>209550</xdr:colOff>
          <xdr:row>1</xdr:row>
          <xdr:rowOff>180975</xdr:rowOff>
        </xdr:to>
        <xdr:sp macro="" textlink="">
          <xdr:nvSpPr>
            <xdr:cNvPr id="2125" name="btnDoc0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0</xdr:row>
          <xdr:rowOff>85725</xdr:rowOff>
        </xdr:from>
        <xdr:to>
          <xdr:col>5</xdr:col>
          <xdr:colOff>180975</xdr:colOff>
          <xdr:row>1</xdr:row>
          <xdr:rowOff>171450</xdr:rowOff>
        </xdr:to>
        <xdr:sp macro="" textlink="">
          <xdr:nvSpPr>
            <xdr:cNvPr id="2132" name="btnDoc1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95250</xdr:rowOff>
        </xdr:from>
        <xdr:to>
          <xdr:col>7</xdr:col>
          <xdr:colOff>38100</xdr:colOff>
          <xdr:row>1</xdr:row>
          <xdr:rowOff>171450</xdr:rowOff>
        </xdr:to>
        <xdr:sp macro="" textlink="">
          <xdr:nvSpPr>
            <xdr:cNvPr id="2133" name="btnDoc2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104775</xdr:rowOff>
        </xdr:from>
        <xdr:to>
          <xdr:col>8</xdr:col>
          <xdr:colOff>9525</xdr:colOff>
          <xdr:row>1</xdr:row>
          <xdr:rowOff>171450</xdr:rowOff>
        </xdr:to>
        <xdr:sp macro="" textlink="">
          <xdr:nvSpPr>
            <xdr:cNvPr id="2138" name="btnDoc3" hidden="1">
              <a:extLst>
                <a:ext uri="{63B3BB69-23CF-44E3-9099-C40C66FF867C}">
                  <a14:compatExt spid="_x0000_s2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104775</xdr:rowOff>
        </xdr:from>
        <xdr:to>
          <xdr:col>9</xdr:col>
          <xdr:colOff>9525</xdr:colOff>
          <xdr:row>1</xdr:row>
          <xdr:rowOff>171450</xdr:rowOff>
        </xdr:to>
        <xdr:sp macro="" textlink="">
          <xdr:nvSpPr>
            <xdr:cNvPr id="2140" name="btnDoc4" hidden="1">
              <a:extLst>
                <a:ext uri="{63B3BB69-23CF-44E3-9099-C40C66FF867C}">
                  <a14:compatExt spid="_x0000_s2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0</xdr:row>
          <xdr:rowOff>9525</xdr:rowOff>
        </xdr:from>
        <xdr:to>
          <xdr:col>7</xdr:col>
          <xdr:colOff>1381125</xdr:colOff>
          <xdr:row>1</xdr:row>
          <xdr:rowOff>28575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56AS)-v0.1.docx" TargetMode="External"/><Relationship Id="rId1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10AA)-v0.1.docx" TargetMode="External"/><Relationship Id="rId2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4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60AA)-v0.1.docx" TargetMode="External"/><Relationship Id="rId6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950AA)-v0.1.docx" TargetMode="External"/><Relationship Id="rId3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9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1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4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40AA_00.prc" TargetMode="External"/><Relationship Id="rId8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0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7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9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950AA-&#51064;&#49324;&#48156;&#47161;&#52376;&#47532;)-v0.1.xls" TargetMode="External"/><Relationship Id="rId13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08AA)-v0.1.docx" TargetMode="External"/><Relationship Id="rId14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1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4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0_GONG_2005.prc" TargetMode="External"/><Relationship Id="rId3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11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2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00AA)-v0.1.docx" TargetMode="External"/><Relationship Id="rId5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8AA)-v0.1.docx" TargetMode="External"/><Relationship Id="rId7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8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20AA)-v0.1.docx" TargetMode="External"/><Relationship Id="rId4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6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-)-v0.1.docx" TargetMode="External"/><Relationship Id="rId7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30AA)-v0.1.docx" TargetMode="External"/><Relationship Id="rId10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030AA-&#54617;&#47141;_&#51204;&#44277;&#44288;&#47532;)-v0.1.xls" TargetMode="External"/><Relationship Id="rId12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13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9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40AA-&#44553;&#50668;&#44228;&#49328;&#51089;&#50629;)-v0.1.xls" TargetMode="External"/><Relationship Id="rId11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12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620AS)-v0.1.docx" TargetMode="External"/><Relationship Id="rId14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1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20AA)-v0.1.docx" TargetMode="External"/><Relationship Id="rId3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601AA)-v0.1.docx" TargetMode="External"/><Relationship Id="rId7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08AA)-v0.1.docx" TargetMode="External"/><Relationship Id="rId2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260AS%0aPMA265AS)-v0.1.docx" TargetMode="External"/><Relationship Id="rId4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50AA)-v0.1.docx" TargetMode="External"/><Relationship Id="rId6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950AA-&#51064;&#49324;&#48156;&#47161;%20&#49828;&#52992;&#51460;&#47084;)-v0.1.xls" TargetMode="External"/><Relationship Id="rId12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_NEW.prc" TargetMode="External"/><Relationship Id="rId8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9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11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8AA)-v0.1.docx" TargetMode="External"/><Relationship Id="rId5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50AA)-v0.1.docx" TargetMode="External"/><Relationship Id="rId7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90AA)-v0.1.docx" TargetMode="External"/><Relationship Id="rId8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3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53.prc" TargetMode="External"/><Relationship Id="rId1448" Type="http://schemas.openxmlformats.org/officeDocument/2006/relationships/drawing" Target="../drawings/drawing1.xml"/><Relationship Id="rId10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50AA-&#49457;&#44284;&#50672;&#48393;&#44228;&#49328;&#51089;&#50629;)-v0.1.xls" TargetMode="External"/><Relationship Id="rId12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620AS-&#51076;&#50857;&#51068;&#44228;&#49328;&#51312;&#54924;)-v0.1.xls" TargetMode="External"/><Relationship Id="rId13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H205AA)-v0.1.docx" TargetMode="External"/><Relationship Id="rId1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3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04.prc" TargetMode="External"/><Relationship Id="rId2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4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60AA)-v0.1.docx" TargetMode="External"/><Relationship Id="rId6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20AA)-v0.1.docx" TargetMode="External"/><Relationship Id="rId8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05AA-&#44060;&#51064;&#48324;&#45733;&#47141;&#44553;&#51648;&#44553;&#50984;&#44288;&#47532;)-v0.1.xls" TargetMode="External"/><Relationship Id="rId10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60AA-&#52636;&#49328;&#51109;&#47140;&#48708;&#51648;&#44553;&#49888;&#52397;&#49436;(&#44208;&#51116;))-v0.1.xls" TargetMode="External"/><Relationship Id="rId3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00AA)-v0.1.docx" TargetMode="External"/><Relationship Id="rId7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145AA)-v0.1.docx" TargetMode="External"/><Relationship Id="rId11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6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10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950AA-&#51064;&#49324;&#48156;&#47161;&#52376;&#47532;)-v0.1.xls" TargetMode="External"/><Relationship Id="rId12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9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620AS-&#51076;&#50857;&#51068;&#44228;&#49328;&#51312;&#54924;)-v0.1.xls" TargetMode="External"/><Relationship Id="rId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380AA)-v0.1.docx" TargetMode="External"/><Relationship Id="rId1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3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6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2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11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00AA-&#48512;&#50577;&#44032;&#51313;&#49888;&#44256;&#49436;)-v0.1.xls" TargetMode="External"/><Relationship Id="rId1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5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7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3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4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20AA)-v0.1.docx" TargetMode="External"/><Relationship Id="rId6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00AA)-v0.1.docx" TargetMode="External"/><Relationship Id="rId8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20AA-&#44060;&#51064;&#48324;&#51648;&#44553;&#44288;&#47532;)-v0.1.xls" TargetMode="External"/><Relationship Id="rId12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HUJIK_ILSU.prc" TargetMode="External"/><Relationship Id="rId9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310AA%0aPMA320AA%0aPMA325AA%0aPMA300AS%0aPMA330AA%0aPMA340AA-&#51064;&#49345;&#50672;&#48393;&#54364;&#44288;&#47532;%0a&#51064;&#49345;&#44592;&#51456;&#50808;&#44553;&#50668;&#44288;&#47532;%0a&#44553;&#50668;&#49548;&#44553;&#44228;&#49328;%0a&#44060;&#51064;&#48324;&#44553;&#50668;&#49548;&#44553;&#54788;&#54889;%0a&#44060;&#51064;&#48324;&#44553;&#50668;&#49548;&#44553;&#44228;&#51340;&#51060;&#52404;&#47749;&#49464;&#49436;%0a&#49548;&#44553;&#44552;&#50997;&#44208;&#51228;&#50896;&#54868;&#51068;&#49373;&#49457;)-v0.1.xls" TargetMode="External"/><Relationship Id="rId11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00AA-&#49457;&#44284;&#44553;&#44592;&#52488;&#51089;&#50629;)-v0.1.xls" TargetMode="External"/><Relationship Id="rId13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SF_FIND_OFO_DAT)-v0.1.docx" TargetMode="External"/><Relationship Id="rId14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4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60AA)-v0.1.docx" TargetMode="External"/><Relationship Id="rId1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260AS%0aPMA265AS)-v0.1.docx" TargetMode="External"/><Relationship Id="rId5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56AS)-v0.1.docx" TargetMode="External"/><Relationship Id="rId7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C270AA)-v0.1.docx" TargetMode="External"/><Relationship Id="rId9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3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19.prc" TargetMode="External"/><Relationship Id="rId4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50AA)-v0.1.docx" TargetMode="External"/><Relationship Id="rId6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---)-v0.1.xls" TargetMode="External"/><Relationship Id="rId12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2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8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1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7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9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30AA-&#44060;&#51064;&#48324;&#44277;&#51228;&#44288;&#47532;)-v0.1.xls" TargetMode="External"/><Relationship Id="rId13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12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14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2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1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230AA)-v0.1.docx" TargetMode="External"/><Relationship Id="rId3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5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5AA)-v0.1.docx" TargetMode="External"/><Relationship Id="rId2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4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6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010RP1-&#51064;&#49324;&#52852;&#46300;)-v0.1.xls" TargetMode="External"/><Relationship Id="rId10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SF_FIND_OFO_DAT-)-v0.1.xls" TargetMode="External"/><Relationship Id="rId12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5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HMA950AA_01.prc" TargetMode="External"/><Relationship Id="rId7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90AA)-v0.1.docx" TargetMode="External"/><Relationship Id="rId9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1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10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50AA-&#49457;&#44284;&#50672;&#48393;&#44228;&#49328;&#51089;&#50629;)-v0.1.xls" TargetMode="External"/><Relationship Id="rId12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4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0RP1)-v0.1.docx" TargetMode="External"/><Relationship Id="rId8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7.%20&#51088;&#49328;\ME-DE005-&#54532;&#47196;&#44536;&#47016;&#49324;&#50577;&#49436;(AMA601AA)-v0.1.docx" TargetMode="External"/><Relationship Id="rId1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20AA)-v0.1.docx" TargetMode="External"/><Relationship Id="rId3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5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2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4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011AS-&#51064;&#49324;&#51068;&#44292;&#51312;&#54924;)-v0.1.xls" TargetMode="External"/><Relationship Id="rId10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40AA-&#44553;&#50668;&#44228;&#49328;&#51089;&#50629;)-v0.1.xls" TargetMode="External"/><Relationship Id="rId1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90AS)-v0.1.docx" TargetMode="External"/><Relationship Id="rId3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7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9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3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H205AA)-v0.1.docx" TargetMode="External"/><Relationship Id="rId6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2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454" Type="http://schemas.openxmlformats.org/officeDocument/2006/relationships/control" Target="../activeX/activeX3.xml"/><Relationship Id="rId11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011AS)-v0.1.docx" TargetMode="External"/><Relationship Id="rId2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10AA_03.prc" TargetMode="External"/><Relationship Id="rId4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60AA)-v0.1.docx" TargetMode="External"/><Relationship Id="rId1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950AA)-v0.1.docx" TargetMode="External"/><Relationship Id="rId6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7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50AA)-v0.1.docx" TargetMode="External"/><Relationship Id="rId6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1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2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4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8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80AA-&#48512;&#50577;&#44032;&#51313;&#49888;&#44256;&#49436;(&#44208;&#51116;))-v0.1.xls" TargetMode="External"/><Relationship Id="rId11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7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9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950AA-&#51064;&#49324;&#48156;&#47161;&#52376;&#47532;)-v0.1.xls" TargetMode="External"/><Relationship Id="rId13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08AA)-v0.1.docx" TargetMode="External"/><Relationship Id="rId14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2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.prc" TargetMode="External"/><Relationship Id="rId4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10AA)-v0.1.docx" TargetMode="External"/><Relationship Id="rId1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3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5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5AA)-v0.1.docx" TargetMode="External"/><Relationship Id="rId7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10AA)-v0.1.docx" TargetMode="External"/><Relationship Id="rId11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25AA.prc" TargetMode="External"/><Relationship Id="rId2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9.prc" TargetMode="External"/><Relationship Id="rId4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8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00AA)-v0.1.docx" TargetMode="External"/><Relationship Id="rId10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290AA-&#51228;&#51613;&#47749;&#49888;&#52397;_&#48156;&#44553;&#52376;&#47532;)-v0.1.xls" TargetMode="External"/><Relationship Id="rId12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6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60AS%0aPMA265AS)-v0.1.docx" TargetMode="External"/><Relationship Id="rId7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2AA)-v0.1.docx" TargetMode="External"/><Relationship Id="rId9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3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7.%20&#51088;&#49328;\ME-DE007-&#54168;&#51060;&#51648;&#47112;&#51060;&#50500;&#50883;(AMA601AA)-v0.1.docx" TargetMode="External"/><Relationship Id="rId11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2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14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2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20AA)-v0.1.docx" TargetMode="External"/><Relationship Id="rId3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3_ORG.prc" TargetMode="External"/><Relationship Id="rId5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10AS)-v0.1.docx" TargetMode="External"/><Relationship Id="rId7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5AA)-v0.1.docx" TargetMode="External"/><Relationship Id="rId2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60AS%0aPMA265AS)-v0.1.docx" TargetMode="External"/><Relationship Id="rId4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50AA)-v0.1.docx" TargetMode="External"/><Relationship Id="rId6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320AA-&#49849;&#44553;&#52376;&#47532;)-v0.1.xls" TargetMode="External"/><Relationship Id="rId12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3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50AA)-v0.1.docx" TargetMode="External"/><Relationship Id="rId9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11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8AA)-v0.1.docx" TargetMode="External"/><Relationship Id="rId8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50AA-&#49457;&#44284;&#50672;&#48393;&#44228;&#49328;&#51089;&#50629;)-v0.1.xls" TargetMode="External"/><Relationship Id="rId1447" Type="http://schemas.openxmlformats.org/officeDocument/2006/relationships/printerSettings" Target="../printerSettings/printerSettings2.bin"/><Relationship Id="rId13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45AA)-v0.1.docx" TargetMode="External"/><Relationship Id="rId1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40AA)-v0.1.docx" TargetMode="External"/><Relationship Id="rId4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0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6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095AA-&#51064;&#49324;&#48320;&#46041;&#49324;&#54637;&#51312;&#54924;)-v0.1.xls" TargetMode="External"/><Relationship Id="rId9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---)-v0.1.xls" TargetMode="External"/><Relationship Id="rId3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00AA)-v0.1.docx" TargetMode="External"/><Relationship Id="rId7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B470AS)-v0.1.docx" TargetMode="External"/><Relationship Id="rId8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1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50AA-&#49457;&#44284;&#50672;&#48393;&#44228;&#49328;&#51089;&#50629;)-v0.1.xls" TargetMode="External"/><Relationship Id="rId13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60AA)-v0.1.docx" TargetMode="External"/><Relationship Id="rId6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10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620AS-&#51076;&#50857;&#51068;&#44228;&#49328;&#51312;&#54924;)-v0.1.xls" TargetMode="External"/><Relationship Id="rId12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9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AMA601AA-&#47532;&#49828;&#47932;&#54408;&#44288;&#47532;)-v0.1.xls" TargetMode="External"/><Relationship Id="rId13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1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2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4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6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3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0.prc" TargetMode="External"/><Relationship Id="rId5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200AA)-v0.1.docx" TargetMode="External"/><Relationship Id="rId7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11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950AA-&#51064;&#49324;&#48156;&#47161;&#52376;&#47532;)-v0.1.xls" TargetMode="External"/><Relationship Id="rId13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2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4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320AA)-v0.1.docx" TargetMode="External"/><Relationship Id="rId9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0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5AS-&#48708;&#44553;&#50668;&#45824;&#49345;&#51088;&#47532;&#49828;&#53944;)-v0.1.xls" TargetMode="External"/><Relationship Id="rId12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6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40AA-&#44553;&#50668;&#44228;&#49328;&#51089;&#50629;)-v0.1.xls" TargetMode="External"/><Relationship Id="rId1460" Type="http://schemas.openxmlformats.org/officeDocument/2006/relationships/comments" Target="../comments1.xml"/><Relationship Id="rId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56AS)-v0.1.docx" TargetMode="External"/><Relationship Id="rId11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10AA-&#49457;&#44284;&#44553;&#44228;&#49328;&#51089;&#50629;)-v0.1.xls" TargetMode="External"/><Relationship Id="rId13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4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2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4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60AA)-v0.1.docx" TargetMode="External"/><Relationship Id="rId1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60AS%0aPMA265AS)-v0.1.docx" TargetMode="External"/><Relationship Id="rId3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56AS)-v0.1.docx" TargetMode="External"/><Relationship Id="rId7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0_GONG_2005.prc" TargetMode="External"/><Relationship Id="rId4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50AA)-v0.1.docx" TargetMode="External"/><Relationship Id="rId6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0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---)-v0.1.xls" TargetMode="External"/><Relationship Id="rId12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7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1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53.prc" TargetMode="External"/><Relationship Id="rId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12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20AA-&#52636;&#49328;&#51109;&#47140;&#48708;&#51648;&#44553;&#49888;&#52397;&#49436;)-v0.1.xls" TargetMode="External"/><Relationship Id="rId2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230AA)-v0.1.docx" TargetMode="External"/><Relationship Id="rId3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0_GONG.prc" TargetMode="External"/><Relationship Id="rId12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2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6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950AA)-v0.1.docx" TargetMode="External"/><Relationship Id="rId7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30AA)-v0.1.docx" TargetMode="External"/><Relationship Id="rId9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1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60AA)-v0.1.docx" TargetMode="External"/><Relationship Id="rId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8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0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12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7.%20&#51088;&#49328;\ME-DE005-&#54532;&#47196;&#44536;&#47016;&#49324;&#50577;&#49436;(AMA210AS)-v0.1.docx" TargetMode="External"/><Relationship Id="rId3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20AA)-v0.1.docx" TargetMode="External"/><Relationship Id="rId7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10AS)-v0.1.docx" TargetMode="External"/><Relationship Id="rId9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00AA-)-v0.1.xls" TargetMode="External"/><Relationship Id="rId11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60AA-&#49457;&#44284;&#50672;&#48393;&#54788;&#54889;)-v0.1.xls" TargetMode="External"/><Relationship Id="rId13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60AA-&#52636;&#49328;&#51109;&#47140;&#48708;&#51648;&#44553;&#49888;&#52397;&#49436;(&#44208;&#51116;))-v0.1.xls" TargetMode="External"/><Relationship Id="rId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70AA)-v0.1.docx" TargetMode="External"/><Relationship Id="rId1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00AA)-v0.1.docx" TargetMode="External"/><Relationship Id="rId3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5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6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00AA-&#48512;&#50577;&#44032;&#51313;&#49888;&#44256;&#49436;)-v0.1.xls" TargetMode="External"/><Relationship Id="rId12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2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011AS-&#51064;&#49324;&#51068;&#44292;&#51312;&#54924;)-v0.1.xls" TargetMode="External"/><Relationship Id="rId10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20AA-&#44060;&#51064;&#48324;&#51648;&#44553;&#44288;&#47532;)-v0.1.xls" TargetMode="External"/><Relationship Id="rId13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HUJIK_ILSU.prc" TargetMode="External"/><Relationship Id="rId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095AA)-v0.1.docx" TargetMode="External"/><Relationship Id="rId4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50AA_02.prc" TargetMode="External"/><Relationship Id="rId5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10AA)-v0.1.docx" TargetMode="External"/><Relationship Id="rId7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11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10AA-&#49457;&#44284;&#44553;&#44228;&#49328;&#51089;&#50629;)-v0.1.xls" TargetMode="External"/><Relationship Id="rId13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145AA)-v0.1.docx" TargetMode="External"/><Relationship Id="rId1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3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3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4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9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0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070AA-&#44060;&#51064;&#48324;&#51008;&#54665;&#44228;&#51340;&#44288;&#47532;)-v0.1.xls" TargetMode="External"/><Relationship Id="rId12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5AA)-v0.1.docx" TargetMode="External"/><Relationship Id="rId6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8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53" Type="http://schemas.openxmlformats.org/officeDocument/2006/relationships/image" Target="../media/image2.emf"/><Relationship Id="rId2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4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50AA)-v0.1.docx" TargetMode="External"/><Relationship Id="rId10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00AA-&#44032;&#51313;&#49324;&#54637;&#44288;&#47532;)-v0.1.xls" TargetMode="External"/><Relationship Id="rId11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C270AA-&#50689;&#49688;&#51613;\&#51669;&#49688;&#48512;&#52636;&#47141;%20&#49849;&#51064;)-v0.1.xls" TargetMode="External"/><Relationship Id="rId13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3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1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3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7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6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2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2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10AA_02.prc" TargetMode="External"/><Relationship Id="rId4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6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9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B470AS-&#44060;&#51064;&#48324;&#44540;&#47924;&#44592;&#44036;&#51312;&#54924;)-v0.1.xls" TargetMode="External"/><Relationship Id="rId11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13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620AS)-v0.1.docx" TargetMode="External"/><Relationship Id="rId1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3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53.prc" TargetMode="External"/><Relationship Id="rId5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50AA)-v0.1.docx" TargetMode="External"/><Relationship Id="rId7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9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6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50AA-&#51088;&#45376;&#54617;&#48708;&#48372;&#51312;&#44552;&#49888;&#52397;&#49436;(&#44208;&#51116;))-v0.1.xls" TargetMode="External"/><Relationship Id="rId12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2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4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4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7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11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3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1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30AA)-v0.1.docx" TargetMode="External"/><Relationship Id="rId3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6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7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440AS)-v0.1.docx" TargetMode="External"/><Relationship Id="rId9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---)-v0.1.xls" TargetMode="External"/><Relationship Id="rId9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5AA)-v0.1.docx" TargetMode="External"/><Relationship Id="rId5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0_GONG_2005.prc" TargetMode="External"/><Relationship Id="rId6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1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50AA-&#49457;&#44284;&#50672;&#48393;&#44228;&#49328;&#51089;&#50629;)-v0.1.xls" TargetMode="External"/><Relationship Id="rId12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4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40AA)-v0.1.docx" TargetMode="External"/><Relationship Id="rId2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3.prc" TargetMode="External"/><Relationship Id="rId2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4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5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50AA)-v0.1.docx" TargetMode="External"/><Relationship Id="rId10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095AA-&#51064;&#49324;&#48320;&#46041;&#49324;&#54637;&#51312;&#54924;)-v0.1.xls" TargetMode="External"/><Relationship Id="rId11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---)-v0.1.xls" TargetMode="External"/><Relationship Id="rId13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60AA-&#52636;&#49328;&#51109;&#47140;&#48708;&#51648;&#44553;&#49888;&#52397;&#49436;(&#44208;&#51116;))-v0.1.xls" TargetMode="External"/><Relationship Id="rId4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10AA)-v0.1.docx" TargetMode="External"/><Relationship Id="rId7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200AA)-v0.1.docx" TargetMode="External"/><Relationship Id="rId9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20AA-&#44060;&#51064;&#48324;&#51648;&#44553;&#44288;&#47532;)-v0.1.xls" TargetMode="External"/><Relationship Id="rId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030AA)-v0.1.docx" TargetMode="External"/><Relationship Id="rId1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5AA)-v0.1.docx" TargetMode="External"/><Relationship Id="rId11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12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4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2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4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10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600AA-&#51064;&#49324;&#45936;&#51060;&#53552;&#44428;&#54620;)-v0.1.xls" TargetMode="External"/><Relationship Id="rId2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7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9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80AA-&#48512;&#50577;&#44032;&#51313;&#49888;&#44256;&#49436;(&#44208;&#51116;))-v0.1.xls" TargetMode="External"/><Relationship Id="rId13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60AA)-v0.1.docx" TargetMode="External"/><Relationship Id="rId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7.%20&#51088;&#49328;\ME-DE007-&#54168;&#51060;&#51648;&#47112;&#51060;&#50500;&#50883;(AMA210AS)-v0.1.docx" TargetMode="External"/><Relationship Id="rId1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3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02.prc" TargetMode="External"/><Relationship Id="rId5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290AA)-v0.1.docx" TargetMode="External"/><Relationship Id="rId7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2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4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2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C270AA)-v0.1.docx" TargetMode="External"/><Relationship Id="rId4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00.prc" TargetMode="External"/><Relationship Id="rId8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380AA-&#47784;&#51032;&#50672;&#47568;&#51221;&#49328;&#44208;&#44284;&#48372;&#44592;)-v0.1.xls" TargetMode="External"/><Relationship Id="rId10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AMA290AS-&#48512;&#50808;&#51088;&#49328;&#45824;&#51109;)-v0.1.xls" TargetMode="External"/><Relationship Id="rId12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JING_ILSU.prc" TargetMode="External"/><Relationship Id="rId6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7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56AS)-v0.1.docx" TargetMode="External"/><Relationship Id="rId9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60AA-&#52636;&#49328;&#51109;&#47140;&#48708;&#51648;&#44553;&#49888;&#52397;&#49436;(&#44208;&#51116;))-v0.1.xls" TargetMode="External"/><Relationship Id="rId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950AA)-v0.1.docx" TargetMode="External"/><Relationship Id="rId3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50AA)-v0.1.docx" TargetMode="External"/><Relationship Id="rId5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80AS)-v0.1.docx" TargetMode="External"/><Relationship Id="rId8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1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2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14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05AA)-v0.1.docx" TargetMode="External"/><Relationship Id="rId2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2.%20&#48516;&#49437;(AN)\02.%20&#44221;&#50689;&#51221;&#48372;%20&#44592;&#45733;&#44060;&#49440;(ME)\ME-AN007-&#50629;&#47924;&#44592;&#45733;&#48516;&#54644;&#46020;\ME-AN007-&#50629;&#47924;&#44592;&#45733;&#48516;&#54644;&#46020;(&#44221;&#50689;&#51221;&#48372;%20&#44592;&#45733;&#44060;&#49440;)-v1.0.xls" TargetMode="External"/><Relationship Id="rId7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-)-v0.1.docx" TargetMode="External"/><Relationship Id="rId8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30AA-&#44060;&#51064;&#48324;&#44277;&#51228;&#44288;&#47532;)-v0.1.xls" TargetMode="External"/><Relationship Id="rId10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950AA-&#51064;&#49324;&#48156;&#47161;&#52376;&#47532;)-v0.1.xls" TargetMode="External"/><Relationship Id="rId4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6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7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12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3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2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JOB_SP_HMA200TB_01.sql" TargetMode="External"/><Relationship Id="rId3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3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5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6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9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00AA-)-v0.1.xls" TargetMode="External"/><Relationship Id="rId11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2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5AA)-v0.1.docx" TargetMode="External"/><Relationship Id="rId1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5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20AA)-v0.1.docx" TargetMode="External"/><Relationship Id="rId8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50AA-&#49457;&#44284;&#50672;&#48393;&#44228;&#49328;&#51089;&#50629;)-v0.1.xls" TargetMode="External"/><Relationship Id="rId14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2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10AA)-v0.1.docx" TargetMode="External"/><Relationship Id="rId4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59.prc" TargetMode="External"/><Relationship Id="rId6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10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2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13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30AA)-v0.1.docx" TargetMode="External"/><Relationship Id="rId1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601AA)-v0.1.docx" TargetMode="External"/><Relationship Id="rId3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9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30AA)-v0.1.docx" TargetMode="External"/><Relationship Id="rId1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40AA)-v0.1.docx" TargetMode="External"/><Relationship Id="rId3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8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457" Type="http://schemas.openxmlformats.org/officeDocument/2006/relationships/image" Target="../media/image4.emf"/><Relationship Id="rId2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4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60AA)-v0.1.docx" TargetMode="External"/><Relationship Id="rId6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090AA-&#49888;&#44508;&#51076;&#50857;&#46321;&#47197;)-v0.1.xls" TargetMode="External"/><Relationship Id="rId10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40AA-&#44553;&#50668;&#44228;&#49328;&#51089;&#50629;)-v0.1.xls" TargetMode="External"/><Relationship Id="rId13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SF_FIND_OFO_DAT)-v0.1.docx" TargetMode="External"/><Relationship Id="rId1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950AA)-v0.1.docx" TargetMode="External"/><Relationship Id="rId3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00AA)-v0.1.docx" TargetMode="External"/><Relationship Id="rId9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50AA-&#49457;&#44284;&#50672;&#48393;&#44228;&#49328;&#51089;&#50629;)-v0.1.xls" TargetMode="External"/><Relationship Id="rId13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60AA)-v0.1.docx" TargetMode="External"/><Relationship Id="rId7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SF_FIND_OFO_DAT)-v0.1.docx" TargetMode="External"/><Relationship Id="rId8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00AA-&#49457;&#44284;&#44553;&#44592;&#52488;&#51089;&#50629;)-v0.1.xls" TargetMode="External"/><Relationship Id="rId1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4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60AA)-v0.1.docx" TargetMode="External"/><Relationship Id="rId6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30AA)-v0.1.docx" TargetMode="External"/><Relationship Id="rId6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2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3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3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3.prc" TargetMode="External"/><Relationship Id="rId8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H205AA-&#54637;&#44277;&#47560;&#51068;&#47532;&#51648;)-v0.1.xls" TargetMode="External"/><Relationship Id="rId9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AMA210AS-&#52264;&#47049;&#50868;&#48152;&#44396;&#45824;&#51109;)-v0.1.xls" TargetMode="External"/><Relationship Id="rId9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5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80AA)-v0.1.docx" TargetMode="External"/><Relationship Id="rId7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8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1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00AA-&#49457;&#44284;&#44553;&#44592;&#52488;&#51089;&#50629;)-v0.1.xls" TargetMode="External"/><Relationship Id="rId13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40AA)-v0.1.docx" TargetMode="External"/><Relationship Id="rId3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9.prc" TargetMode="External"/><Relationship Id="rId4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6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10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2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3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2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4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6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7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20AA)-v0.1.docx" TargetMode="External"/><Relationship Id="rId9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950AA-&#51064;&#49324;&#48156;&#47161;%20&#49828;&#52992;&#51460;&#47084;)-v0.1.xls" TargetMode="External"/><Relationship Id="rId11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20AA)-v0.1.docx" TargetMode="External"/><Relationship Id="rId1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3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0RP1)-v0.1.docx" TargetMode="External"/><Relationship Id="rId7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11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950AA-&#51064;&#49324;&#48156;&#47161;&#52376;&#47532;)-v0.1.xls" TargetMode="External"/><Relationship Id="rId13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14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1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2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4.prc" TargetMode="External"/><Relationship Id="rId4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320AA)-v0.1.docx" TargetMode="External"/><Relationship Id="rId6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08AA-&#44553;&#50668;&#48320;&#46041;&#49324;&#54637;&#44288;&#47532;)-v0.1.xls" TargetMode="External"/><Relationship Id="rId12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2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10AA)-v0.1.docx" TargetMode="External"/><Relationship Id="rId4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50AA)-v0.1.docx" TargetMode="External"/><Relationship Id="rId9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1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00AA-)-v0.1.xls" TargetMode="External"/><Relationship Id="rId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56AS)-v0.1.docx" TargetMode="External"/><Relationship Id="rId3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5AS)-v0.1.docx" TargetMode="External"/><Relationship Id="rId7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20AA)-v0.1.docx" TargetMode="External"/><Relationship Id="rId11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320AA)-v0.1.docx" TargetMode="External"/><Relationship Id="rId2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53.prc" TargetMode="External"/><Relationship Id="rId4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6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9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011AS-&#51064;&#49324;&#51068;&#44292;&#51312;&#54924;)-v0.1.xls" TargetMode="External"/><Relationship Id="rId12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9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60AA-&#52636;&#49328;&#51109;&#47140;&#48708;&#51648;&#44553;&#49888;&#52397;&#49436;(&#44208;&#51116;))-v0.1.xls" TargetMode="External"/><Relationship Id="rId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2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1AS)-v0.1.docx" TargetMode="External"/><Relationship Id="rId7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1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340AA)-v0.1.docx" TargetMode="External"/><Relationship Id="rId7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00AA)-v0.1.docx" TargetMode="External"/><Relationship Id="rId9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620AS-&#51076;&#50857;&#51068;&#44228;&#49328;&#51312;&#54924;)-v0.1.xls" TargetMode="External"/><Relationship Id="rId4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6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2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2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4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_NEW.prc" TargetMode="External"/><Relationship Id="rId5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7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80AA)-v0.1.docx" TargetMode="External"/><Relationship Id="rId9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440AS-&#51613;&#47749;&#49436;&#48156;&#54665;&#51060;&#47141;&#54788;&#54889;)-v0.1.xls" TargetMode="External"/><Relationship Id="rId11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60AA)-v0.1.docx" TargetMode="External"/><Relationship Id="rId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200AA)-v0.1.docx" TargetMode="External"/><Relationship Id="rId1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40AA)-v0.1.docx" TargetMode="External"/><Relationship Id="rId3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-)-v0.1.docx" TargetMode="External"/><Relationship Id="rId5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7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8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2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50AA-&#51088;&#45376;&#54617;&#48708;&#48372;&#51312;&#44552;&#49888;&#52397;&#49436;(&#44208;&#51116;))-v0.1.xls" TargetMode="External"/><Relationship Id="rId14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5AS)-v0.1.docx" TargetMode="External"/><Relationship Id="rId2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4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50AA)-v0.1.docx" TargetMode="External"/><Relationship Id="rId6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0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340AA-&#51221;&#54788;&#50896;&#54364;&#44288;&#47532;)-v0.1.xls" TargetMode="External"/><Relationship Id="rId12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2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ERT_PMT150TB.prc" TargetMode="External"/><Relationship Id="rId3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5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7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5AA)-v0.1.docx" TargetMode="External"/><Relationship Id="rId11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1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30AA)-v0.1.docx" TargetMode="External"/><Relationship Id="rId3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5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60AS%0aPMA265AS)-v0.1.docx" TargetMode="External"/><Relationship Id="rId10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2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4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_NEW.prc" TargetMode="External"/><Relationship Id="rId6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10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310AA%0aPMA320AA%0aPMA325AA%0aPMA300AS%0aPMA330AA%0aPMA340AA-&#51064;&#49345;&#50672;&#48393;&#54364;&#44288;&#47532;%0a&#51064;&#49345;&#44592;&#51456;&#50808;&#44553;&#50668;&#44288;&#47532;%0a&#44553;&#50668;&#49548;&#44553;&#44228;&#49328;%0a&#44060;&#51064;&#48324;&#44553;&#50668;&#49548;&#44553;&#54788;&#54889;%0a&#44060;&#51064;&#48324;&#44553;&#50668;&#49548;&#44553;&#44228;&#51340;&#51060;&#52404;&#47749;&#49464;&#49436;%0a&#49548;&#44553;&#44552;&#50997;&#44208;&#51228;&#50896;&#54868;&#51068;&#49373;&#49457;)-v0.1.xls" TargetMode="External"/><Relationship Id="rId12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290AA)-v0.1.docx" TargetMode="External"/><Relationship Id="rId2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950AA)-v0.1.docx" TargetMode="External"/><Relationship Id="rId11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60AA)-v0.1.docx" TargetMode="External"/><Relationship Id="rId7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290AA)-v0.1.docx" TargetMode="External"/><Relationship Id="rId9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0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00AA-&#49457;&#44284;&#44553;&#44592;&#52488;&#51089;&#50629;)-v0.1.xls" TargetMode="External"/><Relationship Id="rId1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310AA%0aPMA320AA%0aPMA325AA%0aPMA300AS%0aPMA330AA%0aPMA340AA)-v0.1.docx" TargetMode="External"/><Relationship Id="rId3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6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2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4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C050AS)-v0.1.docx" TargetMode="External"/><Relationship Id="rId8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08AA-&#44553;&#50668;&#48320;&#46041;&#49324;&#54637;&#44288;&#47532;)-v0.1.xls" TargetMode="External"/><Relationship Id="rId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7.%20&#51088;&#49328;\ME-DE005-&#54532;&#47196;&#44536;&#47016;&#49324;&#50577;&#49436;(AMA280AS)-v0.1.docx" TargetMode="External"/><Relationship Id="rId5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20AA)-v0.1.docx" TargetMode="External"/><Relationship Id="rId7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80AS)-v0.1.docx" TargetMode="External"/><Relationship Id="rId9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--&#51221;&#54788;&#50896;&#49373;&#49457;%20&#51089;&#50629;%20&#49828;&#52992;&#51460;&#47084;)-v0.1.xls" TargetMode="External"/><Relationship Id="rId11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50AA-&#49457;&#44284;&#50672;&#48393;&#44228;&#49328;&#51089;&#50629;)-v0.1.xls" TargetMode="External"/><Relationship Id="rId13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60AA-&#52636;&#49328;&#51109;&#47140;&#48708;&#51648;&#44553;&#49888;&#52397;&#49436;(&#44208;&#51116;))-v0.1.xls" TargetMode="External"/><Relationship Id="rId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80AA)-v0.1.docx" TargetMode="External"/><Relationship Id="rId1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00AA)-v0.1.docx" TargetMode="External"/><Relationship Id="rId3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6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950AA-&#51064;&#49324;&#48156;&#47161;&#52376;&#47532;)-v0.1.xls" TargetMode="External"/><Relationship Id="rId12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14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2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-)-v0.1.docx" TargetMode="External"/><Relationship Id="rId4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50AA_01.prc" TargetMode="External"/><Relationship Id="rId6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8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090AA-&#48372;&#54984;_&#51109;&#50528;&#44288;&#47532;)-v0.1.xls" TargetMode="External"/><Relationship Id="rId9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---)-v0.1.xls" TargetMode="External"/><Relationship Id="rId10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30AA-&#44060;&#51064;&#48324;&#44277;&#51228;&#44288;&#47532;)-v0.1.xls" TargetMode="External"/><Relationship Id="rId13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090AA)-v0.1.docx" TargetMode="External"/><Relationship Id="rId1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B470AS)-v0.1.docx" TargetMode="External"/><Relationship Id="rId3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03.prc" TargetMode="External"/><Relationship Id="rId5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7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20AA)-v0.1.docx" TargetMode="External"/><Relationship Id="rId9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1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50AA-&#49457;&#44284;&#50672;&#48393;&#44228;&#49328;&#51089;&#50629;)-v0.1.xls" TargetMode="External"/><Relationship Id="rId13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30AA)-v0.1.docx" TargetMode="External"/><Relationship Id="rId1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SP_PMA110AA_JIGUB_SUM.prc" TargetMode="External"/><Relationship Id="rId3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JIGUB_SUM.prc" TargetMode="External"/><Relationship Id="rId4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6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380AA-&#47784;&#51032;&#50672;&#47568;&#51221;&#49328;&#44208;&#44284;&#48372;&#44592;)-v0.1.xls" TargetMode="External"/><Relationship Id="rId12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25AA.prc" TargetMode="External"/><Relationship Id="rId1452" Type="http://schemas.openxmlformats.org/officeDocument/2006/relationships/control" Target="../activeX/activeX2.xml"/><Relationship Id="rId2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6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10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50AA-&#51088;&#45376;&#54617;&#48708;&#48372;&#51312;&#44552;&#49888;&#52397;&#49436;(&#44208;&#51116;))-v0.1.xls" TargetMode="External"/><Relationship Id="rId11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H205AA)-v0.1.docx" TargetMode="External"/><Relationship Id="rId1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4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50AA)-v0.1.docx" TargetMode="External"/><Relationship Id="rId5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70AA)-v0.1.docx" TargetMode="External"/><Relationship Id="rId7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30AA)-v0.1.docx" TargetMode="External"/><Relationship Id="rId11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13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3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4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6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C270AA)-v0.1.docx" TargetMode="External"/><Relationship Id="rId9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0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30AA-&#44060;&#51064;&#48324;&#44277;&#51228;&#44288;&#47532;)-v0.1.xls" TargetMode="External"/><Relationship Id="rId12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1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00AA-)-v0.1.xls" TargetMode="External"/><Relationship Id="rId2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10AA_01.prc" TargetMode="External"/><Relationship Id="rId4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60AA)-v0.1.docx" TargetMode="External"/><Relationship Id="rId9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SF_FIND_OFO_DAT-)-v0.1.xls" TargetMode="External"/><Relationship Id="rId13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950AA)-v0.1.docx" TargetMode="External"/><Relationship Id="rId3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59.prc" TargetMode="External"/><Relationship Id="rId7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2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2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4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7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20AS)-v0.1.docx" TargetMode="External"/><Relationship Id="rId9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---)-v0.1.xls" TargetMode="External"/><Relationship Id="rId11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03.prc" TargetMode="External"/><Relationship Id="rId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05AA)-v0.1.docx" TargetMode="External"/><Relationship Id="rId1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30AA)-v0.1.docx" TargetMode="External"/><Relationship Id="rId3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10AA)-v0.1.docx" TargetMode="External"/><Relationship Id="rId7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C050AS)-v0.1.docx" TargetMode="External"/><Relationship Id="rId9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320AA-&#49849;&#44553;&#52376;&#47532;)-v0.1.xls" TargetMode="External"/><Relationship Id="rId11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00AA-&#49457;&#44284;&#44553;&#44592;&#52488;&#51089;&#50629;)-v0.1.xls" TargetMode="External"/><Relationship Id="rId14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2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6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090AA-&#49888;&#44508;&#51076;&#50857;&#46321;&#47197;)-v0.1.xls" TargetMode="External"/><Relationship Id="rId12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HUJIK_ILSU.prc" TargetMode="External"/><Relationship Id="rId2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4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40AA_00_TAX_CALC.prc" TargetMode="External"/><Relationship Id="rId4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5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50AA)-v0.1.docx" TargetMode="External"/><Relationship Id="rId7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0RP1)-v0.1.docx" TargetMode="External"/><Relationship Id="rId9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40AA-&#44553;&#50668;&#44228;&#49328;&#51089;&#50629;)-v0.1.xls" TargetMode="External"/><Relationship Id="rId11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60AA-&#52636;&#49328;&#51109;&#47140;&#48708;&#51648;&#44553;&#49888;&#52397;&#49436;(&#44208;&#51116;))-v0.1.xls" TargetMode="External"/><Relationship Id="rId1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20AA)-v0.1.docx" TargetMode="External"/><Relationship Id="rId3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14.prc" TargetMode="External"/><Relationship Id="rId7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1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2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290AA)-v0.1.docx" TargetMode="External"/><Relationship Id="rId5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95AA)-v0.1.docx" TargetMode="External"/><Relationship Id="rId6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-)-v0.1.docx" TargetMode="External"/><Relationship Id="rId8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12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4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2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PMT_RATE.prc" TargetMode="External"/><Relationship Id="rId4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TYPE_bock_mu_code_array.sql" TargetMode="External"/><Relationship Id="rId5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620AS)-v0.1.docx" TargetMode="External"/><Relationship Id="rId10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H205AA-&#54637;&#44277;&#47560;&#51068;&#47532;&#51648;)-v0.1.xls" TargetMode="External"/><Relationship Id="rId11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60AA)-v0.1.docx" TargetMode="External"/><Relationship Id="rId1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7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5AS)-v0.1.docx" TargetMode="External"/><Relationship Id="rId9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20AA-&#52636;&#49328;&#51109;&#47140;&#48708;&#51648;&#44553;&#49888;&#52397;&#49436;)-v0.1.xls" TargetMode="External"/><Relationship Id="rId10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7.%20&#51088;&#49328;\ME-DE007-&#54168;&#51060;&#51648;&#47112;&#51060;&#50500;&#50883;(AMA280AS)-v0.1.docx" TargetMode="External"/><Relationship Id="rId3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5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00AA)-v0.1.docx" TargetMode="External"/><Relationship Id="rId12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C270AA)-v0.1.docx" TargetMode="External"/><Relationship Id="rId4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8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950AA-&#51064;&#49324;&#48156;&#47161;&#52376;&#47532;)-v0.1.xls" TargetMode="External"/><Relationship Id="rId10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145AA-&#44540;&#47924;&#44221;&#47141;&#44288;&#47532;)-v0.1.xls" TargetMode="External"/><Relationship Id="rId7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1AS)-v0.1.docx" TargetMode="External"/><Relationship Id="rId9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00AA-&#48512;&#50577;&#44032;&#51313;&#49888;&#44256;&#49436;)-v0.1.xls" TargetMode="External"/><Relationship Id="rId13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60AA-&#52636;&#49328;&#51109;&#47140;&#48708;&#51648;&#44553;&#49888;&#52397;&#49436;(&#44208;&#51116;))-v0.1.xls" TargetMode="External"/><Relationship Id="rId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950AA)-v0.1.docx" TargetMode="External"/><Relationship Id="rId1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10AA)-v0.1.docx" TargetMode="External"/><Relationship Id="rId3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90AS)-v0.1.docx" TargetMode="External"/><Relationship Id="rId7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60AS%0aPMA265AS)-v0.1.docx" TargetMode="External"/><Relationship Id="rId8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2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095AA)-v0.1.docx" TargetMode="External"/><Relationship Id="rId2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440AS)-v0.1.docx" TargetMode="External"/><Relationship Id="rId4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50AA)-v0.1.docx" TargetMode="External"/><Relationship Id="rId6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22AA-&#51068;&#51088;&#48324;&#44060;&#51064;&#48324;&#49884;&#44036;&#50808;&#49688;&#45817;&#44288;&#47532;)-v0.1.xls" TargetMode="External"/><Relationship Id="rId10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950AA-&#51064;&#49324;&#48156;&#47161;&#52376;&#47532;)-v0.1.xls" TargetMode="External"/><Relationship Id="rId12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7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9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00AA-)-v0.1.xls" TargetMode="External"/><Relationship Id="rId11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25AA.prc" TargetMode="External"/><Relationship Id="rId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5AA)-v0.1.docx" TargetMode="External"/><Relationship Id="rId3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50AA_01.prc" TargetMode="External"/><Relationship Id="rId5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6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8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2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4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2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8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56AS-&#44553;&#50668;&#45824;&#51109;(&#45824;&#54364;))-v0.1.xls" TargetMode="External"/><Relationship Id="rId10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3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10AS)-v0.1.docx" TargetMode="External"/><Relationship Id="rId4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6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7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60AS%0aPMA265AS)-v0.1.docx" TargetMode="External"/><Relationship Id="rId9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2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22AA)-v0.1.docx" TargetMode="External"/><Relationship Id="rId3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15.prc" TargetMode="External"/><Relationship Id="rId3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WORK_RECORD.prc" TargetMode="External"/><Relationship Id="rId5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20AS)-v0.1.docx" TargetMode="External"/><Relationship Id="rId6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1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2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290AA)-v0.1.docx" TargetMode="External"/><Relationship Id="rId1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8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1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440AS-&#51613;&#47749;&#49436;&#48156;&#54665;&#51060;&#47141;&#54788;&#54889;)-v0.1.xls" TargetMode="External"/><Relationship Id="rId1456" Type="http://schemas.openxmlformats.org/officeDocument/2006/relationships/control" Target="../activeX/activeX4.xml"/><Relationship Id="rId2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4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60AA)-v0.1.docx" TargetMode="External"/><Relationship Id="rId6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10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3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56AS)-v0.1.docx" TargetMode="External"/><Relationship Id="rId1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950AA)-v0.1.docx" TargetMode="External"/><Relationship Id="rId3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05.prc" TargetMode="External"/><Relationship Id="rId5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HMA950AA_03.prc" TargetMode="External"/><Relationship Id="rId9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50AA-&#49457;&#44284;&#50672;&#48393;&#44228;&#49328;&#51089;&#50629;)-v0.1.xls" TargetMode="External"/><Relationship Id="rId1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10AA)-v0.1.docx" TargetMode="External"/><Relationship Id="rId8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50AA-&#49457;&#44284;&#50672;&#48393;&#44228;&#49328;&#51089;&#50629;)-v0.1.xls" TargetMode="External"/><Relationship Id="rId2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10AA)-v0.1.docx" TargetMode="External"/><Relationship Id="rId4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6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8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45AA-&#49457;&#44552;&#44288;&#47532;)-v0.1.xls" TargetMode="External"/><Relationship Id="rId9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AMA280AS-&#44277;&#44592;&#44396;&#48708;&#54408;&#45824;&#51109;)-v0.1.xls" TargetMode="External"/><Relationship Id="rId13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1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3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80AA)-v0.1.docx" TargetMode="External"/><Relationship Id="rId9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1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3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40AA)-v0.1.docx" TargetMode="External"/><Relationship Id="rId4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7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8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0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4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6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10AA)-v0.1.docx" TargetMode="External"/><Relationship Id="rId6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7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00AA)-v0.1.docx" TargetMode="External"/><Relationship Id="rId9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320AA-&#49849;&#44553;&#52376;&#47532;)-v0.1.xls" TargetMode="External"/><Relationship Id="rId12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3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3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9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1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950AA-&#51064;&#49324;&#48156;&#47161;&#52376;&#47532;)-v0.1.xls" TargetMode="External"/><Relationship Id="rId14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5AS)-v0.1.docx" TargetMode="External"/><Relationship Id="rId5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7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8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13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2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414" Type="http://schemas.openxmlformats.org/officeDocument/2006/relationships/hyperlink" Target="&#44553;&#50668;_EGB_PMT_STS_&#48320;&#44221;_&#54532;&#47196;&#49884;&#51256;_N_&#54632;&#49688;.xlsm" TargetMode="External"/><Relationship Id="rId4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6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08AA-&#44553;&#50668;&#48320;&#46041;&#49324;&#54637;&#44288;&#47532;)-v0.1.xls" TargetMode="External"/><Relationship Id="rId12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60AA)-v0.1.docx" TargetMode="External"/><Relationship Id="rId2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10AA)-v0.1.docx" TargetMode="External"/><Relationship Id="rId7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70AA)-v0.1.docx" TargetMode="External"/><Relationship Id="rId9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230AA-&#44060;&#51064;&#48324;&#51648;&#44553;&#45236;&#50669;&#49688;&#51221;)-v0.1.xls" TargetMode="External"/><Relationship Id="rId11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--&#51221;&#54788;&#50896;&#49373;&#49457;%20&#51089;&#50629;%20&#49828;&#52992;&#51460;&#47084;)-v0.1.xls" TargetMode="External"/><Relationship Id="rId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011AS)-v0.1.docx" TargetMode="External"/><Relationship Id="rId1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3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0_GONG_2005.prc" TargetMode="External"/><Relationship Id="rId5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8AA)-v0.1.docx" TargetMode="External"/><Relationship Id="rId7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0AA)-v0.1.docx" TargetMode="External"/><Relationship Id="rId11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2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325AA-&#44553;&#50668;&#49548;&#44553;&#44228;&#49328;)-v0.1.xls" TargetMode="External"/><Relationship Id="rId14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00AA)-v0.1.docx" TargetMode="External"/><Relationship Id="rId4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_NEW.prc" TargetMode="External"/><Relationship Id="rId6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090AA-&#48372;&#54984;_&#51109;&#50528;&#44288;&#47532;)-v0.1.xls" TargetMode="External"/><Relationship Id="rId12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HUJIK_ILSU.prc" TargetMode="External"/><Relationship Id="rId2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70AA_05.prc" TargetMode="External"/><Relationship Id="rId9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1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1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340AA)-v0.1.docx" TargetMode="External"/><Relationship Id="rId3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5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1AS)-v0.1.docx" TargetMode="External"/><Relationship Id="rId7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4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2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4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6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AMA601AA-&#47532;&#49828;&#47932;&#54408;&#44288;&#47532;)-v0.1.xls" TargetMode="External"/><Relationship Id="rId12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8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9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C050AS-&#50689;&#49688;&#51613;\&#51669;&#49688;&#48512;&#52636;&#47141;%20&#48143;%20&#50836;&#52397;)-v0.1.xls" TargetMode="External"/><Relationship Id="rId11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010RP1)-v0.1.docx" TargetMode="External"/><Relationship Id="rId2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1.CREATE\PMA680TB.sql" TargetMode="External"/><Relationship Id="rId5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10AA)-v0.1.docx" TargetMode="External"/><Relationship Id="rId5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20AS)-v0.1.docx" TargetMode="External"/><Relationship Id="rId7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8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3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60AA)-v0.1.docx" TargetMode="External"/><Relationship Id="rId14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08AA)-v0.1.docx" TargetMode="External"/><Relationship Id="rId1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4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7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950AA-)-v0.1.xls" TargetMode="External"/><Relationship Id="rId12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80AA-&#48512;&#50577;&#44032;&#51313;&#49888;&#44256;&#49436;(&#44208;&#51116;))-v0.1.xls" TargetMode="External"/><Relationship Id="rId6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9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2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2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3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5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50AA_01.prc" TargetMode="External"/><Relationship Id="rId7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95AA)-v0.1.docx" TargetMode="External"/><Relationship Id="rId11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3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1449" Type="http://schemas.openxmlformats.org/officeDocument/2006/relationships/vmlDrawing" Target="../drawings/vmlDrawing1.vml"/><Relationship Id="rId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5AS)-v0.1.docx" TargetMode="External"/><Relationship Id="rId1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3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5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40AA)-v0.1.docx" TargetMode="External"/><Relationship Id="rId8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-)-v0.1.docx" TargetMode="External"/><Relationship Id="rId10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50AA-&#49457;&#44284;&#50672;&#48393;&#44228;&#49328;&#51089;&#50629;)-v0.1.xls" TargetMode="External"/><Relationship Id="rId12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00AA)-v0.1.docx" TargetMode="External"/><Relationship Id="rId4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6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10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40AA-&#44553;&#50668;&#44228;&#49328;&#51089;&#50629;)-v0.1.xls" TargetMode="External"/><Relationship Id="rId12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600AA)-v0.1.docx" TargetMode="External"/><Relationship Id="rId3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F_PMA110AA_NORMALPAY.prc" TargetMode="External"/><Relationship Id="rId5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7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00AA)-v0.1.docx" TargetMode="External"/><Relationship Id="rId11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320AA-&#49849;&#44553;&#52376;&#47532;)-v0.1.xls" TargetMode="External"/><Relationship Id="rId13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1AS)-v0.1.docx" TargetMode="External"/><Relationship Id="rId1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310AA%0aPMA320AA%0aPMA325AA%0aPMA300AS%0aPMA330AA%0aPMA340AA)-v0.1.docx" TargetMode="External"/><Relationship Id="rId3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2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4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60AA)-v0.1.docx" TargetMode="External"/><Relationship Id="rId6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5AA-&#44553;&#50668;&#45824;&#49345;&#51088;&#44288;&#47532;)-v0.1.xls" TargetMode="External"/><Relationship Id="rId10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7.%20&#51088;&#49328;\ME-DE005-&#54532;&#47196;&#44536;&#47016;&#49324;&#50577;&#49436;(AMA290AS)-v0.1.docx" TargetMode="External"/><Relationship Id="rId2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C050AS)-v0.1.docx" TargetMode="External"/><Relationship Id="rId3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20AA)-v0.1.docx" TargetMode="External"/><Relationship Id="rId11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1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0AA)-v0.1.docx" TargetMode="External"/><Relationship Id="rId7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90AS)-v0.1.docx" TargetMode="External"/><Relationship Id="rId9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260AS%0aPMA265AS-&#51064;&#44148;&#48708;&#51665;&#54665;&#52509;&#44292;&#54364;%0a&#51064;&#44148;&#48708;&#51665;&#54665;&#52509;&#44292;&#54364;2)-v0.1.xls" TargetMode="External"/><Relationship Id="rId10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950AA-&#51064;&#49324;&#48156;&#47161;&#52376;&#47532;)-v0.1.xls" TargetMode="External"/><Relationship Id="rId3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4.prc" TargetMode="External"/><Relationship Id="rId6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6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8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9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---)-v0.1.xls" TargetMode="External"/><Relationship Id="rId12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4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-)-v0.1.docx" TargetMode="External"/><Relationship Id="rId8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030AA-&#54617;&#47141;_&#51204;&#44277;&#44288;&#47532;)-v0.1.xls" TargetMode="External"/><Relationship Id="rId11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13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070AA)-v0.1.docx" TargetMode="External"/><Relationship Id="rId1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SF_FIND_OFO_DAT)-v0.1.docx" TargetMode="External"/><Relationship Id="rId5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7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9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3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2AA)-v0.1.docx" TargetMode="External"/><Relationship Id="rId1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3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4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40AA)-v0.1.docx" TargetMode="External"/><Relationship Id="rId8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950AA-&#51064;&#49324;&#48156;&#47161;&#52376;&#47532;)-v0.1.xls" TargetMode="External"/><Relationship Id="rId12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1451" Type="http://schemas.openxmlformats.org/officeDocument/2006/relationships/image" Target="../media/image1.emf"/><Relationship Id="rId2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4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6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9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260AS%0aPMA265AS-&#51064;&#44428;&#48708;&#51665;&#54665;&#52509;&#44292;&#54364;%0a&#51064;&#44428;&#48708;&#51665;&#54665;&#52509;&#44292;&#54364;2)-v0.1.xls" TargetMode="External"/><Relationship Id="rId10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10AA-&#51088;&#45376;&#54617;&#48708;&#48372;&#51312;&#44552;&#49888;&#52397;&#49436;)-v0.1.xls" TargetMode="External"/><Relationship Id="rId11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00AA-&#48512;&#50577;&#44032;&#51313;&#49888;&#44256;&#49436;)-v0.1.xls" TargetMode="External"/><Relationship Id="rId13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45AA)-v0.1.docx" TargetMode="External"/><Relationship Id="rId1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3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80AA)-v0.1.docx" TargetMode="External"/><Relationship Id="rId7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4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6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22AA-&#51068;&#51088;&#48324;&#44060;&#51064;&#48324;&#49884;&#44036;&#50808;&#49688;&#45817;&#44288;&#47532;)-v0.1.xls" TargetMode="External"/><Relationship Id="rId12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2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HMA950AA_03.prc" TargetMode="External"/><Relationship Id="rId4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60AA)-v0.1.docx" TargetMode="External"/><Relationship Id="rId11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00AA-)-v0.1.xls" TargetMode="External"/><Relationship Id="rId13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B470AS)-v0.1.docx" TargetMode="External"/><Relationship Id="rId1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950AA)-v0.1.docx" TargetMode="External"/><Relationship Id="rId5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30AA)-v0.1.docx" TargetMode="External"/><Relationship Id="rId7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9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1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3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4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.prc" TargetMode="External"/><Relationship Id="rId6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56AS-&#44553;&#50668;&#45824;&#51109;(&#45824;&#54364;))-v0.1.xls" TargetMode="External"/><Relationship Id="rId12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8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1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2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4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1-&#49324;&#50857;&#51088;&#47588;&#45684;&#50620;\MIS-CC-110_&#49324;&#50857;&#51088;&#47588;&#45684;&#50620;_3.&#44553;&#50668;_Only_20131211.hwp" TargetMode="External"/><Relationship Id="rId7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9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---)-v0.1.xls" TargetMode="External"/><Relationship Id="rId13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1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260AS%0aPMA265AS)-v0.1.docx" TargetMode="External"/><Relationship Id="rId3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7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2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6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2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2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4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5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7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20AA-&#44060;&#51064;&#48324;&#51648;&#44553;&#44288;&#47532;)-v0.1.xls" TargetMode="External"/><Relationship Id="rId11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600AA)-v0.1.docx" TargetMode="External"/><Relationship Id="rId1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20AA)-v0.1.docx" TargetMode="External"/><Relationship Id="rId3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E010AA_01.prc" TargetMode="External"/><Relationship Id="rId5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90AA)-v0.1.docx" TargetMode="External"/><Relationship Id="rId7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11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12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325AA)-v0.1.docx" TargetMode="External"/><Relationship Id="rId14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2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4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6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10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45AA-&#49457;&#44552;&#44288;&#47532;)-v0.1.xls" TargetMode="External"/><Relationship Id="rId12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2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7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8AA)-v0.1.docx" TargetMode="External"/><Relationship Id="rId9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00AA-&#44032;&#51313;&#49324;&#54637;&#44288;&#47532;)-v0.1.xls" TargetMode="External"/><Relationship Id="rId11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5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1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10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60AA-&#49457;&#44284;&#50672;&#48393;&#54788;&#54889;)-v0.1.xls" TargetMode="External"/><Relationship Id="rId12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4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7.%20&#51088;&#49328;\ME-DE007-&#54168;&#51060;&#51648;&#47112;&#51060;&#50500;&#50883;(AMA290AS)-v0.1.docx" TargetMode="External"/><Relationship Id="rId5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H205AA)-v0.1.docx" TargetMode="External"/><Relationship Id="rId6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200AA-&#55092;&#51649;&#44288;&#47532;)-v0.1.xls" TargetMode="External"/><Relationship Id="rId12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011AS)-v0.1.docx" TargetMode="External"/><Relationship Id="rId2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15.prc" TargetMode="External"/><Relationship Id="rId4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7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1AS)-v0.1.docx" TargetMode="External"/><Relationship Id="rId10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B470AS-&#44060;&#51064;&#48324;&#44540;&#47924;&#44592;&#44036;&#51312;&#54924;)-v0.1.xls" TargetMode="External"/><Relationship Id="rId11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1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.prc" TargetMode="External"/><Relationship Id="rId9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0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10AA-&#49457;&#44284;&#44553;&#44228;&#49328;&#51089;&#50629;)-v0.1.xls" TargetMode="External"/><Relationship Id="rId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200AA)-v0.1.docx" TargetMode="External"/><Relationship Id="rId3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145AA)-v0.1.docx" TargetMode="External"/><Relationship Id="rId8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2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14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090AA)-v0.1.docx" TargetMode="External"/><Relationship Id="rId2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440AS)-v0.1.docx" TargetMode="External"/><Relationship Id="rId4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50AA)-v0.1.docx" TargetMode="External"/><Relationship Id="rId8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20AA-&#44060;&#51064;&#48324;&#51648;&#44553;&#44288;&#47532;)-v0.1.xls" TargetMode="External"/><Relationship Id="rId10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---)-v0.1.xls" TargetMode="External"/><Relationship Id="rId3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TYPE_bock_mu_code_array.sql" TargetMode="External"/><Relationship Id="rId7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20AS)-v0.1.docx" TargetMode="External"/><Relationship Id="rId9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00AA-&#49457;&#44284;&#44553;&#44592;&#52488;&#51089;&#50629;)-v0.1.xls" TargetMode="External"/><Relationship Id="rId137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95AA)-v0.1.docx" TargetMode="External"/><Relationship Id="rId1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20AA)-v0.1.docx" TargetMode="External"/><Relationship Id="rId3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8.prc" TargetMode="External"/><Relationship Id="rId5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6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2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25AA.prc" TargetMode="External"/><Relationship Id="rId14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4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6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56AS-&#44553;&#50668;&#45824;&#51109;(&#45824;&#54364;))-v0.1.xls" TargetMode="External"/><Relationship Id="rId10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20AA-&#44060;&#51064;&#48324;&#51648;&#44553;&#44288;&#47532;)-v0.1.xls" TargetMode="External"/><Relationship Id="rId12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30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280AS)-v0.1.docx" TargetMode="External"/><Relationship Id="rId3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7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40AA)-v0.1.docx" TargetMode="External"/><Relationship Id="rId9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8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20AA)-v0.1.docx" TargetMode="External"/><Relationship Id="rId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00AA)-v0.1.docx" TargetMode="External"/><Relationship Id="rId3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5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620AS)-v0.1.docx" TargetMode="External"/><Relationship Id="rId6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8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2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55" Type="http://schemas.openxmlformats.org/officeDocument/2006/relationships/image" Target="../media/image3.emf"/><Relationship Id="rId2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4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0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0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80AA-&#48512;&#50577;&#44032;&#51313;&#49888;&#44256;&#49436;(&#44208;&#51116;))-v0.1.xls" TargetMode="External"/><Relationship Id="rId11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C050AS-&#50689;&#49688;&#51613;\&#51669;&#49688;&#48512;&#52636;&#47141;%20&#48143;%20&#50836;&#52397;)-v0.1.xls" TargetMode="External"/><Relationship Id="rId13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950AA)-v0.1.docx" TargetMode="External"/><Relationship Id="rId6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7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9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39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3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950AA)-v0.1.docx" TargetMode="External"/><Relationship Id="rId6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440AS)-v0.1.docx" TargetMode="External"/><Relationship Id="rId11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50AA-&#49457;&#44284;&#50672;&#48393;&#44228;&#49328;&#51089;&#50629;)-v0.1.xls" TargetMode="External"/><Relationship Id="rId125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0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50AA-&#49457;&#44284;&#50672;&#48393;&#44228;&#49328;&#51089;&#50629;)-v0.1.xls" TargetMode="External"/><Relationship Id="rId11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9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AMA290AS-&#48512;&#50808;&#51088;&#49328;&#45824;&#51109;)-v0.1.xls" TargetMode="External"/><Relationship Id="rId132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03.prc" TargetMode="External"/><Relationship Id="rId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1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40AA)-v0.1.docx" TargetMode="External"/><Relationship Id="rId2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4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10AA_01.prc" TargetMode="External"/><Relationship Id="rId6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1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3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7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30AA)-v0.1.docx" TargetMode="External"/><Relationship Id="rId9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00AA-&#49457;&#44284;&#44553;&#44592;&#52488;&#51089;&#50629;)-v0.1.xls" TargetMode="External"/><Relationship Id="rId139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2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4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8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0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5AA-&#44553;&#50668;&#45824;&#49345;&#51088;&#44288;&#47532;)-v0.1.xls" TargetMode="External"/><Relationship Id="rId6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7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80AA)-v0.1.docx" TargetMode="External"/><Relationship Id="rId9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25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134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60AA)-v0.1.docx" TargetMode="External"/><Relationship Id="rId11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260AS%0aPMA265AS-&#51064;&#44148;&#48708;&#51665;&#54665;&#52509;&#44292;&#54364;%0a&#51064;&#44148;&#48708;&#51665;&#54665;&#52509;&#44292;&#54364;2)-v0.1.xls" TargetMode="External"/><Relationship Id="rId12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325AA-&#44553;&#50668;&#49548;&#44553;&#44228;&#49328;)-v0.1.xls" TargetMode="External"/><Relationship Id="rId141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011AS)-v0.1.docx" TargetMode="External"/><Relationship Id="rId2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10AA)-v0.1.docx" TargetMode="External"/><Relationship Id="rId1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40AA)-v0.1.docx" TargetMode="External"/><Relationship Id="rId3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5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90AA)-v0.1.docx" TargetMode="External"/><Relationship Id="rId7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2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4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6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0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AMA210AS-&#52264;&#47049;&#50868;&#48152;&#44396;&#45824;&#51109;)-v0.1.xls" TargetMode="External"/><Relationship Id="rId127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5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10AA)-v0.1.docx" TargetMode="External"/><Relationship Id="rId9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1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010RP1)-v0.1.docx" TargetMode="External"/><Relationship Id="rId8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43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2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1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4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10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29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HUJIK_ILSU.prc" TargetMode="External"/><Relationship Id="rId6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9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3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5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950AA)-v0.1.docx" TargetMode="External"/><Relationship Id="rId7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H205AA)-v0.1.docx" TargetMode="External"/><Relationship Id="rId11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36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60AA-&#52636;&#49328;&#51109;&#47140;&#48708;&#51648;&#44553;&#49888;&#52397;&#49436;(&#44208;&#51116;))-v0.1.xls" TargetMode="External"/><Relationship Id="rId1459" Type="http://schemas.openxmlformats.org/officeDocument/2006/relationships/image" Target="../media/image5.emf"/><Relationship Id="rId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11AS)-v0.1.docx" TargetMode="External"/><Relationship Id="rId8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00AA-&#49457;&#44284;&#44553;&#44592;&#52488;&#51089;&#50629;)-v0.1.xls" TargetMode="External"/><Relationship Id="rId12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25AA.prc" TargetMode="External"/><Relationship Id="rId131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145AA)-v0.1.docx" TargetMode="External"/><Relationship Id="rId1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50AA)-v0.1.docx" TargetMode="External"/><Relationship Id="rId3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2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-)-v0.1.docx" TargetMode="External"/><Relationship Id="rId4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6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290AA-&#51228;&#51613;&#47749;&#49888;&#52397;_&#48156;&#44553;&#52376;&#47532;)-v0.1.xls" TargetMode="External"/><Relationship Id="rId3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7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11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00AA-&#49457;&#44284;&#44553;&#44592;&#52488;&#51089;&#50629;)-v0.1.xls" TargetMode="External"/><Relationship Id="rId138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1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56AS)-v0.1.docx" TargetMode="External"/><Relationship Id="rId4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40AA_JI02.prc" TargetMode="External"/><Relationship Id="rId9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0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200AA-&#55092;&#51649;&#44288;&#47532;)-v0.1.xls" TargetMode="External"/><Relationship Id="rId12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20AA)-v0.1.docx" TargetMode="External"/><Relationship Id="rId8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340AA-&#51221;&#54788;&#50896;&#54364;&#44288;&#47532;)-v0.1.xls" TargetMode="External"/><Relationship Id="rId1450" Type="http://schemas.openxmlformats.org/officeDocument/2006/relationships/control" Target="../activeX/activeX1.xml"/><Relationship Id="rId11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31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HUJIK_ILSU.prc" TargetMode="External"/><Relationship Id="rId140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30AA)-v0.1.docx" TargetMode="External"/><Relationship Id="rId1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60AA)-v0.1.docx" TargetMode="External"/><Relationship Id="rId2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JOB_SP_HMA340AA_01.sql" TargetMode="External"/><Relationship Id="rId4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20AA)-v0.1.docx" TargetMode="External"/><Relationship Id="rId3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2AA)-v0.1.docx" TargetMode="External"/><Relationship Id="rId7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1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4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6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8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0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56AS-&#44553;&#50668;&#45824;&#51109;(&#45824;&#54364;))-v0.1.xls" TargetMode="External"/><Relationship Id="rId126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7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1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3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2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4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7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1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3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-)-v0.1.docx" TargetMode="External"/><Relationship Id="rId128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2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8.prc" TargetMode="External"/><Relationship Id="rId6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20AS)-v0.1.docx" TargetMode="External"/><Relationship Id="rId5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10AA_01.prc" TargetMode="External"/><Relationship Id="rId7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8AA)-v0.1.docx" TargetMode="External"/><Relationship Id="rId9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50AA-&#51088;&#45376;&#54617;&#48708;&#48372;&#51312;&#44552;&#49888;&#52397;&#49436;(&#44208;&#51116;))-v0.1.xls" TargetMode="External"/><Relationship Id="rId11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5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60AA-&#52636;&#49328;&#51109;&#47140;&#48708;&#51648;&#44553;&#49888;&#52397;&#49436;(&#44208;&#51116;))-v0.1.xls" TargetMode="External"/><Relationship Id="rId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145AA)-v0.1.docx" TargetMode="External"/><Relationship Id="rId10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50AA-&#49457;&#44284;&#50672;&#48393;&#44228;&#49328;&#51089;&#50629;)-v0.1.xls" TargetMode="External"/><Relationship Id="rId12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42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090AA)-v0.1.docx" TargetMode="External"/><Relationship Id="rId1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F_PMA110AA_PAY.prc" TargetMode="External"/><Relationship Id="rId3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2.prc" TargetMode="External"/><Relationship Id="rId5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B470AS)-v0.1.docx" TargetMode="External"/><Relationship Id="rId2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440AS)-v0.1.docx" TargetMode="External"/><Relationship Id="rId6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5AS-&#48708;&#44553;&#50668;&#45824;&#49345;&#51088;&#47532;&#49828;&#53944;)-v0.1.xls" TargetMode="External"/><Relationship Id="rId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070AA)-v0.1.docx" TargetMode="External"/><Relationship Id="rId4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5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7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7.%20&#51088;&#49328;\ME-DE009-&#48372;&#44256;&#49436;&#47112;&#51060;&#50500;&#50883;(AMA601AA)-v0.1.docx" TargetMode="External"/><Relationship Id="rId10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---)-v0.1.xls" TargetMode="External"/><Relationship Id="rId11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37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3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20AA)-v0.1.docx" TargetMode="External"/><Relationship Id="rId9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10AA-&#49457;&#44284;&#44553;&#44228;&#49328;&#51089;&#50629;)-v0.1.xls" TargetMode="External"/><Relationship Id="rId10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20AA-&#52636;&#49328;&#51109;&#47140;&#48708;&#51648;&#44553;&#49888;&#52397;&#49436;)-v0.1.xls" TargetMode="External"/><Relationship Id="rId12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090AA)-v0.1.docx" TargetMode="External"/><Relationship Id="rId6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230AA)-v0.1.docx" TargetMode="External"/><Relationship Id="rId8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44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130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40AA)-v0.1.docx" TargetMode="External"/><Relationship Id="rId3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2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4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650AA_03.prc" TargetMode="External"/><Relationship Id="rId6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10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520AA-&#52636;&#49328;&#51109;&#47140;&#48708;&#51648;&#44553;&#49888;&#52397;&#49436;)-v0.1.xls" TargetMode="External"/><Relationship Id="rId1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950AA)-v0.1.docx" TargetMode="External"/><Relationship Id="rId3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950AA)-v0.1.docx" TargetMode="External"/><Relationship Id="rId7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0AA)-v0.1.docx" TargetMode="External"/><Relationship Id="rId9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39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C050AS)-v0.1.docx" TargetMode="External"/><Relationship Id="rId8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320AA)-v0.1.docx" TargetMode="External"/><Relationship Id="rId125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10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00AA-&#49457;&#44284;&#44553;&#44592;&#52488;&#51089;&#50629;)-v0.1.xls" TargetMode="External"/><Relationship Id="rId11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310AA%0aPMA320AA%0aPMA325AA%0aPMA300AS%0aPMA330AA%0aPMA340AA)-v0.1.docx" TargetMode="External"/><Relationship Id="rId132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9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145AA-&#44540;&#47924;&#44221;&#47141;&#44288;&#47532;)-v0.1.xls" TargetMode="External"/><Relationship Id="rId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ME-DE005-&#54532;&#47196;&#44536;&#47016;&#49324;&#50577;&#49436;(-)-v0.1.docx" TargetMode="External"/><Relationship Id="rId1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520AA)-v0.1.docx" TargetMode="External"/><Relationship Id="rId2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1.CREATE\PMA670TB.sql" TargetMode="External"/><Relationship Id="rId4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6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1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30AA)-v0.1.docx" TargetMode="External"/><Relationship Id="rId3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00.prc" TargetMode="External"/><Relationship Id="rId5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9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1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50AA-&#49457;&#44284;&#50672;&#48393;&#44228;&#49328;&#51089;&#50629;)-v0.1.xls" TargetMode="External"/><Relationship Id="rId2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4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00AA)-v0.1.docx" TargetMode="External"/><Relationship Id="rId8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10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05AA-&#44060;&#51064;&#48324;&#45733;&#47141;&#44553;&#51648;&#44553;&#50984;&#44288;&#47532;)-v0.1.xls" TargetMode="External"/><Relationship Id="rId7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9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34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090AA)-v0.1.docx" TargetMode="External"/><Relationship Id="rId12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141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3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5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30AA)-v0.1.docx" TargetMode="External"/><Relationship Id="rId2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C270AA)-v0.1.docx" TargetMode="External"/><Relationship Id="rId7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8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070AA-&#44060;&#51064;&#48324;&#51008;&#54665;&#44228;&#51340;&#44288;&#47532;)-v0.1.xls" TargetMode="External"/><Relationship Id="rId4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7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56AS)-v0.1.docx" TargetMode="External"/><Relationship Id="rId10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AMA280AS-&#44277;&#44592;&#44396;&#48512;&#54408;&#45824;&#51109;)-v0.1.xls" TargetMode="External"/><Relationship Id="rId127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36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60AA)-v0.1.docx" TargetMode="External"/><Relationship Id="rId5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10AA)-v0.1.docx" TargetMode="External"/><Relationship Id="rId9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C270AA-&#50689;&#49688;&#51613;\&#51669;&#49688;&#48512;&#52636;&#47141;%20&#49849;&#51064;)-v0.1.xls" TargetMode="External"/><Relationship Id="rId11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2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25AA.prc" TargetMode="External"/><Relationship Id="rId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200AA)-v0.1.docx" TargetMode="External"/><Relationship Id="rId8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43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2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1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3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5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950AA)-v0.1.docx" TargetMode="External"/><Relationship Id="rId2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10AA)-v0.1.docx" TargetMode="External"/><Relationship Id="rId4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6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No)-v0.1.docx" TargetMode="External"/><Relationship Id="rId8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10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230AA-&#44060;&#51064;&#48324;&#51648;&#44553;&#45236;&#50669;&#49688;&#51221;)-v0.1.xls" TargetMode="External"/><Relationship Id="rId129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1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620AS)-v0.1.docx" TargetMode="External"/><Relationship Id="rId3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5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950AA)-v0.1.docx" TargetMode="External"/><Relationship Id="rId9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1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2.%20&#51064;&#49324;\ME-DE009-&#48372;&#44256;&#49436;&#47112;&#51060;&#50500;&#50883;(HMA090AA)-v0.1.docx" TargetMode="External"/><Relationship Id="rId7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45AA)-v0.1.docx" TargetMode="External"/><Relationship Id="rId82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60AA)-v0.1.docx" TargetMode="External"/><Relationship Id="rId136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60AA-&#52636;&#49328;&#51109;&#47140;&#48708;&#51648;&#44553;&#49888;&#52397;&#49436;(&#44208;&#51116;))-v0.1.xls" TargetMode="External"/><Relationship Id="rId1458" Type="http://schemas.openxmlformats.org/officeDocument/2006/relationships/control" Target="../activeX/activeX5.xml"/><Relationship Id="rId12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131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HUJIK_ILSU.prc" TargetMode="External"/><Relationship Id="rId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B470AS)-v0.1.docx" TargetMode="External"/><Relationship Id="rId1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50AA)-v0.1.docx" TargetMode="External"/><Relationship Id="rId3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110AA)-v0.1.docx" TargetMode="External"/><Relationship Id="rId2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260AS%0aPMA265AS)-v0.1.docx" TargetMode="External"/><Relationship Id="rId4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60AA)-v0.1.docx" TargetMode="External"/><Relationship Id="rId6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9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600AA-&#51064;&#49324;&#45936;&#51060;&#53552;&#44428;&#54620;)-v0.1.xls" TargetMode="External"/><Relationship Id="rId10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56AS)-v0.1.docx" TargetMode="External"/><Relationship Id="rId33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54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50AA)-v0.1.docx" TargetMode="External"/><Relationship Id="rId75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117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8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40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61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00AA)-v0.1.docx" TargetMode="External"/><Relationship Id="rId103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010RP1-&#51064;&#49324;&#52852;&#46300;)-v0.1.xls" TargetMode="External"/><Relationship Id="rId124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30AA-&#49548;&#44553;&#47456;&#44288;&#47532;)-v0.1.xls" TargetMode="External"/><Relationship Id="rId9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HMA950AA-)-v0.1.xls" TargetMode="External"/><Relationship Id="rId110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110AA-&#44553;&#50668;&#44592;&#52488;&#51089;&#50629;)-v0.1.xls" TargetMode="External"/><Relationship Id="rId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22AA)-v0.1.docx" TargetMode="External"/><Relationship Id="rId140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19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560AA)-v0.1.docx" TargetMode="External"/><Relationship Id="rId26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70AA_PRINT_88.prc" TargetMode="External"/><Relationship Id="rId56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20AA)-v0.1.docx" TargetMode="External"/><Relationship Id="rId119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30AA-&#49548;&#44553;&#47456;&#44288;&#47532;)-v0.1.xls" TargetMode="External"/><Relationship Id="rId122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2.%20&#51064;&#49324;\ME-DE007-&#54168;&#51060;&#51648;&#47112;&#51060;&#50500;&#50883;(HMA320AA)-v0.1.docx" TargetMode="External"/><Relationship Id="rId77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540AA)-v0.1.docx" TargetMode="External"/><Relationship Id="rId98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105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HMA011AS-&#51064;&#49324;&#51068;&#44292;&#51312;&#54924;)-v0.1.xls" TargetMode="External"/><Relationship Id="rId42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20AA)-v0.1.docx" TargetMode="External"/><Relationship Id="rId63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84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126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70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50AA)-v0.1.docx" TargetMode="External"/><Relationship Id="rId93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10AA-&#44553;&#50668;&#44592;&#52488;&#51089;&#50629;)-v0.1.xls" TargetMode="External"/><Relationship Id="rId112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620AA-&#51648;&#44553;&#50984;&#44288;&#47532;)-v0.1.xls" TargetMode="External"/><Relationship Id="rId133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6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ME-DE007-&#54168;&#51060;&#51648;&#47112;&#51060;&#50500;&#50883;(-)-v0.1.docx" TargetMode="External"/><Relationship Id="rId142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30AA)-v0.1.docx" TargetMode="External"/><Relationship Id="rId28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630AA)-v0.1.docx" TargetMode="External"/><Relationship Id="rId49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44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40AA)-v0.1.docx" TargetMode="External"/><Relationship Id="rId58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ME-DE009-&#48372;&#44256;&#49436;&#47112;&#51060;&#50500;&#50883;(-)-v0.1.docx" TargetMode="External"/><Relationship Id="rId79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35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-)-v0.1.docx" TargetMode="External"/><Relationship Id="rId44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50AA)-v0.1.docx" TargetMode="External"/><Relationship Id="rId65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6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00AA)-v0.1.docx" TargetMode="External"/><Relationship Id="rId107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PMA260AS%0aPMA265AS-&#51064;&#44428;&#48708;&#51665;&#54665;&#52509;&#44292;&#54364;%0a&#51064;&#44428;&#48708;&#51665;&#54665;&#52509;&#44292;&#54364;2)-v0.1.xls" TargetMode="External"/><Relationship Id="rId128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INSA_SIKAN_ILSU.prc" TargetMode="External"/><Relationship Id="rId21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110AA)-v0.1.docx" TargetMode="External"/><Relationship Id="rId309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51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114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0AA)-v0.1.docx" TargetMode="External"/><Relationship Id="rId72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115AA)-v0.1.docx" TargetMode="External"/><Relationship Id="rId93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10AA-&#51088;&#45376;&#54617;&#48708;&#48372;&#51312;&#44552;&#49888;&#52397;&#49436;)-v0.1.xls" TargetMode="External"/><Relationship Id="rId100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620AA-&#51648;&#44553;&#50984;&#44288;&#47532;)-v0.1.xls" TargetMode="External"/><Relationship Id="rId135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560AA-&#52636;&#49328;&#51109;&#47140;&#48708;&#51648;&#44553;&#49888;&#52397;&#49436;(&#44208;&#51116;))-v0.1.xls" TargetMode="External"/><Relationship Id="rId121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325AA.prc" TargetMode="External"/><Relationship Id="rId142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30AA)-v0.1.docx" TargetMode="External"/><Relationship Id="rId17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2.%20&#51064;&#49324;\ME-DE005-&#54532;&#47196;&#44536;&#47016;&#49324;&#50577;&#49436;(HMA030AA)-v0.1.docx" TargetMode="External"/><Relationship Id="rId166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2.OTHER\SP_PMA110AA_01_JI15.prc" TargetMode="External"/><Relationship Id="rId37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A600AA)-v0.1.docx" TargetMode="External"/><Relationship Id="rId58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SF_FIND_OFO_DAT)-v0.1.docx" TargetMode="External"/><Relationship Id="rId1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5-&#54532;&#47196;&#44536;&#47016;&#49324;&#50577;&#49436;\03.%20&#44553;&#50668;\ME-DE005-&#54532;&#47196;&#44536;&#47016;&#49324;&#50577;&#49436;(PMA380AA)-v0.1.docx" TargetMode="External"/><Relationship Id="rId233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7-&#54168;&#51060;&#51648;&#47112;&#51060;&#50500;&#50883;\03.%20&#44553;&#50668;\ME-DE007-&#54168;&#51060;&#51648;&#47112;&#51060;&#50500;&#50883;(PMC050AS)-v0.1.docx" TargetMode="External"/><Relationship Id="rId44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5.%20&#44396;&#54788;&#48143;&#51333;&#47308;(RO)\02.%20&#44221;&#50689;&#51221;&#48372;%20&#44592;&#45733;&#44060;&#49440;(ME)\ME-RO005-&#49884;&#49828;&#53596;&#51060;&#54665;&#44208;&#44284;&#49436;\Script\1.CREATE\PMA690TB.sql" TargetMode="External"/><Relationship Id="rId678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3.%20&#49444;&#44228;(DE)\02.%20&#44221;&#50689;&#51221;&#48372;%20&#44592;&#45733;&#44060;&#49440;(ME)\ME-DE009-&#48372;&#44256;&#49436;&#47112;&#51060;&#50500;&#50883;\03.%20&#44553;&#50668;\ME-DE009-&#48372;&#44256;&#49436;&#47112;&#51060;&#50500;&#50883;(PMA620AA)-v0.1.docx" TargetMode="External"/><Relationship Id="rId885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3-&#45800;&#50948;&#53580;&#49828;&#53944;&#44208;&#44284;&#49436;\ME-DT003-&#45800;&#50948;&#53580;&#49828;&#53944;&#44208;&#44284;&#49436;(PMA108AA-&#44553;&#50668;&#48320;&#46041;&#49324;&#54637;&#44288;&#47532;)-v0.1.xls" TargetMode="External"/><Relationship Id="rId1070" Type="http://schemas.openxmlformats.org/officeDocument/2006/relationships/hyperlink" Target="file:///\\165.213.107.10\share\K-IFRS&#48152;&#50689;&#54620;&#44221;&#50689;&#51221;&#48372;&#49884;&#49828;&#53596;&#44256;&#46020;&#54868;\02.%20&#44060;&#48156;&#49328;&#52636;&#47932;\04.%20&#44060;&#48156;(DT)\02.%20&#44221;&#50689;&#51221;&#48372;%20&#44592;&#45733;&#44060;&#49440;(ME)\ME-DT002-&#45800;&#50948;&#53580;&#49828;&#53944;&#47749;&#49464;&#49436;\ME-DT002-&#45800;&#50948;&#53580;&#49828;&#53944;&#47749;&#49464;&#49436;(---)-v0.1.xl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44"/>
  <sheetViews>
    <sheetView workbookViewId="0">
      <selection activeCell="D17" sqref="D17"/>
    </sheetView>
  </sheetViews>
  <sheetFormatPr defaultRowHeight="16.5"/>
  <cols>
    <col min="1" max="1" width="2.625" customWidth="1"/>
    <col min="3" max="3" width="9" customWidth="1"/>
    <col min="4" max="4" width="17.25" bestFit="1" customWidth="1"/>
    <col min="13" max="13" width="18" bestFit="1" customWidth="1"/>
    <col min="14" max="15" width="11.125" bestFit="1" customWidth="1"/>
  </cols>
  <sheetData>
    <row r="1" spans="2:17">
      <c r="N1" s="16" t="s">
        <v>5897</v>
      </c>
      <c r="O1" s="15">
        <f ca="1">TODAY()</f>
        <v>41697</v>
      </c>
      <c r="Q1" s="19"/>
    </row>
    <row r="2" spans="2:17">
      <c r="B2" s="16" t="s">
        <v>5898</v>
      </c>
      <c r="C2" s="16" t="s">
        <v>1</v>
      </c>
      <c r="D2" s="16" t="s">
        <v>2</v>
      </c>
      <c r="E2" s="16" t="s">
        <v>4</v>
      </c>
      <c r="F2" s="16" t="s">
        <v>3</v>
      </c>
      <c r="G2" s="16" t="s">
        <v>5</v>
      </c>
      <c r="H2" s="16" t="s">
        <v>5889</v>
      </c>
      <c r="I2" s="16" t="s">
        <v>5892</v>
      </c>
      <c r="J2" s="16" t="s">
        <v>5890</v>
      </c>
      <c r="K2" s="16" t="s">
        <v>5891</v>
      </c>
      <c r="L2" s="16" t="s">
        <v>5894</v>
      </c>
      <c r="M2" s="16" t="s">
        <v>5895</v>
      </c>
      <c r="N2" s="17" t="s">
        <v>5896</v>
      </c>
      <c r="Q2" s="19" t="s">
        <v>5900</v>
      </c>
    </row>
    <row r="3" spans="2:17">
      <c r="B3" s="18">
        <v>1</v>
      </c>
      <c r="C3" s="14" t="s">
        <v>2167</v>
      </c>
      <c r="D3" s="14" t="s">
        <v>5888</v>
      </c>
      <c r="E3" s="14" t="s">
        <v>5893</v>
      </c>
      <c r="F3" s="14"/>
      <c r="G3" s="14"/>
      <c r="H3" s="14"/>
      <c r="I3" s="14"/>
      <c r="J3" s="14"/>
      <c r="K3" s="14"/>
      <c r="L3" s="14" t="s">
        <v>5901</v>
      </c>
      <c r="M3" s="14" t="str">
        <f>a(C3,D3,E3,F3,G3,H3,I3,J3,K3)</f>
        <v>lisAtc</v>
      </c>
      <c r="N3" s="15">
        <v>41484</v>
      </c>
      <c r="Q3" s="19" t="s">
        <v>5899</v>
      </c>
    </row>
    <row r="4" spans="2:17">
      <c r="B4" s="18">
        <v>2</v>
      </c>
      <c r="C4" s="14" t="s">
        <v>2167</v>
      </c>
      <c r="D4" s="14" t="s">
        <v>5902</v>
      </c>
      <c r="E4" s="14" t="s">
        <v>5903</v>
      </c>
      <c r="F4" s="14"/>
      <c r="G4" s="14"/>
      <c r="H4" s="14"/>
      <c r="I4" s="14"/>
      <c r="J4" s="14"/>
      <c r="K4" s="14"/>
      <c r="L4" s="14" t="s">
        <v>5906</v>
      </c>
      <c r="M4" s="14" t="str">
        <f>a(C4,D4,E4,F4,G4,H4,I4,J4,K4)</f>
        <v>assetGb</v>
      </c>
      <c r="N4" s="15"/>
    </row>
    <row r="5" spans="2:17">
      <c r="B5" s="18">
        <v>3</v>
      </c>
      <c r="C5" s="14" t="s">
        <v>2167</v>
      </c>
      <c r="D5" s="84" t="s">
        <v>8150</v>
      </c>
      <c r="E5" s="14" t="s">
        <v>8151</v>
      </c>
      <c r="F5" s="14" t="s">
        <v>7388</v>
      </c>
      <c r="G5" s="14" t="s">
        <v>7389</v>
      </c>
      <c r="H5" s="14"/>
      <c r="I5" s="14"/>
      <c r="J5" s="14"/>
      <c r="K5" s="14"/>
      <c r="L5" s="14"/>
      <c r="M5" s="14" t="str">
        <f>a(C5,D5,E5,F5,G5,H5,I5,J5,K5)</f>
        <v>hma290aa_RsgSan</v>
      </c>
      <c r="N5" s="15"/>
    </row>
    <row r="6" spans="2:17">
      <c r="B6" s="18">
        <v>4</v>
      </c>
      <c r="C6" s="14" t="s">
        <v>2167</v>
      </c>
      <c r="D6" s="14" t="s">
        <v>8154</v>
      </c>
      <c r="E6" s="14" t="s">
        <v>8153</v>
      </c>
      <c r="F6" s="14"/>
      <c r="G6" s="14"/>
      <c r="H6" s="14"/>
      <c r="I6" s="14"/>
      <c r="J6" s="14"/>
      <c r="K6" s="14"/>
      <c r="L6" s="14"/>
      <c r="M6" s="14" t="str">
        <f t="shared" ref="M6:M21" si="0">a(C6,D6,E6,F6,G6,H6,I6,J6,K6)</f>
        <v>pmoTar</v>
      </c>
      <c r="N6" s="15"/>
    </row>
    <row r="7" spans="2:17">
      <c r="B7" s="18"/>
      <c r="C7" s="14" t="s">
        <v>2167</v>
      </c>
      <c r="D7" s="14" t="s">
        <v>8519</v>
      </c>
      <c r="E7" s="14" t="s">
        <v>8520</v>
      </c>
      <c r="F7" s="14" t="s">
        <v>8521</v>
      </c>
      <c r="G7" s="14"/>
      <c r="H7" s="14"/>
      <c r="I7" s="14"/>
      <c r="J7" s="14"/>
      <c r="K7" s="14"/>
      <c r="L7" s="14"/>
      <c r="M7" s="14" t="str">
        <f t="shared" si="0"/>
        <v>cldScoCst</v>
      </c>
      <c r="N7" s="15"/>
    </row>
    <row r="8" spans="2:17">
      <c r="B8" s="18"/>
      <c r="C8" s="14" t="s">
        <v>2167</v>
      </c>
      <c r="D8" s="14" t="s">
        <v>8519</v>
      </c>
      <c r="E8" s="14" t="s">
        <v>8520</v>
      </c>
      <c r="F8" s="14" t="s">
        <v>8521</v>
      </c>
      <c r="G8" s="14" t="s">
        <v>8522</v>
      </c>
      <c r="H8" s="14"/>
      <c r="I8" s="14"/>
      <c r="J8" s="14"/>
      <c r="K8" s="14"/>
      <c r="L8" s="14"/>
      <c r="M8" s="14" t="str">
        <f t="shared" si="0"/>
        <v>cldScoCstAli</v>
      </c>
      <c r="N8" s="15"/>
    </row>
    <row r="9" spans="2:17">
      <c r="B9" s="18"/>
      <c r="C9" s="14" t="s">
        <v>2167</v>
      </c>
      <c r="D9" s="14" t="s">
        <v>8584</v>
      </c>
      <c r="E9" s="14" t="s">
        <v>8585</v>
      </c>
      <c r="F9" s="14" t="s">
        <v>8586</v>
      </c>
      <c r="G9" s="14" t="s">
        <v>8522</v>
      </c>
      <c r="H9" s="14"/>
      <c r="I9" s="14"/>
      <c r="J9" s="14"/>
      <c r="K9" s="14"/>
      <c r="L9" s="14"/>
      <c r="M9" s="14" t="str">
        <f t="shared" si="0"/>
        <v>chbEcgCstAli</v>
      </c>
      <c r="N9" s="15"/>
    </row>
    <row r="10" spans="2:17">
      <c r="B10" s="18"/>
      <c r="C10" s="14" t="s">
        <v>2167</v>
      </c>
      <c r="D10" s="14" t="s">
        <v>8781</v>
      </c>
      <c r="E10" s="14" t="s">
        <v>8782</v>
      </c>
      <c r="F10" s="14" t="s">
        <v>8780</v>
      </c>
      <c r="G10" s="14"/>
      <c r="H10" s="14"/>
      <c r="I10" s="14"/>
      <c r="J10" s="14"/>
      <c r="K10" s="14"/>
      <c r="L10" s="14"/>
      <c r="M10" s="14" t="str">
        <f t="shared" si="0"/>
        <v>chkAjtInf</v>
      </c>
      <c r="N10" s="15"/>
    </row>
    <row r="11" spans="2:17">
      <c r="B11" s="18"/>
      <c r="C11" s="14" t="s">
        <v>2167</v>
      </c>
      <c r="D11" s="14" t="s">
        <v>8784</v>
      </c>
      <c r="E11" s="14" t="s">
        <v>8783</v>
      </c>
      <c r="F11" s="14" t="s">
        <v>8780</v>
      </c>
      <c r="G11" s="14"/>
      <c r="H11" s="14"/>
      <c r="I11" s="14"/>
      <c r="J11" s="14"/>
      <c r="K11" s="14"/>
      <c r="L11" s="14"/>
      <c r="M11" s="14" t="str">
        <f t="shared" si="0"/>
        <v>prnAplInf</v>
      </c>
      <c r="N11" s="15"/>
    </row>
    <row r="12" spans="2:17">
      <c r="B12" s="18"/>
      <c r="C12" s="14" t="s">
        <v>2167</v>
      </c>
      <c r="D12" s="14" t="s">
        <v>8786</v>
      </c>
      <c r="E12" s="14" t="s">
        <v>8784</v>
      </c>
      <c r="F12" s="14" t="s">
        <v>8785</v>
      </c>
      <c r="G12" s="14"/>
      <c r="H12" s="14"/>
      <c r="I12" s="14"/>
      <c r="J12" s="14"/>
      <c r="K12" s="14"/>
      <c r="L12" s="14"/>
      <c r="M12" s="14" t="str">
        <f t="shared" si="0"/>
        <v>inpPrnRqs</v>
      </c>
      <c r="N12" s="15"/>
    </row>
    <row r="13" spans="2:17">
      <c r="B13" s="18"/>
      <c r="C13" s="14" t="s">
        <v>2167</v>
      </c>
      <c r="D13" s="14" t="s">
        <v>265</v>
      </c>
      <c r="E13" s="14" t="s">
        <v>8787</v>
      </c>
      <c r="F13" s="14"/>
      <c r="G13" s="14"/>
      <c r="H13" s="14"/>
      <c r="I13" s="14"/>
      <c r="J13" s="14"/>
      <c r="K13" s="14"/>
      <c r="L13" s="14"/>
      <c r="M13" s="14" t="str">
        <f t="shared" si="0"/>
        <v>aplSts</v>
      </c>
      <c r="N13" s="15"/>
    </row>
    <row r="14" spans="2:17">
      <c r="B14" s="18"/>
      <c r="C14" s="14" t="s">
        <v>2167</v>
      </c>
      <c r="D14" s="14" t="s">
        <v>8784</v>
      </c>
      <c r="E14" s="14" t="s">
        <v>8788</v>
      </c>
      <c r="F14" s="14"/>
      <c r="G14" s="14"/>
      <c r="H14" s="14"/>
      <c r="I14" s="14"/>
      <c r="J14" s="14"/>
      <c r="K14" s="14"/>
      <c r="L14" s="14"/>
      <c r="M14" s="14" t="str">
        <f t="shared" si="0"/>
        <v>prnClt</v>
      </c>
      <c r="N14" s="15"/>
    </row>
    <row r="15" spans="2:17">
      <c r="B15" s="18"/>
      <c r="C15" s="14" t="s">
        <v>2167</v>
      </c>
      <c r="D15" s="14" t="s">
        <v>8816</v>
      </c>
      <c r="E15" s="14" t="s">
        <v>8817</v>
      </c>
      <c r="F15" s="14" t="s">
        <v>8818</v>
      </c>
      <c r="G15" s="14"/>
      <c r="H15" s="14"/>
      <c r="I15" s="14"/>
      <c r="J15" s="14"/>
      <c r="K15" s="14"/>
      <c r="L15" s="14"/>
      <c r="M15" s="14" t="str">
        <f t="shared" si="0"/>
        <v>lgtWrpAmt</v>
      </c>
      <c r="N15" s="15"/>
    </row>
    <row r="16" spans="2:17">
      <c r="B16" s="18"/>
      <c r="C16" s="14" t="s">
        <v>2167</v>
      </c>
      <c r="D16" s="14" t="s">
        <v>8819</v>
      </c>
      <c r="E16" s="14" t="s">
        <v>8818</v>
      </c>
      <c r="F16" s="14"/>
      <c r="G16" s="14"/>
      <c r="H16" s="14"/>
      <c r="I16" s="14"/>
      <c r="J16" s="14"/>
      <c r="K16" s="14"/>
      <c r="L16" s="14"/>
      <c r="M16" s="14" t="str">
        <f t="shared" si="0"/>
        <v>dutyAmt</v>
      </c>
      <c r="N16" s="15"/>
    </row>
    <row r="17" spans="2:14">
      <c r="B17" s="18"/>
      <c r="C17" s="14" t="s">
        <v>2167</v>
      </c>
      <c r="D17" s="14" t="s">
        <v>8820</v>
      </c>
      <c r="E17" s="14" t="s">
        <v>8818</v>
      </c>
      <c r="F17" s="14"/>
      <c r="G17" s="14"/>
      <c r="H17" s="14"/>
      <c r="I17" s="14"/>
      <c r="J17" s="14"/>
      <c r="K17" s="14"/>
      <c r="L17" s="14"/>
      <c r="M17" s="14" t="str">
        <f t="shared" si="0"/>
        <v>basAmt</v>
      </c>
      <c r="N17" s="15"/>
    </row>
    <row r="18" spans="2:14">
      <c r="B18" s="18"/>
      <c r="C18" s="14" t="s">
        <v>2167</v>
      </c>
      <c r="D18" s="14" t="s">
        <v>8821</v>
      </c>
      <c r="E18" s="14" t="s">
        <v>8818</v>
      </c>
      <c r="F18" s="14"/>
      <c r="G18" s="14"/>
      <c r="H18" s="14"/>
      <c r="I18" s="14"/>
      <c r="J18" s="14"/>
      <c r="K18" s="14"/>
      <c r="L18" s="14"/>
      <c r="M18" s="14" t="str">
        <f t="shared" si="0"/>
        <v>bslAmt</v>
      </c>
      <c r="N18" s="15"/>
    </row>
    <row r="19" spans="2:14">
      <c r="B19" s="18"/>
      <c r="C19" s="14" t="s">
        <v>2167</v>
      </c>
      <c r="D19" s="14" t="s">
        <v>8824</v>
      </c>
      <c r="E19" s="14" t="s">
        <v>8825</v>
      </c>
      <c r="F19" s="14" t="s">
        <v>8818</v>
      </c>
      <c r="G19" s="14"/>
      <c r="H19" s="14"/>
      <c r="I19" s="14"/>
      <c r="J19" s="14"/>
      <c r="K19" s="14"/>
      <c r="L19" s="14"/>
      <c r="M19" s="14" t="str">
        <f t="shared" si="0"/>
        <v>acvPmtAmt</v>
      </c>
      <c r="N19" s="15"/>
    </row>
    <row r="20" spans="2:14">
      <c r="B20" s="18"/>
      <c r="C20" s="14" t="s">
        <v>2167</v>
      </c>
      <c r="D20" s="14" t="s">
        <v>8826</v>
      </c>
      <c r="E20" s="14" t="s">
        <v>8827</v>
      </c>
      <c r="F20" s="14"/>
      <c r="G20" s="14"/>
      <c r="H20" s="14"/>
      <c r="I20" s="14"/>
      <c r="J20" s="14"/>
      <c r="K20" s="14"/>
      <c r="L20" s="14"/>
      <c r="M20" s="14" t="str">
        <f t="shared" si="0"/>
        <v>tarCrt</v>
      </c>
      <c r="N20" s="15"/>
    </row>
    <row r="21" spans="2:14">
      <c r="B21" s="18"/>
      <c r="C21" s="14" t="s">
        <v>2167</v>
      </c>
      <c r="D21" s="14" t="s">
        <v>8871</v>
      </c>
      <c r="E21" s="14" t="s">
        <v>8872</v>
      </c>
      <c r="F21" s="14" t="s">
        <v>8873</v>
      </c>
      <c r="G21" s="14"/>
      <c r="H21" s="14"/>
      <c r="I21" s="14"/>
      <c r="J21" s="14"/>
      <c r="K21" s="14"/>
      <c r="L21" s="14"/>
      <c r="M21" s="14" t="str">
        <f t="shared" si="0"/>
        <v>acvPamMng</v>
      </c>
      <c r="N21" s="15"/>
    </row>
    <row r="22" spans="2:14">
      <c r="B22" s="18"/>
      <c r="C22" s="14" t="s">
        <v>2167</v>
      </c>
      <c r="D22" s="14" t="s">
        <v>8875</v>
      </c>
      <c r="E22" s="14"/>
      <c r="F22" s="14"/>
      <c r="G22" s="14"/>
      <c r="H22" s="14"/>
      <c r="I22" s="14"/>
      <c r="J22" s="14"/>
      <c r="K22" s="14"/>
      <c r="L22" s="14"/>
      <c r="M22" s="14" t="str">
        <f t="shared" ref="M22:M43" si="1">a(C22,D22,E22,F22,G22,H22,I22,J22,K22)</f>
        <v>ala</v>
      </c>
      <c r="N22" s="15"/>
    </row>
    <row r="23" spans="2:14">
      <c r="B23" s="18"/>
      <c r="C23" s="14" t="s">
        <v>2167</v>
      </c>
      <c r="D23" s="14" t="s">
        <v>8901</v>
      </c>
      <c r="E23" s="14" t="s">
        <v>8902</v>
      </c>
      <c r="F23" s="14"/>
      <c r="G23" s="14"/>
      <c r="H23" s="14"/>
      <c r="I23" s="14"/>
      <c r="J23" s="14"/>
      <c r="K23" s="14"/>
      <c r="L23" s="14"/>
      <c r="M23" s="14" t="str">
        <f t="shared" si="1"/>
        <v>pamJob</v>
      </c>
      <c r="N23" s="15"/>
    </row>
    <row r="24" spans="2:14">
      <c r="B24" s="18"/>
      <c r="C24" s="14" t="s">
        <v>2167</v>
      </c>
      <c r="D24" s="14" t="s">
        <v>8928</v>
      </c>
      <c r="E24" s="14" t="s">
        <v>8929</v>
      </c>
      <c r="F24" s="14"/>
      <c r="G24" s="14"/>
      <c r="H24" s="14"/>
      <c r="I24" s="14"/>
      <c r="J24" s="14"/>
      <c r="K24" s="14"/>
      <c r="L24" s="14"/>
      <c r="M24" s="14" t="str">
        <f t="shared" si="1"/>
        <v>pmtRat</v>
      </c>
      <c r="N24" s="15"/>
    </row>
    <row r="25" spans="2:14">
      <c r="B25" s="18"/>
      <c r="C25" s="14" t="s">
        <v>2167</v>
      </c>
      <c r="D25" s="14" t="s">
        <v>8928</v>
      </c>
      <c r="E25" s="14" t="s">
        <v>8930</v>
      </c>
      <c r="F25" s="14"/>
      <c r="G25" s="14"/>
      <c r="H25" s="14"/>
      <c r="I25" s="14"/>
      <c r="J25" s="14"/>
      <c r="K25" s="14"/>
      <c r="L25" s="14"/>
      <c r="M25" s="14" t="str">
        <f t="shared" si="1"/>
        <v>pmtAmt</v>
      </c>
      <c r="N25" s="15"/>
    </row>
    <row r="26" spans="2:14">
      <c r="B26" s="18"/>
      <c r="C26" s="14" t="s">
        <v>2167</v>
      </c>
      <c r="D26" s="14" t="s">
        <v>8931</v>
      </c>
      <c r="E26" s="14"/>
      <c r="F26" s="14"/>
      <c r="G26" s="14"/>
      <c r="H26" s="14"/>
      <c r="I26" s="14"/>
      <c r="J26" s="14"/>
      <c r="K26" s="14"/>
      <c r="L26" s="14"/>
      <c r="M26" s="14" t="str">
        <f t="shared" si="1"/>
        <v>skb</v>
      </c>
      <c r="N26" s="15"/>
    </row>
    <row r="27" spans="2:14">
      <c r="B27" s="18"/>
      <c r="C27" s="14" t="s">
        <v>2167</v>
      </c>
      <c r="D27" s="14" t="s">
        <v>8962</v>
      </c>
      <c r="E27" s="14" t="s">
        <v>8963</v>
      </c>
      <c r="F27" s="14"/>
      <c r="G27" s="14"/>
      <c r="H27" s="14"/>
      <c r="I27" s="14"/>
      <c r="J27" s="14"/>
      <c r="K27" s="14"/>
      <c r="L27" s="14"/>
      <c r="M27" s="14" t="str">
        <f t="shared" si="1"/>
        <v>chb</v>
      </c>
      <c r="N27" s="15"/>
    </row>
    <row r="28" spans="2:14">
      <c r="B28" s="18"/>
      <c r="C28" s="14" t="s">
        <v>2167</v>
      </c>
      <c r="D28" s="14"/>
      <c r="E28" s="14"/>
      <c r="F28" s="14" t="s">
        <v>8999</v>
      </c>
      <c r="G28" s="14" t="s">
        <v>9000</v>
      </c>
      <c r="H28" s="14"/>
      <c r="I28" s="14"/>
      <c r="J28" s="14"/>
      <c r="K28" s="14"/>
      <c r="L28" s="14"/>
      <c r="M28" s="14" t="str">
        <f t="shared" si="1"/>
        <v>PmtRat</v>
      </c>
      <c r="N28" s="15"/>
    </row>
    <row r="29" spans="2:14">
      <c r="B29" s="18"/>
      <c r="C29" s="14" t="s">
        <v>2167</v>
      </c>
      <c r="D29" s="14" t="s">
        <v>9053</v>
      </c>
      <c r="E29" s="14" t="s">
        <v>9054</v>
      </c>
      <c r="F29" s="14"/>
      <c r="G29" s="14"/>
      <c r="H29" s="14"/>
      <c r="I29" s="14"/>
      <c r="J29" s="14"/>
      <c r="K29" s="14"/>
      <c r="L29" s="14"/>
      <c r="M29" s="14" t="str">
        <f t="shared" si="1"/>
        <v>rmdMna</v>
      </c>
      <c r="N29" s="15"/>
    </row>
    <row r="30" spans="2:14">
      <c r="B30" s="18"/>
      <c r="C30" s="14" t="s">
        <v>2167</v>
      </c>
      <c r="D30" s="14" t="s">
        <v>14882</v>
      </c>
      <c r="E30" s="14"/>
      <c r="F30" s="14"/>
      <c r="G30" s="14"/>
      <c r="H30" s="14"/>
      <c r="I30" s="14"/>
      <c r="J30" s="14"/>
      <c r="K30" s="14"/>
      <c r="L30" s="14"/>
      <c r="M30" s="14" t="str">
        <f>a(C30,D30,E30,F30,G30,H30,I30,J30,K30)</f>
        <v>res_pmt_brat</v>
      </c>
      <c r="N30" s="15"/>
    </row>
    <row r="31" spans="2:14">
      <c r="B31" s="18"/>
      <c r="C31" s="14" t="s">
        <v>2167</v>
      </c>
      <c r="D31" s="14" t="s">
        <v>14896</v>
      </c>
      <c r="E31" s="14" t="s">
        <v>14897</v>
      </c>
      <c r="F31" s="14" t="s">
        <v>14898</v>
      </c>
      <c r="G31" s="14"/>
      <c r="H31" s="14"/>
      <c r="I31" s="14"/>
      <c r="J31" s="14"/>
      <c r="K31" s="14"/>
      <c r="L31" s="14"/>
      <c r="M31" s="14" t="str">
        <f t="shared" si="1"/>
        <v>OutAmt</v>
      </c>
      <c r="N31" s="15"/>
    </row>
    <row r="32" spans="2:14">
      <c r="B32" s="18"/>
      <c r="C32" s="14" t="s">
        <v>2167</v>
      </c>
      <c r="D32" s="361" t="s">
        <v>14899</v>
      </c>
      <c r="E32" s="14"/>
      <c r="F32" s="14"/>
      <c r="G32" s="14"/>
      <c r="H32" s="14"/>
      <c r="I32" s="14"/>
      <c r="J32" s="14"/>
      <c r="K32" s="14"/>
      <c r="L32" s="14"/>
      <c r="M32" s="14" t="s">
        <v>14900</v>
      </c>
      <c r="N32" s="15"/>
    </row>
    <row r="33" spans="2:14">
      <c r="B33" s="18"/>
      <c r="C33" s="14" t="s">
        <v>2167</v>
      </c>
      <c r="D33" s="14" t="s">
        <v>14902</v>
      </c>
      <c r="E33" s="14" t="s">
        <v>14903</v>
      </c>
      <c r="F33" s="14"/>
      <c r="G33" s="14"/>
      <c r="H33" s="14"/>
      <c r="I33" s="14"/>
      <c r="J33" s="14"/>
      <c r="K33" s="14"/>
      <c r="L33" s="14"/>
      <c r="M33" s="14" t="str">
        <f t="shared" si="1"/>
        <v>acvBas</v>
      </c>
      <c r="N33" s="15"/>
    </row>
    <row r="34" spans="2:14">
      <c r="B34" s="18"/>
      <c r="C34" s="14" t="s">
        <v>2167</v>
      </c>
      <c r="D34" s="14" t="s">
        <v>14921</v>
      </c>
      <c r="E34" s="14"/>
      <c r="F34" s="14"/>
      <c r="G34" s="14"/>
      <c r="H34" s="14"/>
      <c r="I34" s="14"/>
      <c r="J34" s="14"/>
      <c r="K34" s="14"/>
      <c r="L34" s="14"/>
      <c r="M34" s="14">
        <f t="shared" si="1"/>
        <v>0</v>
      </c>
      <c r="N34" s="15"/>
    </row>
    <row r="35" spans="2:14">
      <c r="B35" s="18"/>
      <c r="C35" s="14" t="s">
        <v>2167</v>
      </c>
      <c r="D35" s="14" t="s">
        <v>14964</v>
      </c>
      <c r="E35" s="14" t="s">
        <v>14945</v>
      </c>
      <c r="F35" s="14"/>
      <c r="G35" s="14"/>
      <c r="H35" s="14"/>
      <c r="I35" s="14"/>
      <c r="J35" s="14"/>
      <c r="K35" s="14"/>
      <c r="L35" s="14"/>
      <c r="M35" s="14">
        <f t="shared" si="1"/>
        <v>0</v>
      </c>
      <c r="N35" s="15"/>
    </row>
    <row r="36" spans="2:14">
      <c r="B36" s="18"/>
      <c r="C36" s="14" t="s">
        <v>2167</v>
      </c>
      <c r="D36" s="14" t="s">
        <v>15076</v>
      </c>
      <c r="E36" s="14" t="s">
        <v>15077</v>
      </c>
      <c r="F36" s="14"/>
      <c r="G36" s="14"/>
      <c r="H36" s="14"/>
      <c r="I36" s="14"/>
      <c r="J36" s="14"/>
      <c r="K36" s="14"/>
      <c r="L36" s="14"/>
      <c r="M36" s="14" t="s">
        <v>15075</v>
      </c>
      <c r="N36" s="14" t="s">
        <v>15074</v>
      </c>
    </row>
    <row r="37" spans="2:14">
      <c r="B37" s="18"/>
      <c r="C37" s="14" t="s">
        <v>2167</v>
      </c>
      <c r="D37" s="386" t="s">
        <v>15078</v>
      </c>
      <c r="E37" s="14"/>
      <c r="F37" s="14"/>
      <c r="G37" s="14"/>
      <c r="H37" s="14"/>
      <c r="I37" s="14"/>
      <c r="J37" s="14"/>
      <c r="K37" s="14"/>
      <c r="L37" s="14"/>
      <c r="M37" s="14">
        <f>a(C37,M36,E37,F37,G37,H37,I37,J37,K37)</f>
        <v>0</v>
      </c>
      <c r="N37" s="15"/>
    </row>
    <row r="38" spans="2:14">
      <c r="B38" s="18"/>
      <c r="C38" s="14" t="s">
        <v>2167</v>
      </c>
      <c r="D38" s="14"/>
      <c r="E38" s="14"/>
      <c r="F38" s="14"/>
      <c r="G38" s="14"/>
      <c r="H38" s="14"/>
      <c r="I38" s="14"/>
      <c r="J38" s="14"/>
      <c r="K38" s="14"/>
      <c r="L38" s="14"/>
      <c r="M38" s="14">
        <f t="shared" si="1"/>
        <v>0</v>
      </c>
      <c r="N38" s="15"/>
    </row>
    <row r="39" spans="2:14">
      <c r="B39" s="18"/>
      <c r="C39" s="14" t="s">
        <v>2167</v>
      </c>
      <c r="D39" s="14"/>
      <c r="E39" s="14"/>
      <c r="F39" s="14"/>
      <c r="G39" s="14"/>
      <c r="H39" s="14"/>
      <c r="I39" s="14"/>
      <c r="J39" s="14"/>
      <c r="K39" s="14"/>
      <c r="L39" s="14"/>
      <c r="M39" s="14">
        <f t="shared" si="1"/>
        <v>0</v>
      </c>
      <c r="N39" s="15"/>
    </row>
    <row r="40" spans="2:14">
      <c r="B40" s="18"/>
      <c r="C40" s="14" t="s">
        <v>2167</v>
      </c>
      <c r="D40" s="14"/>
      <c r="E40" s="14"/>
      <c r="F40" s="14"/>
      <c r="G40" s="14"/>
      <c r="H40" s="14"/>
      <c r="I40" s="14"/>
      <c r="J40" s="14"/>
      <c r="K40" s="14"/>
      <c r="L40" s="14"/>
      <c r="M40" s="14">
        <f t="shared" si="1"/>
        <v>0</v>
      </c>
      <c r="N40" s="15"/>
    </row>
    <row r="41" spans="2:14">
      <c r="B41" s="18"/>
      <c r="C41" s="14" t="s">
        <v>2167</v>
      </c>
      <c r="D41" s="14"/>
      <c r="E41" s="14"/>
      <c r="F41" s="14"/>
      <c r="G41" s="14"/>
      <c r="H41" s="14"/>
      <c r="I41" s="14"/>
      <c r="J41" s="14"/>
      <c r="K41" s="14"/>
      <c r="L41" s="14"/>
      <c r="M41" s="14">
        <f t="shared" si="1"/>
        <v>0</v>
      </c>
      <c r="N41" s="15"/>
    </row>
    <row r="42" spans="2:14">
      <c r="B42" s="18"/>
      <c r="C42" s="14" t="s">
        <v>2167</v>
      </c>
      <c r="D42" s="14"/>
      <c r="E42" s="14"/>
      <c r="F42" s="14"/>
      <c r="G42" s="14"/>
      <c r="H42" s="14"/>
      <c r="I42" s="14"/>
      <c r="J42" s="14"/>
      <c r="K42" s="14"/>
      <c r="L42" s="14"/>
      <c r="M42" s="14">
        <f t="shared" si="1"/>
        <v>0</v>
      </c>
      <c r="N42" s="15"/>
    </row>
    <row r="43" spans="2:14">
      <c r="B43" s="18"/>
      <c r="C43" s="14" t="s">
        <v>2167</v>
      </c>
      <c r="D43" s="14"/>
      <c r="E43" s="14"/>
      <c r="F43" s="14"/>
      <c r="G43" s="14"/>
      <c r="H43" s="14"/>
      <c r="I43" s="14"/>
      <c r="J43" s="14"/>
      <c r="K43" s="14"/>
      <c r="L43" s="14"/>
      <c r="M43" s="14">
        <f t="shared" si="1"/>
        <v>0</v>
      </c>
      <c r="N43" s="15"/>
    </row>
    <row r="44" spans="2:14">
      <c r="D44" t="s">
        <v>9879</v>
      </c>
    </row>
  </sheetData>
  <phoneticPr fontId="1" type="noConversion"/>
  <dataValidations count="1">
    <dataValidation type="list" allowBlank="1" showInputMessage="1" showErrorMessage="1" sqref="C3:C43">
      <formula1>$Q$2:$Q$3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F313"/>
  <sheetViews>
    <sheetView tabSelected="1" zoomScale="70" zoomScaleNormal="70" workbookViewId="0">
      <pane xSplit="14" ySplit="4" topLeftCell="O5" activePane="bottomRight" state="frozen"/>
      <selection activeCell="C38" sqref="C38"/>
      <selection pane="topRight" activeCell="C38" sqref="C38"/>
      <selection pane="bottomLeft" activeCell="C38" sqref="C38"/>
      <selection pane="bottomRight" activeCell="N6" sqref="N6"/>
    </sheetView>
  </sheetViews>
  <sheetFormatPr defaultRowHeight="16.5"/>
  <cols>
    <col min="1" max="1" width="4.875" customWidth="1"/>
    <col min="2" max="2" width="6.125" style="186" customWidth="1"/>
    <col min="3" max="3" width="13.75" style="186" bestFit="1" customWidth="1"/>
    <col min="4" max="4" width="5.25" style="186" bestFit="1" customWidth="1"/>
    <col min="5" max="5" width="4.375" style="185" customWidth="1"/>
    <col min="6" max="6" width="4.625" style="185" customWidth="1"/>
    <col min="7" max="7" width="5.125" style="185" customWidth="1"/>
    <col min="8" max="11" width="5.25" style="185" bestFit="1" customWidth="1"/>
    <col min="12" max="12" width="6.625" style="184" customWidth="1"/>
    <col min="13" max="13" width="10.625" style="243" customWidth="1"/>
    <col min="14" max="14" width="18.125" style="184" bestFit="1" customWidth="1"/>
    <col min="15" max="15" width="14.375" style="186" customWidth="1"/>
    <col min="16" max="16" width="32" style="175" bestFit="1" customWidth="1"/>
    <col min="17" max="17" width="34.125" style="141" customWidth="1"/>
    <col min="18" max="18" width="42.125" style="169" customWidth="1"/>
    <col min="19" max="19" width="26.125" style="169" customWidth="1"/>
    <col min="20" max="20" width="4.375" style="184" customWidth="1"/>
    <col min="21" max="21" width="11.25" style="193" bestFit="1" customWidth="1"/>
    <col min="22" max="22" width="11.25" style="186" bestFit="1" customWidth="1"/>
    <col min="23" max="23" width="10.125" style="184" bestFit="1" customWidth="1"/>
    <col min="24" max="24" width="11.25" style="193" bestFit="1" customWidth="1"/>
    <col min="25" max="25" width="11.25" style="186" bestFit="1" customWidth="1"/>
    <col min="26" max="26" width="7.125" style="184" bestFit="1" customWidth="1"/>
    <col min="27" max="27" width="13.75" style="184" bestFit="1" customWidth="1"/>
    <col min="28" max="28" width="10.625" style="186" bestFit="1" customWidth="1"/>
    <col min="29" max="29" width="15.625" customWidth="1"/>
  </cols>
  <sheetData>
    <row r="1" spans="2:32">
      <c r="B1" s="141"/>
      <c r="C1" s="183"/>
      <c r="D1" s="184"/>
      <c r="L1" s="394"/>
      <c r="M1" s="397" t="s">
        <v>15133</v>
      </c>
      <c r="N1" s="399">
        <v>41463</v>
      </c>
      <c r="O1" s="398" t="s">
        <v>15134</v>
      </c>
      <c r="P1"/>
      <c r="Q1" s="392"/>
      <c r="R1" s="170"/>
      <c r="S1" s="170"/>
      <c r="X1" s="184"/>
      <c r="AD1" t="s">
        <v>8271</v>
      </c>
      <c r="AE1" t="s">
        <v>8273</v>
      </c>
      <c r="AF1" t="s">
        <v>8272</v>
      </c>
    </row>
    <row r="2" spans="2:32">
      <c r="C2" s="141"/>
      <c r="D2" s="184"/>
      <c r="L2" s="395"/>
      <c r="M2" s="396" t="s">
        <v>5897</v>
      </c>
      <c r="N2" s="400">
        <v>41698</v>
      </c>
      <c r="O2" s="400" t="str">
        <f>IF(VALUE(DATEDIF(N1,N2+1,"md"))&gt;=15,
    IF(VALUE(DATEDIF(N1,N2+1,"ym"))+1&gt;12,
            VALUE(DATEDIF(N1,N2+1,"y"))+1&amp;"년"&amp;DATEDIF(N1,N2,"ym")&amp;"개월",
            VALUE(DATEDIF(N1,N2+1,"ym"))&amp;"개월" &amp; DATEDIF(N1,N2+1,"md")&amp;"일"),
    DATEDIF(N1,N2+1,"y")&amp;"년 " &amp; DATEDIF(N1,N2+1,"ym")&amp;"개월 " &amp; DATEDIF(N1,N2+1,"md")&amp;"일")</f>
        <v>7개월21일</v>
      </c>
      <c r="P2" s="369"/>
      <c r="R2" s="170"/>
      <c r="S2" s="170"/>
      <c r="U2" s="184"/>
      <c r="X2" s="184"/>
      <c r="AD2" t="s">
        <v>5979</v>
      </c>
      <c r="AE2" t="s">
        <v>5982</v>
      </c>
      <c r="AF2" t="s">
        <v>5991</v>
      </c>
    </row>
    <row r="3" spans="2:32">
      <c r="B3" s="406" t="s">
        <v>5917</v>
      </c>
      <c r="C3" s="406" t="s">
        <v>5963</v>
      </c>
      <c r="D3" s="408" t="s">
        <v>8277</v>
      </c>
      <c r="E3" s="187"/>
      <c r="F3" s="187" t="s">
        <v>8274</v>
      </c>
      <c r="G3" s="381"/>
      <c r="H3" s="383" t="s">
        <v>14973</v>
      </c>
      <c r="I3" s="384"/>
      <c r="J3" s="383" t="s">
        <v>14976</v>
      </c>
      <c r="K3" s="384"/>
      <c r="L3" s="410" t="s">
        <v>5978</v>
      </c>
      <c r="M3" s="412" t="s">
        <v>5937</v>
      </c>
      <c r="N3" s="412" t="s">
        <v>5973</v>
      </c>
      <c r="O3" s="407" t="s">
        <v>8270</v>
      </c>
      <c r="P3" s="405" t="s">
        <v>5912</v>
      </c>
      <c r="Q3" s="406" t="s">
        <v>5908</v>
      </c>
      <c r="R3" s="405" t="s">
        <v>8377</v>
      </c>
      <c r="S3" s="405" t="s">
        <v>8524</v>
      </c>
      <c r="T3" s="406" t="s">
        <v>5989</v>
      </c>
      <c r="U3" s="404" t="s">
        <v>7355</v>
      </c>
      <c r="V3" s="404" t="s">
        <v>7356</v>
      </c>
      <c r="W3" s="406" t="s">
        <v>5934</v>
      </c>
      <c r="X3" s="404" t="s">
        <v>8266</v>
      </c>
      <c r="Y3" s="404" t="s">
        <v>8267</v>
      </c>
      <c r="Z3" s="406" t="s">
        <v>5934</v>
      </c>
      <c r="AA3" s="406" t="s">
        <v>5933</v>
      </c>
      <c r="AB3" s="406" t="s">
        <v>8378</v>
      </c>
      <c r="AD3" t="s">
        <v>14965</v>
      </c>
      <c r="AF3" t="s">
        <v>14966</v>
      </c>
    </row>
    <row r="4" spans="2:32" s="25" customFormat="1" ht="28.5" customHeight="1">
      <c r="B4" s="405"/>
      <c r="C4" s="405"/>
      <c r="D4" s="409"/>
      <c r="E4" s="245" t="s">
        <v>6001</v>
      </c>
      <c r="F4" s="245" t="s">
        <v>8265</v>
      </c>
      <c r="G4" s="382" t="s">
        <v>8269</v>
      </c>
      <c r="H4" s="382" t="s">
        <v>14974</v>
      </c>
      <c r="I4" s="382" t="s">
        <v>14975</v>
      </c>
      <c r="J4" s="382" t="s">
        <v>14974</v>
      </c>
      <c r="K4" s="382" t="s">
        <v>14975</v>
      </c>
      <c r="L4" s="411"/>
      <c r="M4" s="405"/>
      <c r="N4" s="405"/>
      <c r="O4" s="407"/>
      <c r="P4" s="407"/>
      <c r="Q4" s="405"/>
      <c r="R4" s="407"/>
      <c r="S4" s="407"/>
      <c r="T4" s="405"/>
      <c r="U4" s="405"/>
      <c r="V4" s="405"/>
      <c r="W4" s="405"/>
      <c r="X4" s="405"/>
      <c r="Y4" s="405"/>
      <c r="Z4" s="405"/>
      <c r="AA4" s="405"/>
      <c r="AB4" s="405"/>
    </row>
    <row r="5" spans="2:32" s="344" customFormat="1" ht="17.25" thickBot="1">
      <c r="B5" s="188">
        <f t="shared" ref="B5:B14" si="0">B6+1</f>
        <v>195</v>
      </c>
      <c r="C5" s="385" t="s">
        <v>15109</v>
      </c>
      <c r="D5" s="24" t="s">
        <v>5977</v>
      </c>
      <c r="E5" s="257" t="s">
        <v>8271</v>
      </c>
      <c r="F5" s="257" t="s">
        <v>8271</v>
      </c>
      <c r="G5" s="257" t="s">
        <v>5979</v>
      </c>
      <c r="H5" s="257" t="s">
        <v>8271</v>
      </c>
      <c r="I5" s="257" t="s">
        <v>8271</v>
      </c>
      <c r="J5" s="257" t="s">
        <v>5979</v>
      </c>
      <c r="K5" s="257" t="s">
        <v>5979</v>
      </c>
      <c r="L5" s="267" t="s">
        <v>8379</v>
      </c>
      <c r="M5" s="190" t="s">
        <v>15091</v>
      </c>
      <c r="N5" s="188" t="s">
        <v>8282</v>
      </c>
      <c r="O5" s="191"/>
      <c r="P5" s="188" t="s">
        <v>15123</v>
      </c>
      <c r="Q5" t="s">
        <v>15135</v>
      </c>
      <c r="R5" s="393"/>
      <c r="S5" s="256"/>
      <c r="T5" s="265" t="s">
        <v>4936</v>
      </c>
      <c r="U5" s="193">
        <v>41697</v>
      </c>
      <c r="V5" s="193">
        <v>41697</v>
      </c>
      <c r="W5" s="194">
        <f>IF(OR(U5="",V5="")," ",( V5-U5 + 1) - ((fWorkDay(U5,V5)-U5) - (V5-U5)))</f>
        <v>1</v>
      </c>
      <c r="X5" s="193">
        <v>41697</v>
      </c>
      <c r="Y5" s="193">
        <v>41697</v>
      </c>
      <c r="Z5" s="194">
        <f>IF(OR(X5="",Y5="")," ",( Y5-X5 + 1) - ((fWorkDay(X5,Y5)-X5) - (Y5-X5)))</f>
        <v>1</v>
      </c>
      <c r="AA5" s="222" t="s">
        <v>5546</v>
      </c>
      <c r="AB5" s="268"/>
    </row>
    <row r="6" spans="2:32" s="344" customFormat="1" ht="202.5">
      <c r="B6" s="188">
        <f t="shared" si="0"/>
        <v>194</v>
      </c>
      <c r="C6" s="385" t="s">
        <v>15109</v>
      </c>
      <c r="D6" s="24" t="s">
        <v>5977</v>
      </c>
      <c r="E6" s="257" t="s">
        <v>8271</v>
      </c>
      <c r="F6" s="257" t="s">
        <v>8271</v>
      </c>
      <c r="G6" s="257" t="s">
        <v>5979</v>
      </c>
      <c r="H6" s="257" t="s">
        <v>8271</v>
      </c>
      <c r="I6" s="257" t="s">
        <v>8271</v>
      </c>
      <c r="J6" s="257" t="s">
        <v>5979</v>
      </c>
      <c r="K6" s="257" t="s">
        <v>5979</v>
      </c>
      <c r="L6" s="267" t="s">
        <v>8379</v>
      </c>
      <c r="M6" s="190" t="s">
        <v>5942</v>
      </c>
      <c r="N6" s="188" t="s">
        <v>15084</v>
      </c>
      <c r="O6" s="191"/>
      <c r="P6" s="228" t="s">
        <v>15131</v>
      </c>
      <c r="Q6" s="149" t="s">
        <v>6014</v>
      </c>
      <c r="R6" s="393" t="s">
        <v>15132</v>
      </c>
      <c r="S6" s="256"/>
      <c r="T6" s="265" t="s">
        <v>4936</v>
      </c>
      <c r="U6" s="193">
        <v>41695</v>
      </c>
      <c r="V6" s="193">
        <v>41696</v>
      </c>
      <c r="W6" s="194">
        <f>IF(OR(U6="",V6="")," ",( V6-U6 + 1) - ((fWorkDay(U6,V6)-U6) - (V6-U6)))</f>
        <v>2</v>
      </c>
      <c r="X6" s="193">
        <v>41695</v>
      </c>
      <c r="Y6" s="193">
        <v>41696</v>
      </c>
      <c r="Z6" s="194">
        <f>IF(OR(X6="",Y6="")," ",( Y6-X6 + 1) - ((fWorkDay(X6,Y6)-X6) - (Y6-X6)))</f>
        <v>2</v>
      </c>
      <c r="AA6" s="222" t="s">
        <v>5546</v>
      </c>
      <c r="AB6" s="268"/>
    </row>
    <row r="7" spans="2:32" s="344" customFormat="1" ht="27">
      <c r="B7" s="188">
        <f t="shared" si="0"/>
        <v>193</v>
      </c>
      <c r="C7" s="385" t="s">
        <v>15109</v>
      </c>
      <c r="D7" s="24" t="s">
        <v>5977</v>
      </c>
      <c r="E7" s="257" t="s">
        <v>8271</v>
      </c>
      <c r="F7" s="257" t="s">
        <v>8271</v>
      </c>
      <c r="G7" s="257" t="s">
        <v>5979</v>
      </c>
      <c r="H7" s="257" t="s">
        <v>8271</v>
      </c>
      <c r="I7" s="257" t="s">
        <v>8271</v>
      </c>
      <c r="J7" s="257" t="s">
        <v>5979</v>
      </c>
      <c r="K7" s="257" t="s">
        <v>5979</v>
      </c>
      <c r="L7" s="267" t="s">
        <v>8379</v>
      </c>
      <c r="M7" s="190" t="s">
        <v>5942</v>
      </c>
      <c r="N7" s="188" t="s">
        <v>15124</v>
      </c>
      <c r="O7" s="191"/>
      <c r="P7" s="188" t="s">
        <v>15128</v>
      </c>
      <c r="Q7" s="391" t="s">
        <v>15129</v>
      </c>
      <c r="R7" s="272"/>
      <c r="S7" s="256"/>
      <c r="T7" s="265" t="s">
        <v>4936</v>
      </c>
      <c r="U7" s="193">
        <v>41694</v>
      </c>
      <c r="V7" s="193">
        <v>41694</v>
      </c>
      <c r="W7" s="194">
        <f>IF(OR(U7="",V7="")," ",( V7-U7 + 1) - ((fWorkDay(U7,V7)-U7) - (V7-U7)))</f>
        <v>1</v>
      </c>
      <c r="X7" s="193">
        <v>41694</v>
      </c>
      <c r="Y7" s="193">
        <v>41694</v>
      </c>
      <c r="Z7" s="194">
        <f>IF(OR(X7="",Y7="")," ",( Y7-X7 + 1) - ((fWorkDay(X7,Y7)-X7) - (Y7-X7)))</f>
        <v>1</v>
      </c>
      <c r="AA7" s="222" t="s">
        <v>5546</v>
      </c>
      <c r="AB7" s="268"/>
    </row>
    <row r="8" spans="2:32" s="344" customFormat="1" ht="27">
      <c r="B8" s="188">
        <f t="shared" si="0"/>
        <v>192</v>
      </c>
      <c r="C8" s="385" t="s">
        <v>15109</v>
      </c>
      <c r="D8" s="24" t="s">
        <v>5977</v>
      </c>
      <c r="E8" s="257" t="s">
        <v>8271</v>
      </c>
      <c r="F8" s="257" t="s">
        <v>8271</v>
      </c>
      <c r="G8" s="257" t="s">
        <v>5979</v>
      </c>
      <c r="H8" s="257" t="s">
        <v>8271</v>
      </c>
      <c r="I8" s="257" t="s">
        <v>8271</v>
      </c>
      <c r="J8" s="257" t="s">
        <v>5979</v>
      </c>
      <c r="K8" s="257" t="s">
        <v>5979</v>
      </c>
      <c r="L8" s="267" t="s">
        <v>8379</v>
      </c>
      <c r="M8" s="190" t="s">
        <v>5942</v>
      </c>
      <c r="N8" s="188" t="s">
        <v>15124</v>
      </c>
      <c r="O8" s="191"/>
      <c r="P8" s="188" t="s">
        <v>15127</v>
      </c>
      <c r="Q8" s="391" t="s">
        <v>15129</v>
      </c>
      <c r="R8" s="272"/>
      <c r="S8" s="256"/>
      <c r="T8" s="265" t="s">
        <v>4936</v>
      </c>
      <c r="U8" s="193">
        <v>41694</v>
      </c>
      <c r="V8" s="193">
        <v>41694</v>
      </c>
      <c r="W8" s="194">
        <f>IF(OR(U8="",V8="")," ",( V8-U8 + 1) - ((fWorkDay(U8,V8)-U8) - (V8-U8)))</f>
        <v>1</v>
      </c>
      <c r="X8" s="193">
        <v>41694</v>
      </c>
      <c r="Y8" s="193">
        <v>41694</v>
      </c>
      <c r="Z8" s="194">
        <f>IF(OR(X8="",Y8="")," ",( Y8-X8 + 1) - ((fWorkDay(X8,Y8)-X8) - (Y8-X8)))</f>
        <v>1</v>
      </c>
      <c r="AA8" s="222" t="s">
        <v>5546</v>
      </c>
      <c r="AB8" s="268"/>
    </row>
    <row r="9" spans="2:32" s="344" customFormat="1" ht="54">
      <c r="B9" s="188">
        <f t="shared" si="0"/>
        <v>191</v>
      </c>
      <c r="C9" s="385" t="s">
        <v>15109</v>
      </c>
      <c r="D9" s="24" t="s">
        <v>5977</v>
      </c>
      <c r="E9" s="257" t="s">
        <v>8271</v>
      </c>
      <c r="F9" s="257" t="s">
        <v>8271</v>
      </c>
      <c r="G9" s="257" t="s">
        <v>5979</v>
      </c>
      <c r="H9" s="257" t="s">
        <v>8271</v>
      </c>
      <c r="I9" s="257" t="s">
        <v>8271</v>
      </c>
      <c r="J9" s="257" t="s">
        <v>5979</v>
      </c>
      <c r="K9" s="257" t="s">
        <v>5979</v>
      </c>
      <c r="L9" s="267" t="s">
        <v>8379</v>
      </c>
      <c r="M9" s="113" t="s">
        <v>6016</v>
      </c>
      <c r="N9" s="113" t="s">
        <v>6016</v>
      </c>
      <c r="O9" s="191"/>
      <c r="P9" s="188" t="s">
        <v>15125</v>
      </c>
      <c r="Q9" s="391" t="s">
        <v>15126</v>
      </c>
      <c r="R9" s="272"/>
      <c r="S9" s="256"/>
      <c r="T9" s="265" t="s">
        <v>4936</v>
      </c>
      <c r="U9" s="193">
        <v>41691</v>
      </c>
      <c r="V9" s="193">
        <v>41691</v>
      </c>
      <c r="W9" s="194">
        <f>IF(OR(U9="",V9="")," ",( V9-U9 + 1) - ((fWorkDay(U9,V9)-U9) - (V9-U9)))</f>
        <v>1</v>
      </c>
      <c r="X9" s="193">
        <v>41691</v>
      </c>
      <c r="Y9" s="193">
        <v>41691</v>
      </c>
      <c r="Z9" s="194">
        <f>IF(OR(X9="",Y9="")," ",( Y9-X9 + 1) - ((fWorkDay(X9,Y9)-X9) - (Y9-X9)))</f>
        <v>1</v>
      </c>
      <c r="AA9" s="222" t="s">
        <v>5546</v>
      </c>
      <c r="AB9" s="268"/>
    </row>
    <row r="10" spans="2:32" s="344" customFormat="1" ht="67.5">
      <c r="B10" s="188">
        <f t="shared" si="0"/>
        <v>190</v>
      </c>
      <c r="C10" s="385" t="s">
        <v>15109</v>
      </c>
      <c r="D10" s="24" t="s">
        <v>5977</v>
      </c>
      <c r="E10" s="257" t="s">
        <v>8271</v>
      </c>
      <c r="F10" s="257" t="s">
        <v>8271</v>
      </c>
      <c r="G10" s="257" t="s">
        <v>14951</v>
      </c>
      <c r="H10" s="257" t="s">
        <v>8271</v>
      </c>
      <c r="I10" s="257" t="s">
        <v>8271</v>
      </c>
      <c r="J10" s="257" t="s">
        <v>5979</v>
      </c>
      <c r="K10" s="257" t="s">
        <v>5979</v>
      </c>
      <c r="L10" s="267" t="s">
        <v>8379</v>
      </c>
      <c r="M10" s="190" t="s">
        <v>15091</v>
      </c>
      <c r="N10" s="188" t="s">
        <v>15124</v>
      </c>
      <c r="O10" s="191"/>
      <c r="P10" s="188" t="s">
        <v>15123</v>
      </c>
      <c r="Q10" s="391" t="s">
        <v>15122</v>
      </c>
      <c r="R10" s="272"/>
      <c r="S10" s="256"/>
      <c r="T10" s="265" t="s">
        <v>4936</v>
      </c>
      <c r="U10" s="193">
        <v>41691</v>
      </c>
      <c r="V10" s="193">
        <v>41691</v>
      </c>
      <c r="W10" s="194">
        <f>IF(OR(U10="",V10="")," ",( V10-U10 + 1) - ((fWorkDay(U10,V10)-U10) - (V10-U10)))</f>
        <v>1</v>
      </c>
      <c r="X10" s="193">
        <v>41691</v>
      </c>
      <c r="Y10" s="193">
        <v>41691</v>
      </c>
      <c r="Z10" s="194">
        <f>IF(OR(X10="",Y10="")," ",( Y10-X10 + 1) - ((fWorkDay(X10,Y10)-X10) - (Y10-X10)))</f>
        <v>1</v>
      </c>
      <c r="AA10" s="222" t="s">
        <v>5546</v>
      </c>
      <c r="AB10" s="268"/>
    </row>
    <row r="11" spans="2:32" s="344" customFormat="1">
      <c r="B11" s="188">
        <f t="shared" si="0"/>
        <v>189</v>
      </c>
      <c r="C11" s="385" t="s">
        <v>15109</v>
      </c>
      <c r="D11" s="24" t="s">
        <v>5977</v>
      </c>
      <c r="E11" s="257" t="s">
        <v>8271</v>
      </c>
      <c r="F11" s="257" t="s">
        <v>8271</v>
      </c>
      <c r="G11" s="257" t="s">
        <v>14951</v>
      </c>
      <c r="H11" s="257" t="s">
        <v>8271</v>
      </c>
      <c r="I11" s="257" t="s">
        <v>8271</v>
      </c>
      <c r="J11" s="257" t="s">
        <v>5979</v>
      </c>
      <c r="K11" s="257" t="s">
        <v>5979</v>
      </c>
      <c r="L11" s="267" t="s">
        <v>15117</v>
      </c>
      <c r="M11" s="190" t="s">
        <v>15118</v>
      </c>
      <c r="N11" s="188" t="s">
        <v>15119</v>
      </c>
      <c r="O11" s="191" t="s">
        <v>15120</v>
      </c>
      <c r="P11" s="188" t="s">
        <v>15130</v>
      </c>
      <c r="Q11" s="391" t="s">
        <v>15121</v>
      </c>
      <c r="R11" s="272"/>
      <c r="S11" s="256"/>
      <c r="T11" s="265" t="s">
        <v>4936</v>
      </c>
      <c r="U11" s="193">
        <v>41689</v>
      </c>
      <c r="V11" s="193">
        <v>41690</v>
      </c>
      <c r="W11" s="194">
        <f>IF(OR(U11="",V11="")," ",( V11-U11 + 1) - ((fWorkDay(U11,V11)-U11) - (V11-U11)))</f>
        <v>2</v>
      </c>
      <c r="X11" s="193">
        <v>41689</v>
      </c>
      <c r="Y11" s="193">
        <v>41690</v>
      </c>
      <c r="Z11" s="194">
        <f>IF(OR(X11="",Y11="")," ",( Y11-X11 + 1) - ((fWorkDay(X11,Y11)-X11) - (Y11-X11)))</f>
        <v>2</v>
      </c>
      <c r="AA11" s="222" t="s">
        <v>5546</v>
      </c>
      <c r="AB11" s="268"/>
    </row>
    <row r="12" spans="2:32" s="344" customFormat="1" ht="40.5">
      <c r="B12" s="188">
        <f t="shared" si="0"/>
        <v>188</v>
      </c>
      <c r="C12" s="385" t="s">
        <v>15109</v>
      </c>
      <c r="D12" s="24" t="s">
        <v>5977</v>
      </c>
      <c r="E12" s="257" t="s">
        <v>8271</v>
      </c>
      <c r="F12" s="257" t="s">
        <v>8271</v>
      </c>
      <c r="G12" s="257" t="s">
        <v>14951</v>
      </c>
      <c r="H12" s="257" t="s">
        <v>8271</v>
      </c>
      <c r="I12" s="257" t="s">
        <v>8271</v>
      </c>
      <c r="J12" s="257" t="s">
        <v>5979</v>
      </c>
      <c r="K12" s="257" t="s">
        <v>5979</v>
      </c>
      <c r="L12" s="267" t="s">
        <v>8379</v>
      </c>
      <c r="M12" s="190" t="s">
        <v>15091</v>
      </c>
      <c r="N12" s="188" t="s">
        <v>8282</v>
      </c>
      <c r="O12" s="191"/>
      <c r="P12" s="176" t="s">
        <v>15116</v>
      </c>
      <c r="Q12" s="391" t="s">
        <v>15115</v>
      </c>
      <c r="R12" s="272"/>
      <c r="S12" s="256"/>
      <c r="T12" s="265" t="s">
        <v>4936</v>
      </c>
      <c r="U12" s="193">
        <v>41688</v>
      </c>
      <c r="V12" s="193">
        <v>41688</v>
      </c>
      <c r="W12" s="194">
        <f>IF(OR(U12="",V12="")," ",( V12-U12 + 1) - ((fWorkDay(U12,V12)-U12) - (V12-U12)))</f>
        <v>1</v>
      </c>
      <c r="X12" s="193">
        <v>41687</v>
      </c>
      <c r="Y12" s="193">
        <v>41687</v>
      </c>
      <c r="Z12" s="194">
        <f>IF(OR(X12="",Y12="")," ",( Y12-X12 + 1) - ((fWorkDay(X12,Y12)-X12) - (Y12-X12)))</f>
        <v>1</v>
      </c>
      <c r="AA12" s="222" t="s">
        <v>5546</v>
      </c>
      <c r="AB12" s="268"/>
    </row>
    <row r="13" spans="2:32" s="344" customFormat="1" ht="40.5">
      <c r="B13" s="188">
        <f t="shared" si="0"/>
        <v>187</v>
      </c>
      <c r="C13" s="385" t="s">
        <v>15109</v>
      </c>
      <c r="D13" s="24" t="s">
        <v>5977</v>
      </c>
      <c r="E13" s="257" t="s">
        <v>8271</v>
      </c>
      <c r="F13" s="257" t="s">
        <v>8271</v>
      </c>
      <c r="G13" s="257" t="s">
        <v>14951</v>
      </c>
      <c r="H13" s="257" t="s">
        <v>8271</v>
      </c>
      <c r="I13" s="257" t="s">
        <v>8271</v>
      </c>
      <c r="J13" s="257" t="s">
        <v>5979</v>
      </c>
      <c r="K13" s="257" t="s">
        <v>5979</v>
      </c>
      <c r="L13" s="267" t="s">
        <v>15112</v>
      </c>
      <c r="M13" s="190" t="s">
        <v>15113</v>
      </c>
      <c r="N13" s="188" t="s">
        <v>8282</v>
      </c>
      <c r="O13" s="191" t="s">
        <v>15106</v>
      </c>
      <c r="P13" s="176" t="s">
        <v>15114</v>
      </c>
      <c r="Q13" s="391" t="s">
        <v>15111</v>
      </c>
      <c r="R13" s="272"/>
      <c r="S13" s="256" t="s">
        <v>15110</v>
      </c>
      <c r="T13" s="265" t="s">
        <v>4936</v>
      </c>
      <c r="U13" s="193">
        <v>41687</v>
      </c>
      <c r="V13" s="193">
        <v>41687</v>
      </c>
      <c r="W13" s="194">
        <f>IF(OR(U13="",V13="")," ",( V13-U13 + 1) - ((fWorkDay(U13,V13)-U13) - (V13-U13)))</f>
        <v>1</v>
      </c>
      <c r="X13" s="193">
        <v>41687</v>
      </c>
      <c r="Y13" s="193">
        <v>41687</v>
      </c>
      <c r="Z13" s="194">
        <f>IF(OR(X13="",Y13="")," ",( Y13-X13 + 1) - ((fWorkDay(X13,Y13)-X13) - (Y13-X13)))</f>
        <v>1</v>
      </c>
      <c r="AA13" s="222" t="s">
        <v>5546</v>
      </c>
      <c r="AB13" s="268"/>
    </row>
    <row r="14" spans="2:32" s="344" customFormat="1" ht="81">
      <c r="B14" s="188">
        <f t="shared" si="0"/>
        <v>186</v>
      </c>
      <c r="C14" s="385" t="s">
        <v>15109</v>
      </c>
      <c r="D14" s="24" t="s">
        <v>5977</v>
      </c>
      <c r="E14" s="257" t="s">
        <v>8271</v>
      </c>
      <c r="F14" s="257" t="s">
        <v>8271</v>
      </c>
      <c r="G14" s="257" t="s">
        <v>14951</v>
      </c>
      <c r="H14" s="257" t="s">
        <v>8271</v>
      </c>
      <c r="I14" s="257" t="s">
        <v>8271</v>
      </c>
      <c r="J14" s="257" t="s">
        <v>5979</v>
      </c>
      <c r="K14" s="257" t="s">
        <v>5979</v>
      </c>
      <c r="L14" s="267" t="s">
        <v>8379</v>
      </c>
      <c r="M14" s="190" t="s">
        <v>15105</v>
      </c>
      <c r="N14" s="188" t="s">
        <v>8282</v>
      </c>
      <c r="O14" s="191" t="s">
        <v>15106</v>
      </c>
      <c r="P14" s="176" t="s">
        <v>15107</v>
      </c>
      <c r="Q14" s="390" t="s">
        <v>15108</v>
      </c>
      <c r="R14" s="272"/>
      <c r="S14" s="256" t="s">
        <v>14969</v>
      </c>
      <c r="T14" s="265" t="s">
        <v>4936</v>
      </c>
      <c r="U14" s="193">
        <v>41684</v>
      </c>
      <c r="V14" s="193">
        <v>41684</v>
      </c>
      <c r="W14" s="194">
        <f>IF(OR(U14="",V14="")," ",( V14-U14 + 1) - ((fWorkDay(U14,V14)-U14) - (V14-U14)))</f>
        <v>1</v>
      </c>
      <c r="X14" s="193">
        <v>41684</v>
      </c>
      <c r="Y14" s="193">
        <v>41684</v>
      </c>
      <c r="Z14" s="194">
        <f>IF(OR(X14="",Y14="")," ",( Y14-X14 + 1) - ((fWorkDay(X14,Y14)-X14) - (Y14-X14)))</f>
        <v>1</v>
      </c>
      <c r="AA14" s="222" t="s">
        <v>5546</v>
      </c>
      <c r="AB14" s="268"/>
    </row>
    <row r="15" spans="2:32" ht="27.75" thickBot="1">
      <c r="B15" s="188">
        <f t="shared" ref="B15:B19" si="1">B16+1</f>
        <v>185</v>
      </c>
      <c r="C15" s="131" t="s">
        <v>5907</v>
      </c>
      <c r="D15" s="120" t="s">
        <v>5977</v>
      </c>
      <c r="E15" s="121" t="s">
        <v>8271</v>
      </c>
      <c r="F15" s="121" t="s">
        <v>8271</v>
      </c>
      <c r="G15" s="121" t="s">
        <v>5979</v>
      </c>
      <c r="H15" s="121" t="s">
        <v>8271</v>
      </c>
      <c r="I15" s="121" t="s">
        <v>8271</v>
      </c>
      <c r="J15" s="121" t="s">
        <v>5979</v>
      </c>
      <c r="K15" s="121" t="s">
        <v>5979</v>
      </c>
      <c r="L15" s="207" t="s">
        <v>8379</v>
      </c>
      <c r="M15" s="190" t="s">
        <v>15099</v>
      </c>
      <c r="N15" s="188" t="s">
        <v>15099</v>
      </c>
      <c r="O15" s="191" t="s">
        <v>15099</v>
      </c>
      <c r="P15" s="176" t="s">
        <v>15099</v>
      </c>
      <c r="Q15" s="388" t="s">
        <v>15102</v>
      </c>
      <c r="R15" s="389" t="s">
        <v>15103</v>
      </c>
      <c r="S15" s="176" t="s">
        <v>15099</v>
      </c>
      <c r="T15" s="209" t="s">
        <v>2876</v>
      </c>
      <c r="U15" s="193">
        <v>41683</v>
      </c>
      <c r="V15" s="193">
        <v>41683</v>
      </c>
      <c r="W15" s="211">
        <f>IF(OR(U15="",V15="")," ",( V15-U15 + 1) - ((fWorkDay(U15,V15)-U15) - (V15-U15)))</f>
        <v>1</v>
      </c>
      <c r="X15" s="193">
        <v>41683</v>
      </c>
      <c r="Y15" s="193">
        <v>41683</v>
      </c>
      <c r="Z15" s="211">
        <f>IF(OR(X15="",Y15="")," ",( Y15-X15 + 1) - ((fWorkDay(X15,Y15)-X15) - (Y15-X15)))</f>
        <v>1</v>
      </c>
      <c r="AA15" s="267" t="s">
        <v>3471</v>
      </c>
      <c r="AB15" s="213"/>
    </row>
    <row r="16" spans="2:32" ht="41.25" thickBot="1">
      <c r="B16" s="188">
        <f t="shared" si="1"/>
        <v>184</v>
      </c>
      <c r="C16" s="131" t="s">
        <v>14941</v>
      </c>
      <c r="D16" s="120" t="s">
        <v>5977</v>
      </c>
      <c r="E16" s="121" t="s">
        <v>15024</v>
      </c>
      <c r="F16" s="121" t="s">
        <v>14986</v>
      </c>
      <c r="G16" s="121" t="s">
        <v>14977</v>
      </c>
      <c r="H16" s="121" t="s">
        <v>15049</v>
      </c>
      <c r="I16" s="121" t="s">
        <v>15036</v>
      </c>
      <c r="J16" s="121" t="s">
        <v>5979</v>
      </c>
      <c r="K16" s="121" t="s">
        <v>14952</v>
      </c>
      <c r="L16" s="207" t="s">
        <v>8379</v>
      </c>
      <c r="M16" s="190" t="s">
        <v>15099</v>
      </c>
      <c r="N16" s="188" t="s">
        <v>15099</v>
      </c>
      <c r="O16" s="191" t="s">
        <v>15100</v>
      </c>
      <c r="P16" s="176" t="s">
        <v>15100</v>
      </c>
      <c r="Q16" s="388" t="s">
        <v>15101</v>
      </c>
      <c r="R16" s="389" t="s">
        <v>15104</v>
      </c>
      <c r="S16" s="176" t="s">
        <v>15100</v>
      </c>
      <c r="T16" s="209" t="s">
        <v>2876</v>
      </c>
      <c r="U16" s="193">
        <v>41683</v>
      </c>
      <c r="V16" s="193">
        <v>41683</v>
      </c>
      <c r="W16" s="211">
        <f>IF(OR(U16="",V16="")," ",( V16-U16 + 1) - ((fWorkDay(U16,V16)-U16) - (V16-U16)))</f>
        <v>1</v>
      </c>
      <c r="X16" s="193">
        <v>41683</v>
      </c>
      <c r="Y16" s="193">
        <v>41683</v>
      </c>
      <c r="Z16" s="211">
        <f>IF(OR(X16="",Y16="")," ",( Y16-X16 + 1) - ((fWorkDay(X16,Y16)-X16) - (Y16-X16)))</f>
        <v>1</v>
      </c>
      <c r="AA16" s="267" t="s">
        <v>3471</v>
      </c>
      <c r="AB16" s="213"/>
    </row>
    <row r="17" spans="2:28" ht="17.25" thickBot="1">
      <c r="B17" s="188">
        <f t="shared" si="1"/>
        <v>183</v>
      </c>
      <c r="C17" s="131" t="s">
        <v>15095</v>
      </c>
      <c r="D17" s="120" t="s">
        <v>5977</v>
      </c>
      <c r="E17" s="121" t="s">
        <v>15024</v>
      </c>
      <c r="F17" s="121" t="s">
        <v>14986</v>
      </c>
      <c r="G17" s="121" t="s">
        <v>14977</v>
      </c>
      <c r="H17" s="121" t="s">
        <v>15049</v>
      </c>
      <c r="I17" s="121" t="s">
        <v>15036</v>
      </c>
      <c r="J17" s="121" t="s">
        <v>5979</v>
      </c>
      <c r="K17" s="121" t="s">
        <v>14952</v>
      </c>
      <c r="L17" s="207" t="s">
        <v>8379</v>
      </c>
      <c r="M17" s="190" t="s">
        <v>15091</v>
      </c>
      <c r="N17" s="188" t="s">
        <v>8282</v>
      </c>
      <c r="O17" s="191"/>
      <c r="P17" s="176" t="s">
        <v>15097</v>
      </c>
      <c r="Q17" s="388" t="s">
        <v>15098</v>
      </c>
      <c r="R17" s="160"/>
      <c r="S17" s="176" t="s">
        <v>15097</v>
      </c>
      <c r="T17" s="209" t="s">
        <v>2876</v>
      </c>
      <c r="U17" s="193">
        <v>41667</v>
      </c>
      <c r="V17" s="193">
        <v>41667</v>
      </c>
      <c r="W17" s="211">
        <f>IF(OR(U17="",V17="")," ",( V17-U17 + 1) - ((fWorkDay(U17,V17)-U17) - (V17-U17)))</f>
        <v>1</v>
      </c>
      <c r="X17" s="193">
        <v>41667</v>
      </c>
      <c r="Y17" s="193">
        <v>41667</v>
      </c>
      <c r="Z17" s="211">
        <f>IF(OR(X17="",Y17="")," ",( Y17-X17 + 1) - ((fWorkDay(X17,Y17)-X17) - (Y17-X17)))</f>
        <v>1</v>
      </c>
      <c r="AA17" s="267" t="s">
        <v>5546</v>
      </c>
      <c r="AB17" s="213"/>
    </row>
    <row r="18" spans="2:28" ht="36.75" thickBot="1">
      <c r="B18" s="188">
        <f t="shared" si="1"/>
        <v>182</v>
      </c>
      <c r="C18" s="131" t="s">
        <v>15095</v>
      </c>
      <c r="D18" s="120" t="s">
        <v>5977</v>
      </c>
      <c r="E18" s="121" t="s">
        <v>15024</v>
      </c>
      <c r="F18" s="121" t="s">
        <v>14986</v>
      </c>
      <c r="G18" s="121" t="s">
        <v>14977</v>
      </c>
      <c r="H18" s="121" t="s">
        <v>15049</v>
      </c>
      <c r="I18" s="121" t="s">
        <v>15036</v>
      </c>
      <c r="J18" s="121" t="s">
        <v>5979</v>
      </c>
      <c r="K18" s="121" t="s">
        <v>14952</v>
      </c>
      <c r="L18" s="207" t="s">
        <v>8379</v>
      </c>
      <c r="M18" s="113" t="s">
        <v>6016</v>
      </c>
      <c r="N18" s="113" t="s">
        <v>6016</v>
      </c>
      <c r="O18" s="191" t="s">
        <v>6026</v>
      </c>
      <c r="P18" s="176" t="s">
        <v>8062</v>
      </c>
      <c r="Q18" s="388" t="s">
        <v>15096</v>
      </c>
      <c r="R18" s="160"/>
      <c r="S18" s="277" t="s">
        <v>8587</v>
      </c>
      <c r="T18" s="209" t="s">
        <v>2876</v>
      </c>
      <c r="U18" s="193">
        <v>41667</v>
      </c>
      <c r="V18" s="193">
        <v>41667</v>
      </c>
      <c r="W18" s="211">
        <f>IF(OR(U18="",V18="")," ",( V18-U18 + 1) - ((fWorkDay(U18,V18)-U18) - (V18-U18)))</f>
        <v>1</v>
      </c>
      <c r="X18" s="193">
        <v>41667</v>
      </c>
      <c r="Y18" s="193">
        <v>41667</v>
      </c>
      <c r="Z18" s="211">
        <f>IF(OR(X18="",Y18="")," ",( Y18-X18 + 1) - ((fWorkDay(X18,Y18)-X18) - (Y18-X18)))</f>
        <v>1</v>
      </c>
      <c r="AA18" s="267" t="s">
        <v>5546</v>
      </c>
      <c r="AB18" s="213"/>
    </row>
    <row r="19" spans="2:28" ht="27.75" thickBot="1">
      <c r="B19" s="188">
        <f t="shared" si="1"/>
        <v>181</v>
      </c>
      <c r="C19" s="131" t="s">
        <v>8535</v>
      </c>
      <c r="D19" s="120" t="s">
        <v>5977</v>
      </c>
      <c r="E19" s="121" t="s">
        <v>15024</v>
      </c>
      <c r="F19" s="121" t="s">
        <v>14986</v>
      </c>
      <c r="G19" s="121" t="s">
        <v>14977</v>
      </c>
      <c r="H19" s="121" t="s">
        <v>15049</v>
      </c>
      <c r="I19" s="121" t="s">
        <v>15036</v>
      </c>
      <c r="J19" s="121" t="s">
        <v>5979</v>
      </c>
      <c r="K19" s="121" t="s">
        <v>14952</v>
      </c>
      <c r="L19" s="207" t="s">
        <v>8379</v>
      </c>
      <c r="M19" s="190" t="s">
        <v>15092</v>
      </c>
      <c r="N19" s="190" t="s">
        <v>15092</v>
      </c>
      <c r="O19" s="208" t="s">
        <v>8588</v>
      </c>
      <c r="P19" s="179" t="s">
        <v>8593</v>
      </c>
      <c r="Q19" s="145" t="s">
        <v>15093</v>
      </c>
      <c r="R19" s="160"/>
      <c r="S19" s="277" t="s">
        <v>8587</v>
      </c>
      <c r="T19" s="209" t="s">
        <v>2876</v>
      </c>
      <c r="U19" s="193">
        <v>41667</v>
      </c>
      <c r="V19" s="193">
        <v>41667</v>
      </c>
      <c r="W19" s="211">
        <f>IF(OR(U19="",V19="")," ",( V19-U19 + 1) - ((fWorkDay(U19,V19)-U19) - (V19-U19)))</f>
        <v>1</v>
      </c>
      <c r="X19" s="193">
        <v>41667</v>
      </c>
      <c r="Y19" s="193">
        <v>41667</v>
      </c>
      <c r="Z19" s="211">
        <f>IF(OR(X19="",Y19="")," ",( Y19-X19 + 1) - ((fWorkDay(X19,Y19)-X19) - (Y19-X19)))</f>
        <v>1</v>
      </c>
      <c r="AA19" s="267" t="s">
        <v>5546</v>
      </c>
      <c r="AB19" s="213"/>
    </row>
    <row r="20" spans="2:28" s="269" customFormat="1" ht="40.5">
      <c r="B20" s="188">
        <f t="shared" ref="B20:B21" si="2">B21+1</f>
        <v>180</v>
      </c>
      <c r="C20" s="96" t="s">
        <v>5907</v>
      </c>
      <c r="D20" s="24" t="s">
        <v>5977</v>
      </c>
      <c r="E20" s="257" t="s">
        <v>14978</v>
      </c>
      <c r="F20" s="257" t="s">
        <v>14978</v>
      </c>
      <c r="G20" s="257" t="s">
        <v>14978</v>
      </c>
      <c r="H20" s="257" t="s">
        <v>14981</v>
      </c>
      <c r="I20" s="257" t="s">
        <v>14981</v>
      </c>
      <c r="J20" s="257" t="s">
        <v>5979</v>
      </c>
      <c r="K20" s="257" t="s">
        <v>14951</v>
      </c>
      <c r="L20" s="267" t="s">
        <v>8379</v>
      </c>
      <c r="M20" s="190" t="s">
        <v>15091</v>
      </c>
      <c r="N20" s="188" t="s">
        <v>8282</v>
      </c>
      <c r="O20" s="191"/>
      <c r="P20" s="313" t="s">
        <v>15090</v>
      </c>
      <c r="Q20" s="263" t="s">
        <v>15094</v>
      </c>
      <c r="R20" s="314" t="s">
        <v>15088</v>
      </c>
      <c r="S20" s="256" t="s">
        <v>9873</v>
      </c>
      <c r="T20" s="315" t="s">
        <v>4936</v>
      </c>
      <c r="U20" s="193">
        <v>41667</v>
      </c>
      <c r="V20" s="193">
        <v>41667</v>
      </c>
      <c r="W20" s="194">
        <f>IF(OR(U20="",V20="")," ",( V20-U20 + 1) - ((fWorkDay(U20,V20)-U20) - (V20-U20)))</f>
        <v>1</v>
      </c>
      <c r="X20" s="193">
        <v>41667</v>
      </c>
      <c r="Y20" s="193">
        <v>41667</v>
      </c>
      <c r="Z20" s="194">
        <f>IF(OR(X20="",Y20="")," ",( Y20-X20 + 1) - ((fWorkDay(X20,Y20)-X20) - (Y20-X20)))</f>
        <v>1</v>
      </c>
      <c r="AA20" s="267" t="s">
        <v>5546</v>
      </c>
      <c r="AB20" s="321"/>
    </row>
    <row r="21" spans="2:28" s="269" customFormat="1">
      <c r="B21" s="188">
        <f t="shared" si="2"/>
        <v>179</v>
      </c>
      <c r="C21" s="96" t="s">
        <v>5907</v>
      </c>
      <c r="D21" s="24" t="s">
        <v>5977</v>
      </c>
      <c r="E21" s="257" t="s">
        <v>14978</v>
      </c>
      <c r="F21" s="257" t="s">
        <v>14978</v>
      </c>
      <c r="G21" s="257" t="s">
        <v>14978</v>
      </c>
      <c r="H21" s="257" t="s">
        <v>14981</v>
      </c>
      <c r="I21" s="257" t="s">
        <v>14981</v>
      </c>
      <c r="J21" s="257" t="s">
        <v>5979</v>
      </c>
      <c r="K21" s="257" t="s">
        <v>14951</v>
      </c>
      <c r="L21" s="267" t="s">
        <v>8379</v>
      </c>
      <c r="M21" s="190" t="s">
        <v>5942</v>
      </c>
      <c r="N21" s="188" t="s">
        <v>8282</v>
      </c>
      <c r="O21" s="191"/>
      <c r="P21" s="313"/>
      <c r="Q21" s="263" t="s">
        <v>15089</v>
      </c>
      <c r="R21" s="314" t="s">
        <v>15088</v>
      </c>
      <c r="S21" s="256" t="s">
        <v>9873</v>
      </c>
      <c r="T21" s="315" t="s">
        <v>4936</v>
      </c>
      <c r="U21" s="193">
        <v>41667</v>
      </c>
      <c r="V21" s="193">
        <v>41667</v>
      </c>
      <c r="W21" s="194">
        <f>IF(OR(U21="",V21="")," ",( V21-U21 + 1) - ((fWorkDay(U21,V21)-U21) - (V21-U21)))</f>
        <v>1</v>
      </c>
      <c r="X21" s="193">
        <v>41667</v>
      </c>
      <c r="Y21" s="193">
        <v>41667</v>
      </c>
      <c r="Z21" s="194">
        <f>IF(OR(X21="",Y21="")," ",( Y21-X21 + 1) - ((fWorkDay(X21,Y21)-X21) - (Y21-X21)))</f>
        <v>1</v>
      </c>
      <c r="AA21" s="267" t="s">
        <v>5546</v>
      </c>
      <c r="AB21" s="321"/>
    </row>
    <row r="22" spans="2:28">
      <c r="B22" s="188">
        <f t="shared" ref="B22:B86" si="3">B23+1</f>
        <v>178</v>
      </c>
      <c r="C22" s="96" t="s">
        <v>8380</v>
      </c>
      <c r="D22" s="24" t="s">
        <v>5977</v>
      </c>
      <c r="E22" s="87" t="s">
        <v>8271</v>
      </c>
      <c r="F22" s="87" t="s">
        <v>8271</v>
      </c>
      <c r="G22" s="87" t="s">
        <v>14951</v>
      </c>
      <c r="H22" s="87" t="s">
        <v>8271</v>
      </c>
      <c r="I22" s="87" t="s">
        <v>8271</v>
      </c>
      <c r="J22" s="87" t="s">
        <v>5979</v>
      </c>
      <c r="K22" s="87" t="s">
        <v>14951</v>
      </c>
      <c r="L22" s="267" t="s">
        <v>15085</v>
      </c>
      <c r="M22" s="190" t="s">
        <v>15085</v>
      </c>
      <c r="N22" s="188" t="s">
        <v>15085</v>
      </c>
      <c r="O22" s="387" t="s">
        <v>15086</v>
      </c>
      <c r="P22" s="176" t="s">
        <v>15085</v>
      </c>
      <c r="Q22" s="142" t="s">
        <v>15087</v>
      </c>
      <c r="R22" s="158" t="s">
        <v>15085</v>
      </c>
      <c r="S22" s="280" t="s">
        <v>15085</v>
      </c>
      <c r="T22" s="225" t="s">
        <v>4936</v>
      </c>
      <c r="U22" s="193">
        <v>41659</v>
      </c>
      <c r="V22" s="193">
        <v>41667</v>
      </c>
      <c r="W22" s="194">
        <f>IF(OR(U22="",V22="")," ",( V22-U22 + 1) - ((fWorkDay(U22,V22)-U22) - (V22-U22)))</f>
        <v>7</v>
      </c>
      <c r="X22" s="193">
        <v>41659</v>
      </c>
      <c r="Y22" s="193">
        <v>41667</v>
      </c>
      <c r="Z22" s="194">
        <f>IF(OR(X22="",Y22="")," ",( Y22-X22 + 1) - ((fWorkDay(X22,Y22)-X22) - (Y22-X22)))</f>
        <v>7</v>
      </c>
      <c r="AA22" s="188" t="s">
        <v>5546</v>
      </c>
      <c r="AB22" s="226"/>
    </row>
    <row r="23" spans="2:28" ht="54">
      <c r="B23" s="188">
        <f t="shared" si="3"/>
        <v>177</v>
      </c>
      <c r="C23" s="96" t="s">
        <v>8380</v>
      </c>
      <c r="D23" s="24" t="s">
        <v>5977</v>
      </c>
      <c r="E23" s="87" t="s">
        <v>8271</v>
      </c>
      <c r="F23" s="87" t="s">
        <v>8271</v>
      </c>
      <c r="G23" s="87" t="s">
        <v>14951</v>
      </c>
      <c r="H23" s="87" t="s">
        <v>8271</v>
      </c>
      <c r="I23" s="87" t="s">
        <v>8271</v>
      </c>
      <c r="J23" s="87" t="s">
        <v>5979</v>
      </c>
      <c r="K23" s="87" t="s">
        <v>14951</v>
      </c>
      <c r="L23" s="267" t="s">
        <v>8379</v>
      </c>
      <c r="M23" s="190" t="s">
        <v>5942</v>
      </c>
      <c r="N23" s="188" t="s">
        <v>8282</v>
      </c>
      <c r="O23" s="191" t="s">
        <v>8547</v>
      </c>
      <c r="P23" s="176" t="s">
        <v>8548</v>
      </c>
      <c r="Q23" s="142" t="s">
        <v>15082</v>
      </c>
      <c r="R23" s="158" t="s">
        <v>15080</v>
      </c>
      <c r="S23" s="280" t="s">
        <v>15064</v>
      </c>
      <c r="T23" s="225" t="s">
        <v>4936</v>
      </c>
      <c r="U23" s="193">
        <v>41659</v>
      </c>
      <c r="V23" s="193">
        <v>41659</v>
      </c>
      <c r="W23" s="194">
        <f>IF(OR(U23="",V23="")," ",( V23-U23 + 1) - ((fWorkDay(U23,V23)-U23) - (V23-U23)))</f>
        <v>1</v>
      </c>
      <c r="X23" s="193">
        <v>41659</v>
      </c>
      <c r="Y23" s="193">
        <v>41659</v>
      </c>
      <c r="Z23" s="194">
        <f>IF(OR(X23="",Y23="")," ",( Y23-X23 + 1) - ((fWorkDay(X23,Y23)-X23) - (Y23-X23)))</f>
        <v>1</v>
      </c>
      <c r="AA23" s="188" t="s">
        <v>5546</v>
      </c>
      <c r="AB23" s="226"/>
    </row>
    <row r="24" spans="2:28" ht="33">
      <c r="B24" s="188">
        <f t="shared" si="3"/>
        <v>176</v>
      </c>
      <c r="C24" s="96" t="s">
        <v>8380</v>
      </c>
      <c r="D24" s="24" t="s">
        <v>5977</v>
      </c>
      <c r="E24" s="87" t="s">
        <v>8271</v>
      </c>
      <c r="F24" s="87" t="s">
        <v>8271</v>
      </c>
      <c r="G24" s="87" t="s">
        <v>14951</v>
      </c>
      <c r="H24" s="87" t="s">
        <v>8271</v>
      </c>
      <c r="I24" s="87" t="s">
        <v>8271</v>
      </c>
      <c r="J24" s="87" t="s">
        <v>5979</v>
      </c>
      <c r="K24" s="87" t="s">
        <v>14951</v>
      </c>
      <c r="L24" s="267" t="s">
        <v>8379</v>
      </c>
      <c r="M24" s="190" t="s">
        <v>5942</v>
      </c>
      <c r="N24" s="188" t="s">
        <v>8282</v>
      </c>
      <c r="O24" s="191" t="s">
        <v>8547</v>
      </c>
      <c r="P24" s="176" t="s">
        <v>8548</v>
      </c>
      <c r="Q24" s="142" t="s">
        <v>15081</v>
      </c>
      <c r="R24" s="158" t="s">
        <v>15080</v>
      </c>
      <c r="S24" s="280" t="s">
        <v>15064</v>
      </c>
      <c r="T24" s="225" t="s">
        <v>4936</v>
      </c>
      <c r="U24" s="193">
        <v>41659</v>
      </c>
      <c r="V24" s="193">
        <v>41659</v>
      </c>
      <c r="W24" s="194">
        <f>IF(OR(U24="",V24="")," ",( V24-U24 + 1) - ((fWorkDay(U24,V24)-U24) - (V24-U24)))</f>
        <v>1</v>
      </c>
      <c r="X24" s="193">
        <v>41659</v>
      </c>
      <c r="Y24" s="193">
        <v>41659</v>
      </c>
      <c r="Z24" s="194">
        <f>IF(OR(X24="",Y24="")," ",( Y24-X24 + 1) - ((fWorkDay(X24,Y24)-X24) - (Y24-X24)))</f>
        <v>1</v>
      </c>
      <c r="AA24" s="188" t="s">
        <v>5546</v>
      </c>
      <c r="AB24" s="226"/>
    </row>
    <row r="25" spans="2:28" ht="40.5">
      <c r="B25" s="188">
        <f t="shared" si="3"/>
        <v>175</v>
      </c>
      <c r="C25" s="96" t="s">
        <v>8380</v>
      </c>
      <c r="D25" s="24" t="s">
        <v>5977</v>
      </c>
      <c r="E25" s="87" t="s">
        <v>8271</v>
      </c>
      <c r="F25" s="87" t="s">
        <v>8271</v>
      </c>
      <c r="G25" s="87" t="s">
        <v>14951</v>
      </c>
      <c r="H25" s="87" t="s">
        <v>8271</v>
      </c>
      <c r="I25" s="87" t="s">
        <v>8271</v>
      </c>
      <c r="J25" s="87" t="s">
        <v>5979</v>
      </c>
      <c r="K25" s="87" t="s">
        <v>14951</v>
      </c>
      <c r="L25" s="267" t="s">
        <v>8379</v>
      </c>
      <c r="M25" s="190" t="s">
        <v>5942</v>
      </c>
      <c r="N25" s="188" t="s">
        <v>8282</v>
      </c>
      <c r="O25" s="191" t="s">
        <v>8547</v>
      </c>
      <c r="P25" s="176" t="s">
        <v>8548</v>
      </c>
      <c r="Q25" s="142" t="s">
        <v>15079</v>
      </c>
      <c r="R25" s="158" t="s">
        <v>15080</v>
      </c>
      <c r="S25" s="280" t="s">
        <v>15064</v>
      </c>
      <c r="T25" s="225" t="s">
        <v>4936</v>
      </c>
      <c r="U25" s="193">
        <v>41659</v>
      </c>
      <c r="V25" s="193">
        <v>41659</v>
      </c>
      <c r="W25" s="194">
        <f>IF(OR(U25="",V25="")," ",( V25-U25 + 1) - ((fWorkDay(U25,V25)-U25) - (V25-U25)))</f>
        <v>1</v>
      </c>
      <c r="X25" s="193">
        <v>41659</v>
      </c>
      <c r="Y25" s="193">
        <v>41659</v>
      </c>
      <c r="Z25" s="194">
        <f>IF(OR(X25="",Y25="")," ",( Y25-X25 + 1) - ((fWorkDay(X25,Y25)-X25) - (Y25-X25)))</f>
        <v>1</v>
      </c>
      <c r="AA25" s="188" t="s">
        <v>5546</v>
      </c>
      <c r="AB25" s="226"/>
    </row>
    <row r="26" spans="2:28" ht="33">
      <c r="B26" s="188">
        <f t="shared" si="3"/>
        <v>174</v>
      </c>
      <c r="C26" s="96" t="s">
        <v>8380</v>
      </c>
      <c r="D26" s="24" t="s">
        <v>5977</v>
      </c>
      <c r="E26" s="87" t="s">
        <v>8271</v>
      </c>
      <c r="F26" s="87" t="s">
        <v>8271</v>
      </c>
      <c r="G26" s="87" t="s">
        <v>14951</v>
      </c>
      <c r="H26" s="87" t="s">
        <v>8271</v>
      </c>
      <c r="I26" s="87" t="s">
        <v>8271</v>
      </c>
      <c r="J26" s="87" t="s">
        <v>5979</v>
      </c>
      <c r="K26" s="87" t="s">
        <v>14951</v>
      </c>
      <c r="L26" s="267" t="s">
        <v>8379</v>
      </c>
      <c r="M26" s="190" t="s">
        <v>5942</v>
      </c>
      <c r="N26" s="188" t="s">
        <v>8282</v>
      </c>
      <c r="O26" s="191" t="s">
        <v>8547</v>
      </c>
      <c r="P26" s="176" t="s">
        <v>8548</v>
      </c>
      <c r="Q26" s="142" t="s">
        <v>15065</v>
      </c>
      <c r="R26" s="158" t="s">
        <v>15071</v>
      </c>
      <c r="S26" s="280" t="s">
        <v>15064</v>
      </c>
      <c r="T26" s="225" t="s">
        <v>4936</v>
      </c>
      <c r="U26" s="193">
        <v>41649</v>
      </c>
      <c r="V26" s="193">
        <v>41649</v>
      </c>
      <c r="W26" s="194">
        <f>IF(OR(U26="",V26="")," ",( V26-U26 + 1) - ((fWorkDay(U26,V26)-U26) - (V26-U26)))</f>
        <v>1</v>
      </c>
      <c r="X26" s="193">
        <v>41654</v>
      </c>
      <c r="Y26" s="193">
        <v>41654</v>
      </c>
      <c r="Z26" s="194">
        <f>IF(OR(X26="",Y26="")," ",( Y26-X26 + 1) - ((fWorkDay(X26,Y26)-X26) - (Y26-X26)))</f>
        <v>1</v>
      </c>
      <c r="AA26" s="188" t="s">
        <v>5546</v>
      </c>
      <c r="AB26" s="226"/>
    </row>
    <row r="27" spans="2:28" s="344" customFormat="1">
      <c r="B27" s="188">
        <f t="shared" si="3"/>
        <v>173</v>
      </c>
      <c r="C27" s="385" t="s">
        <v>15018</v>
      </c>
      <c r="D27" s="24" t="s">
        <v>5977</v>
      </c>
      <c r="E27" s="257" t="s">
        <v>15023</v>
      </c>
      <c r="F27" s="257" t="s">
        <v>14986</v>
      </c>
      <c r="G27" s="257" t="s">
        <v>14980</v>
      </c>
      <c r="H27" s="257" t="s">
        <v>15041</v>
      </c>
      <c r="I27" s="257" t="s">
        <v>15053</v>
      </c>
      <c r="J27" s="257" t="s">
        <v>5979</v>
      </c>
      <c r="K27" s="257" t="s">
        <v>5979</v>
      </c>
      <c r="L27" s="267" t="s">
        <v>8379</v>
      </c>
      <c r="M27" s="190" t="s">
        <v>5942</v>
      </c>
      <c r="N27" s="188" t="s">
        <v>8282</v>
      </c>
      <c r="O27" s="191" t="s">
        <v>14989</v>
      </c>
      <c r="P27" s="176" t="s">
        <v>14990</v>
      </c>
      <c r="Q27" s="141" t="s">
        <v>15057</v>
      </c>
      <c r="R27" s="272"/>
      <c r="S27" s="256" t="s">
        <v>14969</v>
      </c>
      <c r="T27" s="265" t="s">
        <v>4936</v>
      </c>
      <c r="U27" s="193">
        <v>41649</v>
      </c>
      <c r="V27" s="193">
        <v>41649</v>
      </c>
      <c r="W27" s="194">
        <f>IF(OR(U27="",V27="")," ",( V27-U27 + 1) - ((fWorkDay(U27,V27)-U27) - (V27-U27)))</f>
        <v>1</v>
      </c>
      <c r="X27" s="193">
        <v>41649</v>
      </c>
      <c r="Y27" s="193">
        <v>41649</v>
      </c>
      <c r="Z27" s="194">
        <f>IF(OR(X27="",Y27="")," ",( Y27-X27 + 1) - ((fWorkDay(X27,Y27)-X27) - (Y27-X27)))</f>
        <v>1</v>
      </c>
      <c r="AA27" s="222" t="s">
        <v>5546</v>
      </c>
      <c r="AB27" s="268"/>
    </row>
    <row r="28" spans="2:28" s="344" customFormat="1">
      <c r="B28" s="188">
        <f t="shared" si="3"/>
        <v>172</v>
      </c>
      <c r="C28" s="385" t="s">
        <v>15018</v>
      </c>
      <c r="D28" s="24" t="s">
        <v>5977</v>
      </c>
      <c r="E28" s="257" t="s">
        <v>15023</v>
      </c>
      <c r="F28" s="257" t="s">
        <v>14986</v>
      </c>
      <c r="G28" s="257" t="s">
        <v>14980</v>
      </c>
      <c r="H28" s="257" t="s">
        <v>15041</v>
      </c>
      <c r="I28" s="257" t="s">
        <v>15053</v>
      </c>
      <c r="J28" s="257" t="s">
        <v>5979</v>
      </c>
      <c r="K28" s="257" t="s">
        <v>5979</v>
      </c>
      <c r="L28" s="267" t="s">
        <v>15058</v>
      </c>
      <c r="M28" s="190"/>
      <c r="N28" s="188"/>
      <c r="O28" s="191"/>
      <c r="P28" s="176" t="s">
        <v>15059</v>
      </c>
      <c r="Q28" s="272"/>
      <c r="R28" s="272"/>
      <c r="S28" s="256" t="s">
        <v>14969</v>
      </c>
      <c r="T28" s="265" t="s">
        <v>4936</v>
      </c>
      <c r="U28" s="193">
        <v>41645</v>
      </c>
      <c r="V28" s="193">
        <v>41649</v>
      </c>
      <c r="W28" s="194">
        <f>IF(OR(U28="",V28="")," ",( V28-U28 + 1) - ((fWorkDay(U28,V28)-U28) - (V28-U28)))</f>
        <v>5</v>
      </c>
      <c r="X28" s="193">
        <v>41645</v>
      </c>
      <c r="Y28" s="193">
        <v>41649</v>
      </c>
      <c r="Z28" s="194">
        <f>IF(OR(X28="",Y28="")," ",( Y28-X28 + 1) - ((fWorkDay(X28,Y28)-X28) - (Y28-X28)))</f>
        <v>5</v>
      </c>
      <c r="AA28" s="222" t="s">
        <v>5546</v>
      </c>
      <c r="AB28" s="268"/>
    </row>
    <row r="29" spans="2:28" s="344" customFormat="1">
      <c r="B29" s="188">
        <f t="shared" si="3"/>
        <v>171</v>
      </c>
      <c r="C29" s="385" t="s">
        <v>15018</v>
      </c>
      <c r="D29" s="24" t="s">
        <v>5977</v>
      </c>
      <c r="E29" s="257" t="s">
        <v>15023</v>
      </c>
      <c r="F29" s="257" t="s">
        <v>14986</v>
      </c>
      <c r="G29" s="257" t="s">
        <v>14980</v>
      </c>
      <c r="H29" s="257" t="s">
        <v>15041</v>
      </c>
      <c r="I29" s="257" t="s">
        <v>15053</v>
      </c>
      <c r="J29" s="257" t="s">
        <v>5979</v>
      </c>
      <c r="K29" s="257" t="s">
        <v>5979</v>
      </c>
      <c r="L29" s="267" t="s">
        <v>15058</v>
      </c>
      <c r="M29" s="190"/>
      <c r="N29" s="188"/>
      <c r="O29" s="191"/>
      <c r="P29" s="176" t="s">
        <v>15060</v>
      </c>
      <c r="Q29" s="272"/>
      <c r="R29" s="272"/>
      <c r="S29" s="256" t="s">
        <v>14969</v>
      </c>
      <c r="T29" s="265" t="s">
        <v>4936</v>
      </c>
      <c r="U29" s="193">
        <v>41645</v>
      </c>
      <c r="V29" s="193">
        <v>41649</v>
      </c>
      <c r="W29" s="194">
        <f>IF(OR(U29="",V29="")," ",( V29-U29 + 1) - ((fWorkDay(U29,V29)-U29) - (V29-U29)))</f>
        <v>5</v>
      </c>
      <c r="X29" s="193">
        <v>41645</v>
      </c>
      <c r="Y29" s="193">
        <v>41649</v>
      </c>
      <c r="Z29" s="194">
        <f>IF(OR(X29="",Y29="")," ",( Y29-X29 + 1) - ((fWorkDay(X29,Y29)-X29) - (Y29-X29)))</f>
        <v>5</v>
      </c>
      <c r="AA29" s="222" t="s">
        <v>5546</v>
      </c>
      <c r="AB29" s="268"/>
    </row>
    <row r="30" spans="2:28" s="344" customFormat="1">
      <c r="B30" s="188">
        <f t="shared" si="3"/>
        <v>170</v>
      </c>
      <c r="C30" s="385" t="s">
        <v>15018</v>
      </c>
      <c r="D30" s="24" t="s">
        <v>5977</v>
      </c>
      <c r="E30" s="257" t="s">
        <v>15023</v>
      </c>
      <c r="F30" s="257" t="s">
        <v>14986</v>
      </c>
      <c r="G30" s="257" t="s">
        <v>14980</v>
      </c>
      <c r="H30" s="257" t="s">
        <v>15041</v>
      </c>
      <c r="I30" s="257" t="s">
        <v>15053</v>
      </c>
      <c r="J30" s="257" t="s">
        <v>5979</v>
      </c>
      <c r="K30" s="257" t="s">
        <v>5979</v>
      </c>
      <c r="L30" s="267" t="s">
        <v>15058</v>
      </c>
      <c r="M30" s="190"/>
      <c r="N30" s="188"/>
      <c r="O30" s="191"/>
      <c r="P30" s="176" t="s">
        <v>15061</v>
      </c>
      <c r="Q30" s="272"/>
      <c r="R30" s="272"/>
      <c r="S30" s="256" t="s">
        <v>14969</v>
      </c>
      <c r="T30" s="265" t="s">
        <v>4936</v>
      </c>
      <c r="U30" s="193">
        <v>41645</v>
      </c>
      <c r="V30" s="193">
        <v>41649</v>
      </c>
      <c r="W30" s="194">
        <f>IF(OR(U30="",V30="")," ",( V30-U30 + 1) - ((fWorkDay(U30,V30)-U30) - (V30-U30)))</f>
        <v>5</v>
      </c>
      <c r="X30" s="193">
        <v>41645</v>
      </c>
      <c r="Y30" s="193">
        <v>41649</v>
      </c>
      <c r="Z30" s="194">
        <f>IF(OR(X30="",Y30="")," ",( Y30-X30 + 1) - ((fWorkDay(X30,Y30)-X30) - (Y30-X30)))</f>
        <v>5</v>
      </c>
      <c r="AA30" s="222" t="s">
        <v>5546</v>
      </c>
      <c r="AB30" s="268"/>
    </row>
    <row r="31" spans="2:28" s="344" customFormat="1">
      <c r="B31" s="188">
        <f t="shared" si="3"/>
        <v>169</v>
      </c>
      <c r="C31" s="385" t="s">
        <v>15018</v>
      </c>
      <c r="D31" s="24" t="s">
        <v>5977</v>
      </c>
      <c r="E31" s="257" t="s">
        <v>15023</v>
      </c>
      <c r="F31" s="257" t="s">
        <v>14986</v>
      </c>
      <c r="G31" s="257" t="s">
        <v>14980</v>
      </c>
      <c r="H31" s="257" t="s">
        <v>15041</v>
      </c>
      <c r="I31" s="257" t="s">
        <v>15053</v>
      </c>
      <c r="J31" s="257" t="s">
        <v>5979</v>
      </c>
      <c r="K31" s="257" t="s">
        <v>5979</v>
      </c>
      <c r="L31" s="267" t="s">
        <v>15058</v>
      </c>
      <c r="M31" s="190"/>
      <c r="N31" s="188"/>
      <c r="O31" s="191"/>
      <c r="P31" s="176" t="s">
        <v>15062</v>
      </c>
      <c r="Q31" s="272"/>
      <c r="R31" s="272"/>
      <c r="S31" s="256" t="s">
        <v>14969</v>
      </c>
      <c r="T31" s="265" t="s">
        <v>4936</v>
      </c>
      <c r="U31" s="193">
        <v>41645</v>
      </c>
      <c r="V31" s="193">
        <v>41649</v>
      </c>
      <c r="W31" s="194">
        <f>IF(OR(U31="",V31="")," ",( V31-U31 + 1) - ((fWorkDay(U31,V31)-U31) - (V31-U31)))</f>
        <v>5</v>
      </c>
      <c r="X31" s="193">
        <v>41645</v>
      </c>
      <c r="Y31" s="193">
        <v>41649</v>
      </c>
      <c r="Z31" s="194">
        <f>IF(OR(X31="",Y31="")," ",( Y31-X31 + 1) - ((fWorkDay(X31,Y31)-X31) - (Y31-X31)))</f>
        <v>5</v>
      </c>
      <c r="AA31" s="222" t="s">
        <v>5546</v>
      </c>
      <c r="AB31" s="268"/>
    </row>
    <row r="32" spans="2:28" ht="27">
      <c r="B32" s="188">
        <f t="shared" si="3"/>
        <v>168</v>
      </c>
      <c r="C32" s="96" t="s">
        <v>5907</v>
      </c>
      <c r="D32" s="24" t="s">
        <v>5977</v>
      </c>
      <c r="E32" s="189" t="s">
        <v>8595</v>
      </c>
      <c r="F32" s="189" t="s">
        <v>8595</v>
      </c>
      <c r="G32" s="189" t="s">
        <v>8595</v>
      </c>
      <c r="H32" s="189" t="s">
        <v>8595</v>
      </c>
      <c r="I32" s="189" t="s">
        <v>8595</v>
      </c>
      <c r="J32" s="189" t="s">
        <v>8595</v>
      </c>
      <c r="K32" s="189" t="s">
        <v>8595</v>
      </c>
      <c r="L32" s="190" t="s">
        <v>5907</v>
      </c>
      <c r="M32" s="122" t="s">
        <v>5907</v>
      </c>
      <c r="N32" s="122" t="s">
        <v>5907</v>
      </c>
      <c r="O32" s="191"/>
      <c r="P32" s="176" t="s">
        <v>5907</v>
      </c>
      <c r="Q32" s="142" t="s">
        <v>15063</v>
      </c>
      <c r="R32" s="158"/>
      <c r="S32" s="158"/>
      <c r="T32" s="192" t="s">
        <v>2876</v>
      </c>
      <c r="U32" s="193">
        <v>41641</v>
      </c>
      <c r="V32" s="193">
        <v>41641</v>
      </c>
      <c r="W32" s="194">
        <f>IF(OR(U32="",V32="")," ",( V32-U32 + 1) - ((fWorkDay(U32,V32)-U32) - (V32-U32)))</f>
        <v>1</v>
      </c>
      <c r="X32" s="193">
        <v>41641</v>
      </c>
      <c r="Y32" s="193">
        <v>41641</v>
      </c>
      <c r="Z32" s="194">
        <f>IF(OR(X32="",Y32="")," ",( Y32-X32 + 1) - ((fWorkDay(X32,Y32)-X32) - (Y32-X32)))</f>
        <v>1</v>
      </c>
      <c r="AA32" s="188" t="s">
        <v>5546</v>
      </c>
      <c r="AB32" s="195"/>
    </row>
    <row r="33" spans="2:28" s="269" customFormat="1" ht="33">
      <c r="B33" s="188">
        <f t="shared" si="3"/>
        <v>167</v>
      </c>
      <c r="C33" s="96" t="s">
        <v>14941</v>
      </c>
      <c r="D33" s="24" t="s">
        <v>5977</v>
      </c>
      <c r="E33" s="257" t="s">
        <v>5979</v>
      </c>
      <c r="F33" s="257" t="s">
        <v>5979</v>
      </c>
      <c r="G33" s="257" t="s">
        <v>5979</v>
      </c>
      <c r="H33" s="257" t="s">
        <v>5979</v>
      </c>
      <c r="I33" s="257" t="s">
        <v>5979</v>
      </c>
      <c r="J33" s="257" t="s">
        <v>5979</v>
      </c>
      <c r="K33" s="257" t="s">
        <v>14951</v>
      </c>
      <c r="L33" s="267" t="s">
        <v>8379</v>
      </c>
      <c r="M33" s="190" t="s">
        <v>5942</v>
      </c>
      <c r="N33" s="188" t="s">
        <v>8282</v>
      </c>
      <c r="O33" s="271"/>
      <c r="P33" s="271"/>
      <c r="Q33" s="263" t="s">
        <v>14970</v>
      </c>
      <c r="R33" s="272"/>
      <c r="S33" s="280" t="s">
        <v>8552</v>
      </c>
      <c r="T33" s="265" t="s">
        <v>4936</v>
      </c>
      <c r="U33" s="266">
        <v>41638</v>
      </c>
      <c r="V33" s="266">
        <v>41638</v>
      </c>
      <c r="W33" s="194">
        <f>IF(OR(U33="",V33="")," ",( V33-U33 + 1) - ((fWorkDay(U33,V33)-U33) - (V33-U33)))</f>
        <v>1</v>
      </c>
      <c r="X33" s="266">
        <v>41638</v>
      </c>
      <c r="Y33" s="266">
        <v>41638</v>
      </c>
      <c r="Z33" s="194">
        <f>IF(OR(X33="",Y33="")," ",( Y33-X33 + 1) - ((fWorkDay(X33,Y33)-X33) - (Y33-X33)))</f>
        <v>1</v>
      </c>
      <c r="AA33" s="267" t="s">
        <v>5546</v>
      </c>
      <c r="AB33" s="268"/>
    </row>
    <row r="34" spans="2:28" s="344" customFormat="1">
      <c r="B34" s="188">
        <f t="shared" si="3"/>
        <v>166</v>
      </c>
      <c r="C34" s="385" t="s">
        <v>15018</v>
      </c>
      <c r="D34" s="24" t="s">
        <v>5977</v>
      </c>
      <c r="E34" s="257" t="s">
        <v>15023</v>
      </c>
      <c r="F34" s="257" t="s">
        <v>14986</v>
      </c>
      <c r="G34" s="257" t="s">
        <v>14980</v>
      </c>
      <c r="H34" s="257" t="s">
        <v>15041</v>
      </c>
      <c r="I34" s="257" t="s">
        <v>15053</v>
      </c>
      <c r="J34" s="257" t="s">
        <v>5979</v>
      </c>
      <c r="K34" s="257" t="s">
        <v>5979</v>
      </c>
      <c r="L34" s="267" t="s">
        <v>8379</v>
      </c>
      <c r="M34" s="190" t="s">
        <v>5942</v>
      </c>
      <c r="N34" s="188" t="s">
        <v>8282</v>
      </c>
      <c r="O34" s="191" t="s">
        <v>14989</v>
      </c>
      <c r="P34" s="176" t="s">
        <v>14990</v>
      </c>
      <c r="Q34" s="276"/>
      <c r="R34" s="272"/>
      <c r="S34" s="256" t="s">
        <v>14969</v>
      </c>
      <c r="T34" s="265" t="s">
        <v>4936</v>
      </c>
      <c r="U34" s="266">
        <v>41635</v>
      </c>
      <c r="V34" s="266"/>
      <c r="W34" s="194" t="str">
        <f>IF(OR(U34="",V34="")," ",( V34-U34 + 1) - ((fWorkDay(U34,V34)-U34) - (V34-U34)))</f>
        <v xml:space="preserve"> </v>
      </c>
      <c r="X34" s="266">
        <v>41635</v>
      </c>
      <c r="Y34" s="266"/>
      <c r="Z34" s="194" t="str">
        <f>IF(OR(X34="",Y34="")," ",( Y34-X34 + 1) - ((fWorkDay(X34,Y34)-X34) - (Y34-X34)))</f>
        <v xml:space="preserve"> </v>
      </c>
      <c r="AA34" s="222" t="s">
        <v>5546</v>
      </c>
      <c r="AB34" s="268"/>
    </row>
    <row r="35" spans="2:28">
      <c r="B35" s="188">
        <f t="shared" si="3"/>
        <v>165</v>
      </c>
      <c r="C35" s="385" t="s">
        <v>15018</v>
      </c>
      <c r="D35" s="24" t="s">
        <v>5977</v>
      </c>
      <c r="E35" s="87" t="s">
        <v>15024</v>
      </c>
      <c r="F35" s="87" t="s">
        <v>14984</v>
      </c>
      <c r="G35" s="87" t="s">
        <v>14977</v>
      </c>
      <c r="H35" s="87" t="s">
        <v>15049</v>
      </c>
      <c r="I35" s="87" t="s">
        <v>15053</v>
      </c>
      <c r="J35" s="87" t="s">
        <v>5979</v>
      </c>
      <c r="K35" s="87" t="s">
        <v>5979</v>
      </c>
      <c r="L35" s="188" t="s">
        <v>8379</v>
      </c>
      <c r="M35" s="378" t="s">
        <v>8532</v>
      </c>
      <c r="N35" s="378" t="s">
        <v>8532</v>
      </c>
      <c r="O35" s="191" t="s">
        <v>15019</v>
      </c>
      <c r="P35" s="176" t="s">
        <v>14968</v>
      </c>
      <c r="Q35" s="276"/>
      <c r="R35" s="158"/>
      <c r="S35" s="158"/>
      <c r="T35" s="225" t="s">
        <v>2876</v>
      </c>
      <c r="U35" s="266">
        <v>41635</v>
      </c>
      <c r="V35" s="266"/>
      <c r="W35" s="194" t="str">
        <f>IF(OR(U35="",V35="")," ",( V35-U35 + 1) - ((fWorkDay(U35,V35)-U35) - (V35-U35)))</f>
        <v xml:space="preserve"> </v>
      </c>
      <c r="X35" s="266">
        <v>41635</v>
      </c>
      <c r="Y35" s="266"/>
      <c r="Z35" s="194" t="str">
        <f>IF(OR(X35="",Y35="")," ",( Y35-X35 + 1) - ((fWorkDay(X35,Y35)-X35) - (Y35-X35)))</f>
        <v xml:space="preserve"> </v>
      </c>
      <c r="AA35" s="222" t="s">
        <v>5546</v>
      </c>
      <c r="AB35" s="191"/>
    </row>
    <row r="36" spans="2:28">
      <c r="B36" s="188">
        <f t="shared" si="3"/>
        <v>164</v>
      </c>
      <c r="C36" s="385" t="s">
        <v>15018</v>
      </c>
      <c r="D36" s="24" t="s">
        <v>5977</v>
      </c>
      <c r="E36" s="87" t="s">
        <v>15024</v>
      </c>
      <c r="F36" s="87" t="s">
        <v>14984</v>
      </c>
      <c r="G36" s="87" t="s">
        <v>14977</v>
      </c>
      <c r="H36" s="87" t="s">
        <v>15049</v>
      </c>
      <c r="I36" s="87" t="s">
        <v>15053</v>
      </c>
      <c r="J36" s="87" t="s">
        <v>5979</v>
      </c>
      <c r="K36" s="87" t="s">
        <v>5979</v>
      </c>
      <c r="L36" s="188" t="s">
        <v>8379</v>
      </c>
      <c r="M36" s="378" t="s">
        <v>8532</v>
      </c>
      <c r="N36" s="378" t="s">
        <v>8532</v>
      </c>
      <c r="O36" s="191" t="s">
        <v>14967</v>
      </c>
      <c r="P36" s="176" t="s">
        <v>14990</v>
      </c>
      <c r="Q36" s="276"/>
      <c r="R36" s="158"/>
      <c r="S36" s="158"/>
      <c r="T36" s="225" t="s">
        <v>2876</v>
      </c>
      <c r="U36" s="266">
        <v>41635</v>
      </c>
      <c r="V36" s="266"/>
      <c r="W36" s="194" t="str">
        <f>IF(OR(U36="",V36="")," ",( V36-U36 + 1) - ((fWorkDay(U36,V36)-U36) - (V36-U36)))</f>
        <v xml:space="preserve"> </v>
      </c>
      <c r="X36" s="266">
        <v>41635</v>
      </c>
      <c r="Y36" s="266"/>
      <c r="Z36" s="194" t="str">
        <f>IF(OR(X36="",Y36="")," ",( Y36-X36 + 1) - ((fWorkDay(X36,Y36)-X36) - (Y36-X36)))</f>
        <v xml:space="preserve"> </v>
      </c>
      <c r="AA36" s="222" t="s">
        <v>5546</v>
      </c>
      <c r="AB36" s="191"/>
    </row>
    <row r="37" spans="2:28">
      <c r="B37" s="188">
        <f t="shared" si="3"/>
        <v>163</v>
      </c>
      <c r="C37" s="385" t="s">
        <v>15020</v>
      </c>
      <c r="D37" s="24" t="s">
        <v>5977</v>
      </c>
      <c r="E37" s="87" t="s">
        <v>15024</v>
      </c>
      <c r="F37" s="87" t="s">
        <v>14985</v>
      </c>
      <c r="G37" s="87" t="s">
        <v>14987</v>
      </c>
      <c r="H37" s="87" t="s">
        <v>15049</v>
      </c>
      <c r="I37" s="87" t="s">
        <v>15036</v>
      </c>
      <c r="J37" s="87" t="s">
        <v>5979</v>
      </c>
      <c r="K37" s="87" t="s">
        <v>5979</v>
      </c>
      <c r="L37" s="188" t="s">
        <v>8379</v>
      </c>
      <c r="M37" s="378" t="s">
        <v>8532</v>
      </c>
      <c r="N37" s="378" t="s">
        <v>8532</v>
      </c>
      <c r="O37" s="191" t="s">
        <v>14957</v>
      </c>
      <c r="P37" s="176" t="s">
        <v>14963</v>
      </c>
      <c r="Q37" s="276" t="s">
        <v>14962</v>
      </c>
      <c r="R37" s="158"/>
      <c r="S37" s="158"/>
      <c r="T37" s="225" t="s">
        <v>2876</v>
      </c>
      <c r="U37" s="266">
        <v>41634</v>
      </c>
      <c r="V37" s="266">
        <v>41634</v>
      </c>
      <c r="W37" s="194">
        <f>IF(OR(U37="",V37="")," ",( V37-U37 + 1) - ((fWorkDay(U37,V37)-U37) - (V37-U37)))</f>
        <v>1</v>
      </c>
      <c r="X37" s="266">
        <v>41634</v>
      </c>
      <c r="Y37" s="266">
        <v>41634</v>
      </c>
      <c r="Z37" s="194">
        <f>IF(OR(X37="",Y37="")," ",( Y37-X37 + 1) - ((fWorkDay(X37,Y37)-X37) - (Y37-X37)))</f>
        <v>1</v>
      </c>
      <c r="AA37" s="222" t="s">
        <v>5546</v>
      </c>
      <c r="AB37" s="191"/>
    </row>
    <row r="38" spans="2:28">
      <c r="B38" s="188">
        <f t="shared" si="3"/>
        <v>162</v>
      </c>
      <c r="C38" s="96" t="s">
        <v>8529</v>
      </c>
      <c r="D38" s="24" t="s">
        <v>5977</v>
      </c>
      <c r="E38" s="87" t="s">
        <v>15023</v>
      </c>
      <c r="F38" s="87" t="s">
        <v>14986</v>
      </c>
      <c r="G38" s="87" t="s">
        <v>14978</v>
      </c>
      <c r="H38" s="87" t="s">
        <v>15046</v>
      </c>
      <c r="I38" s="87" t="s">
        <v>15053</v>
      </c>
      <c r="J38" s="87" t="s">
        <v>5979</v>
      </c>
      <c r="K38" s="87" t="s">
        <v>5979</v>
      </c>
      <c r="L38" s="188" t="s">
        <v>8379</v>
      </c>
      <c r="M38" s="378" t="s">
        <v>8532</v>
      </c>
      <c r="N38" s="378" t="s">
        <v>8532</v>
      </c>
      <c r="O38" s="191" t="s">
        <v>8592</v>
      </c>
      <c r="P38" s="176" t="s">
        <v>15021</v>
      </c>
      <c r="Q38" s="276" t="s">
        <v>14961</v>
      </c>
      <c r="R38" s="158"/>
      <c r="S38" s="158"/>
      <c r="T38" s="225" t="s">
        <v>2876</v>
      </c>
      <c r="U38" s="266">
        <v>41634</v>
      </c>
      <c r="V38" s="266">
        <v>41634</v>
      </c>
      <c r="W38" s="194">
        <f>IF(OR(U38="",V38="")," ",( V38-U38 + 1) - ((fWorkDay(U38,V38)-U38) - (V38-U38)))</f>
        <v>1</v>
      </c>
      <c r="X38" s="266">
        <v>41634</v>
      </c>
      <c r="Y38" s="266">
        <v>41634</v>
      </c>
      <c r="Z38" s="194">
        <f>IF(OR(X38="",Y38="")," ",( Y38-X38 + 1) - ((fWorkDay(X38,Y38)-X38) - (Y38-X38)))</f>
        <v>1</v>
      </c>
      <c r="AA38" s="188" t="s">
        <v>5546</v>
      </c>
      <c r="AB38" s="191"/>
    </row>
    <row r="39" spans="2:28">
      <c r="B39" s="188">
        <f t="shared" si="3"/>
        <v>161</v>
      </c>
      <c r="C39" s="96" t="s">
        <v>8535</v>
      </c>
      <c r="D39" s="24" t="s">
        <v>5977</v>
      </c>
      <c r="E39" s="87" t="s">
        <v>15025</v>
      </c>
      <c r="F39" s="87" t="s">
        <v>14983</v>
      </c>
      <c r="G39" s="87" t="s">
        <v>14979</v>
      </c>
      <c r="H39" s="87" t="s">
        <v>15049</v>
      </c>
      <c r="I39" s="87" t="s">
        <v>15053</v>
      </c>
      <c r="J39" s="87" t="s">
        <v>5979</v>
      </c>
      <c r="K39" s="87" t="s">
        <v>5979</v>
      </c>
      <c r="L39" s="188" t="s">
        <v>8379</v>
      </c>
      <c r="M39" s="378" t="s">
        <v>8532</v>
      </c>
      <c r="N39" s="378" t="s">
        <v>8532</v>
      </c>
      <c r="O39" s="191" t="s">
        <v>7631</v>
      </c>
      <c r="P39" s="176" t="s">
        <v>15022</v>
      </c>
      <c r="Q39" s="276" t="s">
        <v>14961</v>
      </c>
      <c r="R39" s="158"/>
      <c r="S39" s="379"/>
      <c r="T39" s="225" t="s">
        <v>2876</v>
      </c>
      <c r="U39" s="266">
        <v>41634</v>
      </c>
      <c r="V39" s="266">
        <v>41634</v>
      </c>
      <c r="W39" s="194">
        <f>IF(OR(U39="",V39="")," ",( V39-U39 + 1) - ((fWorkDay(U39,V39)-U39) - (V39-U39)))</f>
        <v>1</v>
      </c>
      <c r="X39" s="266">
        <v>41634</v>
      </c>
      <c r="Y39" s="266">
        <v>41634</v>
      </c>
      <c r="Z39" s="194">
        <f>IF(OR(X39="",Y39="")," ",( Y39-X39 + 1) - ((fWorkDay(X39,Y39)-X39) - (Y39-X39)))</f>
        <v>1</v>
      </c>
      <c r="AA39" s="188" t="s">
        <v>5546</v>
      </c>
      <c r="AB39" s="191"/>
    </row>
    <row r="40" spans="2:28" ht="42" customHeight="1">
      <c r="B40" s="188">
        <f t="shared" si="3"/>
        <v>160</v>
      </c>
      <c r="C40" s="96" t="s">
        <v>15020</v>
      </c>
      <c r="D40" s="116" t="s">
        <v>5977</v>
      </c>
      <c r="E40" s="117" t="s">
        <v>15023</v>
      </c>
      <c r="F40" s="117" t="s">
        <v>14986</v>
      </c>
      <c r="G40" s="117" t="s">
        <v>14987</v>
      </c>
      <c r="H40" s="117" t="s">
        <v>15041</v>
      </c>
      <c r="I40" s="117" t="s">
        <v>15053</v>
      </c>
      <c r="J40" s="117" t="s">
        <v>5979</v>
      </c>
      <c r="K40" s="117" t="s">
        <v>5979</v>
      </c>
      <c r="L40" s="222" t="s">
        <v>8379</v>
      </c>
      <c r="M40" s="375" t="s">
        <v>8532</v>
      </c>
      <c r="N40" s="375" t="s">
        <v>8532</v>
      </c>
      <c r="O40" s="218" t="s">
        <v>7627</v>
      </c>
      <c r="P40" s="180" t="s">
        <v>7628</v>
      </c>
      <c r="Q40" s="276" t="s">
        <v>14958</v>
      </c>
      <c r="R40" s="163"/>
      <c r="S40" s="163"/>
      <c r="T40" s="376" t="s">
        <v>2876</v>
      </c>
      <c r="U40" s="266">
        <v>41634</v>
      </c>
      <c r="V40" s="266">
        <v>41634</v>
      </c>
      <c r="W40" s="221">
        <f>IF(OR(U40="",V40="")," ",( V40-U40 + 1) - ((fWorkDay(U40,V40)-U40) - (V40-U40)))</f>
        <v>1</v>
      </c>
      <c r="X40" s="266">
        <v>41634</v>
      </c>
      <c r="Y40" s="266">
        <v>41634</v>
      </c>
      <c r="Z40" s="221">
        <f>IF(OR(X40="",Y40="")," ",( Y40-X40 + 1) - ((fWorkDay(X40,Y40)-X40) - (Y40-X40)))</f>
        <v>1</v>
      </c>
      <c r="AA40" s="222" t="s">
        <v>5546</v>
      </c>
      <c r="AB40" s="377"/>
    </row>
    <row r="41" spans="2:28" ht="30" customHeight="1">
      <c r="B41" s="188">
        <f t="shared" si="3"/>
        <v>159</v>
      </c>
      <c r="C41" s="101" t="s">
        <v>5907</v>
      </c>
      <c r="D41" s="24" t="s">
        <v>5977</v>
      </c>
      <c r="E41" s="87" t="s">
        <v>15024</v>
      </c>
      <c r="F41" s="87" t="s">
        <v>14984</v>
      </c>
      <c r="G41" s="87" t="s">
        <v>14978</v>
      </c>
      <c r="H41" s="87" t="s">
        <v>15049</v>
      </c>
      <c r="I41" s="87" t="s">
        <v>15053</v>
      </c>
      <c r="J41" s="87" t="s">
        <v>5979</v>
      </c>
      <c r="K41" s="87" t="s">
        <v>5979</v>
      </c>
      <c r="L41" s="190" t="s">
        <v>5909</v>
      </c>
      <c r="M41" s="190" t="s">
        <v>5942</v>
      </c>
      <c r="N41" s="188" t="s">
        <v>8282</v>
      </c>
      <c r="O41" s="191" t="s">
        <v>15006</v>
      </c>
      <c r="P41" s="176" t="s">
        <v>7300</v>
      </c>
      <c r="Q41" s="276" t="s">
        <v>14959</v>
      </c>
      <c r="R41" s="166"/>
      <c r="S41" s="256" t="s">
        <v>14956</v>
      </c>
      <c r="T41" s="192" t="s">
        <v>5991</v>
      </c>
      <c r="U41" s="266">
        <v>41634</v>
      </c>
      <c r="V41" s="266">
        <v>41634</v>
      </c>
      <c r="W41" s="194">
        <f>IF(OR(U41="",V41="")," ",( V41-U41 + 1) - ((fWorkDay(U41,V41)-U41) - (V41-U41)))</f>
        <v>1</v>
      </c>
      <c r="X41" s="266">
        <v>41634</v>
      </c>
      <c r="Y41" s="266">
        <v>41634</v>
      </c>
      <c r="Z41" s="194">
        <f>IF(OR(X41="",Y41="")," ",( Y41-X41 + 1) - ((fWorkDay(X41,Y41)-X41) - (Y41-X41)))</f>
        <v>1</v>
      </c>
      <c r="AA41" s="188" t="s">
        <v>5981</v>
      </c>
      <c r="AB41" s="195"/>
    </row>
    <row r="42" spans="2:28" ht="30" customHeight="1">
      <c r="B42" s="188">
        <f t="shared" si="3"/>
        <v>158</v>
      </c>
      <c r="C42" s="101" t="s">
        <v>5907</v>
      </c>
      <c r="D42" s="24" t="s">
        <v>5977</v>
      </c>
      <c r="E42" s="87" t="s">
        <v>15024</v>
      </c>
      <c r="F42" s="87" t="s">
        <v>14985</v>
      </c>
      <c r="G42" s="87" t="s">
        <v>14987</v>
      </c>
      <c r="H42" s="87" t="s">
        <v>15049</v>
      </c>
      <c r="I42" s="87" t="s">
        <v>15053</v>
      </c>
      <c r="J42" s="87" t="s">
        <v>5979</v>
      </c>
      <c r="K42" s="87" t="s">
        <v>5979</v>
      </c>
      <c r="L42" s="190" t="s">
        <v>5909</v>
      </c>
      <c r="M42" s="190" t="s">
        <v>5942</v>
      </c>
      <c r="N42" s="188" t="s">
        <v>8282</v>
      </c>
      <c r="O42" s="191" t="s">
        <v>15006</v>
      </c>
      <c r="P42" s="176" t="s">
        <v>7300</v>
      </c>
      <c r="Q42" s="276" t="s">
        <v>14959</v>
      </c>
      <c r="R42" s="166"/>
      <c r="S42" s="256" t="s">
        <v>14955</v>
      </c>
      <c r="T42" s="192" t="s">
        <v>5991</v>
      </c>
      <c r="U42" s="266">
        <v>41634</v>
      </c>
      <c r="V42" s="266">
        <v>41634</v>
      </c>
      <c r="W42" s="194">
        <f>IF(OR(U42="",V42="")," ",( V42-U42 + 1) - ((fWorkDay(U42,V42)-U42) - (V42-U42)))</f>
        <v>1</v>
      </c>
      <c r="X42" s="266">
        <v>41634</v>
      </c>
      <c r="Y42" s="266">
        <v>41634</v>
      </c>
      <c r="Z42" s="194">
        <f>IF(OR(X42="",Y42="")," ",( Y42-X42 + 1) - ((fWorkDay(X42,Y42)-X42) - (Y42-X42)))</f>
        <v>1</v>
      </c>
      <c r="AA42" s="188" t="s">
        <v>5981</v>
      </c>
      <c r="AB42" s="195"/>
    </row>
    <row r="43" spans="2:28" ht="30" customHeight="1">
      <c r="B43" s="188">
        <f t="shared" si="3"/>
        <v>157</v>
      </c>
      <c r="C43" s="101" t="s">
        <v>5907</v>
      </c>
      <c r="D43" s="24" t="str">
        <f ca="1">IF(AND(Y43&lt;&gt;"",TODAY()&gt;Y43),"Yes","No")</f>
        <v>Yes</v>
      </c>
      <c r="E43" s="87" t="s">
        <v>15024</v>
      </c>
      <c r="F43" s="87" t="s">
        <v>14986</v>
      </c>
      <c r="G43" s="87" t="s">
        <v>14978</v>
      </c>
      <c r="H43" s="87" t="s">
        <v>15049</v>
      </c>
      <c r="I43" s="87" t="s">
        <v>15036</v>
      </c>
      <c r="J43" s="87" t="s">
        <v>5979</v>
      </c>
      <c r="K43" s="87" t="s">
        <v>5979</v>
      </c>
      <c r="L43" s="190" t="s">
        <v>5909</v>
      </c>
      <c r="M43" s="228" t="s">
        <v>5909</v>
      </c>
      <c r="N43" s="188" t="s">
        <v>5972</v>
      </c>
      <c r="O43" s="191" t="s">
        <v>15006</v>
      </c>
      <c r="P43" s="176" t="s">
        <v>7300</v>
      </c>
      <c r="Q43" s="276" t="s">
        <v>14959</v>
      </c>
      <c r="R43" s="166"/>
      <c r="S43" s="166"/>
      <c r="T43" s="192" t="s">
        <v>5991</v>
      </c>
      <c r="U43" s="266">
        <v>41632</v>
      </c>
      <c r="V43" s="266">
        <v>41632</v>
      </c>
      <c r="W43" s="194">
        <f>IF(OR(U43="",V43="")," ",( V43-U43 + 1) - ((fWorkDay(U43,V43)-U43) - (V43-U43)))</f>
        <v>1</v>
      </c>
      <c r="X43" s="266">
        <v>41632</v>
      </c>
      <c r="Y43" s="266">
        <v>41632</v>
      </c>
      <c r="Z43" s="194">
        <f>IF(OR(X43="",Y43="")," ",( Y43-X43 + 1) - ((fWorkDay(X43,Y43)-X43) - (Y43-X43)))</f>
        <v>1</v>
      </c>
      <c r="AA43" s="188" t="s">
        <v>5981</v>
      </c>
      <c r="AB43" s="195"/>
    </row>
    <row r="44" spans="2:28" ht="27">
      <c r="B44" s="188">
        <f t="shared" si="3"/>
        <v>156</v>
      </c>
      <c r="C44" s="101" t="s">
        <v>5960</v>
      </c>
      <c r="D44" s="24" t="s">
        <v>5977</v>
      </c>
      <c r="E44" s="87" t="s">
        <v>15023</v>
      </c>
      <c r="F44" s="87" t="s">
        <v>14983</v>
      </c>
      <c r="G44" s="87" t="s">
        <v>14978</v>
      </c>
      <c r="H44" s="87" t="s">
        <v>15051</v>
      </c>
      <c r="I44" s="87" t="s">
        <v>15053</v>
      </c>
      <c r="J44" s="87" t="s">
        <v>5979</v>
      </c>
      <c r="K44" s="87" t="s">
        <v>14951</v>
      </c>
      <c r="L44" s="217" t="s">
        <v>5909</v>
      </c>
      <c r="M44" s="228" t="s">
        <v>5909</v>
      </c>
      <c r="N44" s="188" t="s">
        <v>15040</v>
      </c>
      <c r="O44" s="191" t="s">
        <v>15055</v>
      </c>
      <c r="P44" s="176" t="s">
        <v>15035</v>
      </c>
      <c r="Q44" s="276" t="s">
        <v>14960</v>
      </c>
      <c r="R44" s="166"/>
      <c r="S44" s="166"/>
      <c r="T44" s="219" t="s">
        <v>5988</v>
      </c>
      <c r="U44" s="266">
        <v>41632</v>
      </c>
      <c r="V44" s="266">
        <v>41632</v>
      </c>
      <c r="W44" s="194">
        <f>IF(OR(U44="",V44="")," ",( V44-U44 + 1) - ((fWorkDay(U44,V44)-U44) - (V44-U44)))</f>
        <v>1</v>
      </c>
      <c r="X44" s="266">
        <v>41632</v>
      </c>
      <c r="Y44" s="266">
        <v>41632</v>
      </c>
      <c r="Z44" s="194">
        <f>IF(OR(X44="",Y44="")," ",( Y44-X44 + 1) - ((fWorkDay(X44,Y44)-X44) - (Y44-X44)))</f>
        <v>1</v>
      </c>
      <c r="AA44" s="222" t="s">
        <v>5546</v>
      </c>
      <c r="AB44" s="191"/>
    </row>
    <row r="45" spans="2:28" s="344" customFormat="1" ht="40.5">
      <c r="B45" s="188">
        <f t="shared" si="3"/>
        <v>155</v>
      </c>
      <c r="C45" s="96" t="s">
        <v>8791</v>
      </c>
      <c r="D45" s="24" t="s">
        <v>5977</v>
      </c>
      <c r="E45" s="257" t="s">
        <v>15025</v>
      </c>
      <c r="F45" s="257" t="s">
        <v>14986</v>
      </c>
      <c r="G45" s="257" t="s">
        <v>14978</v>
      </c>
      <c r="H45" s="257" t="s">
        <v>15049</v>
      </c>
      <c r="I45" s="257" t="s">
        <v>15053</v>
      </c>
      <c r="J45" s="257" t="s">
        <v>5979</v>
      </c>
      <c r="K45" s="257" t="s">
        <v>14952</v>
      </c>
      <c r="L45" s="267" t="s">
        <v>8379</v>
      </c>
      <c r="M45" s="190" t="s">
        <v>5942</v>
      </c>
      <c r="N45" s="188" t="s">
        <v>8282</v>
      </c>
      <c r="O45" s="191" t="s">
        <v>15007</v>
      </c>
      <c r="P45" s="313" t="s">
        <v>8906</v>
      </c>
      <c r="Q45" s="276" t="s">
        <v>14950</v>
      </c>
      <c r="R45" s="272"/>
      <c r="S45" s="256" t="s">
        <v>8883</v>
      </c>
      <c r="T45" s="265" t="s">
        <v>4936</v>
      </c>
      <c r="U45" s="266">
        <v>41627</v>
      </c>
      <c r="V45" s="266">
        <v>41631</v>
      </c>
      <c r="W45" s="194">
        <f>IF(OR(U45="",V45="")," ",( V45-U45 + 1) - ((fWorkDay(U45,V45)-U45) - (V45-U45)))</f>
        <v>3</v>
      </c>
      <c r="X45" s="266">
        <v>41627</v>
      </c>
      <c r="Y45" s="266">
        <v>41631</v>
      </c>
      <c r="Z45" s="194">
        <f>IF(OR(X45="",Y45="")," ",( Y45-X45 + 1) - ((fWorkDay(X45,Y45)-X45) - (Y45-X45)))</f>
        <v>3</v>
      </c>
      <c r="AA45" s="222" t="s">
        <v>5546</v>
      </c>
      <c r="AB45" s="268"/>
    </row>
    <row r="46" spans="2:28" s="344" customFormat="1" ht="40.5">
      <c r="B46" s="188">
        <f t="shared" si="3"/>
        <v>154</v>
      </c>
      <c r="C46" s="96" t="s">
        <v>5907</v>
      </c>
      <c r="D46" s="24" t="s">
        <v>5977</v>
      </c>
      <c r="E46" s="257" t="s">
        <v>15023</v>
      </c>
      <c r="F46" s="257" t="s">
        <v>14984</v>
      </c>
      <c r="G46" s="257" t="s">
        <v>14978</v>
      </c>
      <c r="H46" s="257" t="s">
        <v>15041</v>
      </c>
      <c r="I46" s="257" t="s">
        <v>15053</v>
      </c>
      <c r="J46" s="257" t="s">
        <v>5979</v>
      </c>
      <c r="K46" s="257" t="s">
        <v>14952</v>
      </c>
      <c r="L46" s="267" t="s">
        <v>8379</v>
      </c>
      <c r="M46" s="190" t="s">
        <v>5942</v>
      </c>
      <c r="N46" s="188" t="s">
        <v>8282</v>
      </c>
      <c r="O46" s="191" t="s">
        <v>15008</v>
      </c>
      <c r="P46" s="14" t="s">
        <v>14972</v>
      </c>
      <c r="Q46" s="276" t="s">
        <v>14950</v>
      </c>
      <c r="R46" s="272"/>
      <c r="S46" s="256" t="s">
        <v>14894</v>
      </c>
      <c r="T46" s="265" t="s">
        <v>4936</v>
      </c>
      <c r="U46" s="266">
        <v>41627</v>
      </c>
      <c r="V46" s="266">
        <v>41631</v>
      </c>
      <c r="W46" s="194">
        <f>IF(OR(U46="",V46="")," ",( V46-U46 + 1) - ((fWorkDay(U46,V46)-U46) - (V46-U46)))</f>
        <v>3</v>
      </c>
      <c r="X46" s="266">
        <v>41627</v>
      </c>
      <c r="Y46" s="266">
        <v>41631</v>
      </c>
      <c r="Z46" s="194">
        <f>IF(OR(X46="",Y46="")," ",( Y46-X46 + 1) - ((fWorkDay(X46,Y46)-X46) - (Y46-X46)))</f>
        <v>3</v>
      </c>
      <c r="AA46" s="222" t="s">
        <v>5546</v>
      </c>
      <c r="AB46" s="268"/>
    </row>
    <row r="47" spans="2:28" s="344" customFormat="1" ht="67.5">
      <c r="B47" s="188">
        <f t="shared" si="3"/>
        <v>153</v>
      </c>
      <c r="C47" s="96" t="s">
        <v>5907</v>
      </c>
      <c r="D47" s="24" t="s">
        <v>5977</v>
      </c>
      <c r="E47" s="257" t="s">
        <v>15024</v>
      </c>
      <c r="F47" s="257" t="s">
        <v>14985</v>
      </c>
      <c r="G47" s="257" t="s">
        <v>14987</v>
      </c>
      <c r="H47" s="257" t="s">
        <v>15049</v>
      </c>
      <c r="I47" s="257" t="s">
        <v>15053</v>
      </c>
      <c r="J47" s="257" t="s">
        <v>5979</v>
      </c>
      <c r="K47" s="257" t="s">
        <v>14954</v>
      </c>
      <c r="L47" s="267" t="s">
        <v>8379</v>
      </c>
      <c r="M47" s="190" t="s">
        <v>5942</v>
      </c>
      <c r="N47" s="188" t="s">
        <v>8282</v>
      </c>
      <c r="O47" s="191" t="s">
        <v>15008</v>
      </c>
      <c r="P47" s="14" t="s">
        <v>14972</v>
      </c>
      <c r="Q47" s="276" t="s">
        <v>14949</v>
      </c>
      <c r="R47" s="272"/>
      <c r="S47" s="256" t="s">
        <v>14894</v>
      </c>
      <c r="T47" s="265" t="s">
        <v>4936</v>
      </c>
      <c r="U47" s="266">
        <v>41627</v>
      </c>
      <c r="V47" s="266">
        <v>41631</v>
      </c>
      <c r="W47" s="194">
        <f>IF(OR(U47="",V47="")," ",( V47-U47 + 1) - ((fWorkDay(U47,V47)-U47) - (V47-U47)))</f>
        <v>3</v>
      </c>
      <c r="X47" s="266">
        <v>41627</v>
      </c>
      <c r="Y47" s="266">
        <v>41631</v>
      </c>
      <c r="Z47" s="194">
        <f>IF(OR(X47="",Y47="")," ",( Y47-X47 + 1) - ((fWorkDay(X47,Y47)-X47) - (Y47-X47)))</f>
        <v>3</v>
      </c>
      <c r="AA47" s="222" t="s">
        <v>5546</v>
      </c>
      <c r="AB47" s="268"/>
    </row>
    <row r="48" spans="2:28" s="269" customFormat="1">
      <c r="B48" s="188">
        <f t="shared" si="3"/>
        <v>152</v>
      </c>
      <c r="C48" s="96" t="s">
        <v>8791</v>
      </c>
      <c r="D48" s="24" t="s">
        <v>5977</v>
      </c>
      <c r="E48" s="257" t="s">
        <v>15024</v>
      </c>
      <c r="F48" s="257" t="s">
        <v>14986</v>
      </c>
      <c r="G48" s="257" t="s">
        <v>14980</v>
      </c>
      <c r="H48" s="257" t="s">
        <v>15049</v>
      </c>
      <c r="I48" s="257" t="s">
        <v>15053</v>
      </c>
      <c r="J48" s="257" t="s">
        <v>5979</v>
      </c>
      <c r="K48" s="257" t="s">
        <v>14953</v>
      </c>
      <c r="L48" s="259" t="s">
        <v>8379</v>
      </c>
      <c r="M48" s="260"/>
      <c r="N48" s="260"/>
      <c r="O48" s="191" t="s">
        <v>15007</v>
      </c>
      <c r="P48" s="294" t="s">
        <v>8906</v>
      </c>
      <c r="Q48" s="276" t="s">
        <v>14947</v>
      </c>
      <c r="R48" s="272"/>
      <c r="S48" s="272"/>
      <c r="T48" s="265" t="s">
        <v>4936</v>
      </c>
      <c r="U48" s="266">
        <v>41627</v>
      </c>
      <c r="V48" s="266">
        <v>41627</v>
      </c>
      <c r="W48" s="194">
        <f>IF(OR(U48="",V48="")," ",( V48-U48 + 1) - ((fWorkDay(U48,V48)-U48) - (V48-U48)))</f>
        <v>1</v>
      </c>
      <c r="X48" s="266">
        <v>41627</v>
      </c>
      <c r="Y48" s="266">
        <v>41627</v>
      </c>
      <c r="Z48" s="194">
        <f>IF(OR(X48="",Y48="")," ",( Y48-X48 + 1) - ((fWorkDay(X48,Y48)-X48) - (Y48-X48)))</f>
        <v>1</v>
      </c>
      <c r="AA48" s="267" t="s">
        <v>5546</v>
      </c>
      <c r="AB48" s="268"/>
    </row>
    <row r="49" spans="2:28" s="344" customFormat="1">
      <c r="B49" s="188">
        <f t="shared" si="3"/>
        <v>151</v>
      </c>
      <c r="C49" s="96" t="s">
        <v>5907</v>
      </c>
      <c r="D49" s="24" t="s">
        <v>5977</v>
      </c>
      <c r="E49" s="257" t="s">
        <v>15024</v>
      </c>
      <c r="F49" s="257" t="s">
        <v>14983</v>
      </c>
      <c r="G49" s="257" t="s">
        <v>14981</v>
      </c>
      <c r="H49" s="257" t="s">
        <v>15049</v>
      </c>
      <c r="I49" s="257" t="s">
        <v>15036</v>
      </c>
      <c r="J49" s="257" t="s">
        <v>5979</v>
      </c>
      <c r="K49" s="257" t="s">
        <v>14954</v>
      </c>
      <c r="L49" s="267" t="s">
        <v>8379</v>
      </c>
      <c r="M49" s="157"/>
      <c r="N49" s="188"/>
      <c r="O49" s="191" t="s">
        <v>15008</v>
      </c>
      <c r="P49" s="343" t="s">
        <v>9877</v>
      </c>
      <c r="Q49" s="276" t="s">
        <v>14947</v>
      </c>
      <c r="R49" s="272"/>
      <c r="S49" s="256"/>
      <c r="T49" s="265" t="s">
        <v>4936</v>
      </c>
      <c r="U49" s="266">
        <v>41626</v>
      </c>
      <c r="V49" s="266">
        <v>41627</v>
      </c>
      <c r="W49" s="194">
        <f>IF(OR(U49="",V49="")," ",( V49-U49 + 1) - ((fWorkDay(U49,V49)-U49) - (V49-U49)))</f>
        <v>2</v>
      </c>
      <c r="X49" s="266">
        <v>41626</v>
      </c>
      <c r="Y49" s="266">
        <v>41627</v>
      </c>
      <c r="Z49" s="194">
        <f>IF(OR(X49="",Y49="")," ",( Y49-X49 + 1) - ((fWorkDay(X49,Y49)-X49) - (Y49-X49)))</f>
        <v>2</v>
      </c>
      <c r="AA49" s="267" t="s">
        <v>5546</v>
      </c>
      <c r="AB49" s="268"/>
    </row>
    <row r="50" spans="2:28" s="344" customFormat="1">
      <c r="B50" s="188">
        <f t="shared" si="3"/>
        <v>150</v>
      </c>
      <c r="C50" s="96" t="s">
        <v>8791</v>
      </c>
      <c r="D50" s="24" t="s">
        <v>5977</v>
      </c>
      <c r="E50" s="257" t="s">
        <v>15023</v>
      </c>
      <c r="F50" s="257" t="s">
        <v>14986</v>
      </c>
      <c r="G50" s="257" t="s">
        <v>14977</v>
      </c>
      <c r="H50" s="257" t="s">
        <v>15046</v>
      </c>
      <c r="I50" s="257" t="s">
        <v>15053</v>
      </c>
      <c r="J50" s="257" t="s">
        <v>5979</v>
      </c>
      <c r="K50" s="257" t="s">
        <v>14952</v>
      </c>
      <c r="L50" s="267" t="s">
        <v>8379</v>
      </c>
      <c r="M50" s="157"/>
      <c r="N50" s="188"/>
      <c r="O50" s="191" t="s">
        <v>15009</v>
      </c>
      <c r="P50" s="313" t="s">
        <v>15029</v>
      </c>
      <c r="Q50" s="276" t="s">
        <v>14947</v>
      </c>
      <c r="R50" s="272"/>
      <c r="S50" s="256"/>
      <c r="T50" s="265" t="s">
        <v>4936</v>
      </c>
      <c r="U50" s="266">
        <v>41620</v>
      </c>
      <c r="V50" s="266">
        <v>41627</v>
      </c>
      <c r="W50" s="194">
        <f>IF(OR(U50="",V50="")," ",( V50-U50 + 1) - ((fWorkDay(U50,V50)-U50) - (V50-U50)))</f>
        <v>4</v>
      </c>
      <c r="X50" s="266">
        <v>41620</v>
      </c>
      <c r="Y50" s="266">
        <v>41627</v>
      </c>
      <c r="Z50" s="194">
        <f>IF(OR(X50="",Y50="")," ",( Y50-X50 + 1) - ((fWorkDay(X50,Y50)-X50) - (Y50-X50)))</f>
        <v>4</v>
      </c>
      <c r="AA50" s="267" t="s">
        <v>5546</v>
      </c>
      <c r="AB50" s="268"/>
    </row>
    <row r="51" spans="2:28" s="269" customFormat="1" ht="33">
      <c r="B51" s="188">
        <f t="shared" si="3"/>
        <v>149</v>
      </c>
      <c r="C51" s="96" t="s">
        <v>14941</v>
      </c>
      <c r="D51" s="24" t="s">
        <v>5977</v>
      </c>
      <c r="E51" s="257" t="s">
        <v>14978</v>
      </c>
      <c r="F51" s="257" t="s">
        <v>14978</v>
      </c>
      <c r="G51" s="257" t="s">
        <v>14978</v>
      </c>
      <c r="H51" s="257" t="s">
        <v>15033</v>
      </c>
      <c r="I51" s="257" t="s">
        <v>15033</v>
      </c>
      <c r="J51" s="257" t="s">
        <v>5979</v>
      </c>
      <c r="K51" s="257" t="s">
        <v>14951</v>
      </c>
      <c r="L51" s="267" t="s">
        <v>8379</v>
      </c>
      <c r="M51" s="157" t="s">
        <v>8282</v>
      </c>
      <c r="N51" s="188" t="s">
        <v>8282</v>
      </c>
      <c r="O51" s="191"/>
      <c r="P51" s="313"/>
      <c r="Q51" s="263" t="s">
        <v>14946</v>
      </c>
      <c r="R51" s="272"/>
      <c r="S51" s="280" t="s">
        <v>8552</v>
      </c>
      <c r="T51" s="265" t="s">
        <v>4936</v>
      </c>
      <c r="U51" s="266">
        <v>41626</v>
      </c>
      <c r="V51" s="266">
        <v>41626</v>
      </c>
      <c r="W51" s="194">
        <f>IF(OR(U51="",V51="")," ",( V51-U51 + 1) - ((fWorkDay(U51,V51)-U51) - (V51-U51)))</f>
        <v>1</v>
      </c>
      <c r="X51" s="266">
        <v>41626</v>
      </c>
      <c r="Y51" s="266">
        <v>41626</v>
      </c>
      <c r="Z51" s="194">
        <f>IF(OR(X51="",Y51="")," ",( Y51-X51 + 1) - ((fWorkDay(X51,Y51)-X51) - (Y51-X51)))</f>
        <v>1</v>
      </c>
      <c r="AA51" s="267" t="s">
        <v>5546</v>
      </c>
      <c r="AB51" s="268"/>
    </row>
    <row r="52" spans="2:28" s="269" customFormat="1">
      <c r="B52" s="188">
        <f t="shared" si="3"/>
        <v>148</v>
      </c>
      <c r="C52" s="96" t="s">
        <v>8791</v>
      </c>
      <c r="D52" s="24" t="s">
        <v>5977</v>
      </c>
      <c r="E52" s="257" t="s">
        <v>15025</v>
      </c>
      <c r="F52" s="257" t="s">
        <v>14984</v>
      </c>
      <c r="G52" s="257" t="s">
        <v>14982</v>
      </c>
      <c r="H52" s="257" t="s">
        <v>15049</v>
      </c>
      <c r="I52" s="257" t="s">
        <v>15053</v>
      </c>
      <c r="J52" s="257" t="s">
        <v>5979</v>
      </c>
      <c r="K52" s="257" t="s">
        <v>14952</v>
      </c>
      <c r="L52" s="259" t="s">
        <v>8379</v>
      </c>
      <c r="M52" s="260" t="s">
        <v>6016</v>
      </c>
      <c r="N52" s="260" t="s">
        <v>8792</v>
      </c>
      <c r="O52" s="191" t="s">
        <v>15007</v>
      </c>
      <c r="P52" s="294" t="s">
        <v>8906</v>
      </c>
      <c r="Q52" s="263" t="s">
        <v>14943</v>
      </c>
      <c r="R52" s="272"/>
      <c r="S52" s="272"/>
      <c r="T52" s="265" t="s">
        <v>4936</v>
      </c>
      <c r="U52" s="266">
        <v>41620</v>
      </c>
      <c r="V52" s="266">
        <v>41620</v>
      </c>
      <c r="W52" s="194">
        <f>IF(OR(U52="",V52="")," ",( V52-U52 + 1) - ((fWorkDay(U52,V52)-U52) - (V52-U52)))</f>
        <v>1</v>
      </c>
      <c r="X52" s="266">
        <v>41620</v>
      </c>
      <c r="Y52" s="266">
        <v>41620</v>
      </c>
      <c r="Z52" s="194">
        <f>IF(OR(X52="",Y52="")," ",( Y52-X52 + 1) - ((fWorkDay(X52,Y52)-X52) - (Y52-X52)))</f>
        <v>1</v>
      </c>
      <c r="AA52" s="267" t="s">
        <v>5546</v>
      </c>
      <c r="AB52" s="268"/>
    </row>
    <row r="53" spans="2:28" s="269" customFormat="1" ht="40.5">
      <c r="B53" s="188">
        <f t="shared" si="3"/>
        <v>147</v>
      </c>
      <c r="C53" s="96" t="s">
        <v>8390</v>
      </c>
      <c r="D53" s="24" t="s">
        <v>5977</v>
      </c>
      <c r="E53" s="257" t="s">
        <v>15024</v>
      </c>
      <c r="F53" s="257" t="s">
        <v>14986</v>
      </c>
      <c r="G53" s="257" t="s">
        <v>14980</v>
      </c>
      <c r="H53" s="257" t="s">
        <v>15049</v>
      </c>
      <c r="I53" s="257" t="s">
        <v>15053</v>
      </c>
      <c r="J53" s="257" t="s">
        <v>5979</v>
      </c>
      <c r="K53" s="257" t="s">
        <v>14953</v>
      </c>
      <c r="L53" s="267" t="s">
        <v>8379</v>
      </c>
      <c r="M53" s="190" t="s">
        <v>5942</v>
      </c>
      <c r="N53" s="188" t="s">
        <v>8282</v>
      </c>
      <c r="O53" s="191" t="s">
        <v>15010</v>
      </c>
      <c r="P53" s="313" t="s">
        <v>8912</v>
      </c>
      <c r="Q53" s="263" t="s">
        <v>14944</v>
      </c>
      <c r="R53" s="314"/>
      <c r="S53" s="256" t="s">
        <v>9022</v>
      </c>
      <c r="T53" s="192" t="s">
        <v>5991</v>
      </c>
      <c r="U53" s="266"/>
      <c r="V53" s="266"/>
      <c r="W53" s="194" t="str">
        <f>IF(OR(U53="",V53="")," ",( V53-U53 + 1) - ((fWorkDay(U53,V53)-U53) - (V53-U53)))</f>
        <v xml:space="preserve"> </v>
      </c>
      <c r="X53" s="266">
        <v>41620</v>
      </c>
      <c r="Y53" s="266">
        <v>41620</v>
      </c>
      <c r="Z53" s="194">
        <f>IF(OR(X53="",Y53="")," ",( Y53-X53 + 1) - ((fWorkDay(X53,Y53)-X53) - (Y53-X53)))</f>
        <v>1</v>
      </c>
      <c r="AA53" s="267" t="s">
        <v>5546</v>
      </c>
      <c r="AB53" s="321"/>
    </row>
    <row r="54" spans="2:28" s="269" customFormat="1" ht="40.5">
      <c r="B54" s="188">
        <f t="shared" si="3"/>
        <v>146</v>
      </c>
      <c r="C54" s="96" t="s">
        <v>8791</v>
      </c>
      <c r="D54" s="24" t="s">
        <v>5977</v>
      </c>
      <c r="E54" s="257" t="s">
        <v>15024</v>
      </c>
      <c r="F54" s="257" t="s">
        <v>14983</v>
      </c>
      <c r="G54" s="257" t="s">
        <v>14981</v>
      </c>
      <c r="H54" s="257" t="s">
        <v>15049</v>
      </c>
      <c r="I54" s="257" t="s">
        <v>15053</v>
      </c>
      <c r="J54" s="257" t="s">
        <v>5979</v>
      </c>
      <c r="K54" s="257" t="s">
        <v>14954</v>
      </c>
      <c r="L54" s="267" t="s">
        <v>8379</v>
      </c>
      <c r="M54" s="190" t="s">
        <v>5942</v>
      </c>
      <c r="N54" s="188" t="s">
        <v>8282</v>
      </c>
      <c r="O54" s="191" t="s">
        <v>15007</v>
      </c>
      <c r="P54" s="271" t="s">
        <v>8906</v>
      </c>
      <c r="Q54" s="276" t="s">
        <v>14942</v>
      </c>
      <c r="R54" s="272"/>
      <c r="S54" s="256" t="s">
        <v>8883</v>
      </c>
      <c r="T54" s="265" t="s">
        <v>4936</v>
      </c>
      <c r="U54" s="266">
        <v>41620</v>
      </c>
      <c r="V54" s="266">
        <v>41620</v>
      </c>
      <c r="W54" s="194">
        <f>IF(OR(U54="",V54="")," ",( V54-U54 + 1) - ((fWorkDay(U54,V54)-U54) - (V54-U54)))</f>
        <v>1</v>
      </c>
      <c r="X54" s="266">
        <v>41620</v>
      </c>
      <c r="Y54" s="266">
        <v>41620</v>
      </c>
      <c r="Z54" s="194">
        <f>IF(OR(X54="",Y54="")," ",( Y54-X54 + 1) - ((fWorkDay(X54,Y54)-X54) - (Y54-X54)))</f>
        <v>1</v>
      </c>
      <c r="AA54" s="267" t="s">
        <v>5546</v>
      </c>
      <c r="AB54" s="268"/>
    </row>
    <row r="55" spans="2:28" s="344" customFormat="1" ht="33">
      <c r="B55" s="188">
        <f t="shared" si="3"/>
        <v>145</v>
      </c>
      <c r="C55" s="96" t="s">
        <v>5907</v>
      </c>
      <c r="D55" s="24" t="s">
        <v>5977</v>
      </c>
      <c r="E55" s="257" t="s">
        <v>14978</v>
      </c>
      <c r="F55" s="257" t="s">
        <v>14978</v>
      </c>
      <c r="G55" s="257" t="s">
        <v>14978</v>
      </c>
      <c r="H55" s="257" t="s">
        <v>15033</v>
      </c>
      <c r="I55" s="257" t="s">
        <v>15033</v>
      </c>
      <c r="J55" s="257" t="s">
        <v>5979</v>
      </c>
      <c r="K55" s="257" t="s">
        <v>14951</v>
      </c>
      <c r="L55" s="267" t="s">
        <v>8379</v>
      </c>
      <c r="M55" s="157"/>
      <c r="N55" s="188"/>
      <c r="O55" s="343"/>
      <c r="P55" s="343" t="s">
        <v>14939</v>
      </c>
      <c r="Q55" s="276"/>
      <c r="R55" s="272"/>
      <c r="S55" s="256" t="s">
        <v>14940</v>
      </c>
      <c r="T55" s="265" t="s">
        <v>4936</v>
      </c>
      <c r="U55" s="266">
        <v>41619</v>
      </c>
      <c r="V55" s="266">
        <v>41619</v>
      </c>
      <c r="W55" s="194">
        <f>IF(OR(U55="",V55="")," ",( V55-U55 + 1) - ((fWorkDay(U55,V55)-U55) - (V55-U55)))</f>
        <v>1</v>
      </c>
      <c r="X55" s="266">
        <v>41619</v>
      </c>
      <c r="Y55" s="266">
        <v>41619</v>
      </c>
      <c r="Z55" s="194">
        <f>IF(OR(X55="",Y55="")," ",( Y55-X55 + 1) - ((fWorkDay(X55,Y55)-X55) - (Y55-X55)))</f>
        <v>1</v>
      </c>
      <c r="AA55" s="267" t="s">
        <v>3471</v>
      </c>
      <c r="AB55" s="268"/>
    </row>
    <row r="56" spans="2:28" s="344" customFormat="1">
      <c r="B56" s="188">
        <f t="shared" si="3"/>
        <v>144</v>
      </c>
      <c r="C56" s="96" t="s">
        <v>5907</v>
      </c>
      <c r="D56" s="24" t="s">
        <v>5977</v>
      </c>
      <c r="E56" s="257" t="s">
        <v>14978</v>
      </c>
      <c r="F56" s="257" t="s">
        <v>14978</v>
      </c>
      <c r="G56" s="257" t="s">
        <v>14978</v>
      </c>
      <c r="H56" s="257" t="s">
        <v>15033</v>
      </c>
      <c r="I56" s="257" t="s">
        <v>15033</v>
      </c>
      <c r="J56" s="257" t="s">
        <v>5979</v>
      </c>
      <c r="K56" s="257" t="s">
        <v>14951</v>
      </c>
      <c r="L56" s="267" t="s">
        <v>8379</v>
      </c>
      <c r="M56" s="157"/>
      <c r="N56" s="188"/>
      <c r="O56" s="343"/>
      <c r="P56" s="343" t="s">
        <v>14937</v>
      </c>
      <c r="Q56" s="276" t="s">
        <v>14936</v>
      </c>
      <c r="R56" s="272"/>
      <c r="S56" s="256"/>
      <c r="T56" s="265" t="s">
        <v>4936</v>
      </c>
      <c r="U56" s="266">
        <v>41618</v>
      </c>
      <c r="V56" s="266">
        <v>41618</v>
      </c>
      <c r="W56" s="194">
        <f>IF(OR(U56="",V56="")," ",( V56-U56 + 1) - ((fWorkDay(U56,V56)-U56) - (V56-U56)))</f>
        <v>1</v>
      </c>
      <c r="X56" s="266">
        <v>41618</v>
      </c>
      <c r="Y56" s="266">
        <v>41618</v>
      </c>
      <c r="Z56" s="194">
        <f>IF(OR(X56="",Y56="")," ",( Y56-X56 + 1) - ((fWorkDay(X56,Y56)-X56) - (Y56-X56)))</f>
        <v>1</v>
      </c>
      <c r="AA56" s="267" t="s">
        <v>5546</v>
      </c>
      <c r="AB56" s="268"/>
    </row>
    <row r="57" spans="2:28" s="344" customFormat="1" ht="27">
      <c r="B57" s="188">
        <f t="shared" si="3"/>
        <v>143</v>
      </c>
      <c r="C57" s="96" t="s">
        <v>5907</v>
      </c>
      <c r="D57" s="24" t="s">
        <v>5977</v>
      </c>
      <c r="E57" s="257" t="s">
        <v>14978</v>
      </c>
      <c r="F57" s="257" t="s">
        <v>14978</v>
      </c>
      <c r="G57" s="257" t="s">
        <v>14978</v>
      </c>
      <c r="H57" s="257" t="s">
        <v>15033</v>
      </c>
      <c r="I57" s="257" t="s">
        <v>15033</v>
      </c>
      <c r="J57" s="257" t="s">
        <v>5979</v>
      </c>
      <c r="K57" s="257" t="s">
        <v>14951</v>
      </c>
      <c r="L57" s="267" t="s">
        <v>8379</v>
      </c>
      <c r="M57" s="190" t="s">
        <v>5942</v>
      </c>
      <c r="N57" s="188" t="s">
        <v>8282</v>
      </c>
      <c r="O57" s="343"/>
      <c r="P57" s="343" t="s">
        <v>14935</v>
      </c>
      <c r="Q57" s="276" t="s">
        <v>14934</v>
      </c>
      <c r="R57" s="272"/>
      <c r="S57" s="256"/>
      <c r="T57" s="265" t="s">
        <v>4936</v>
      </c>
      <c r="U57" s="266">
        <v>41618</v>
      </c>
      <c r="V57" s="266">
        <v>41618</v>
      </c>
      <c r="W57" s="194">
        <f>IF(OR(U57="",V57="")," ",( V57-U57 + 1) - ((fWorkDay(U57,V57)-U57) - (V57-U57)))</f>
        <v>1</v>
      </c>
      <c r="X57" s="266">
        <v>41618</v>
      </c>
      <c r="Y57" s="266">
        <v>41618</v>
      </c>
      <c r="Z57" s="194">
        <f>IF(OR(X57="",Y57="")," ",( Y57-X57 + 1) - ((fWorkDay(X57,Y57)-X57) - (Y57-X57)))</f>
        <v>1</v>
      </c>
      <c r="AA57" s="267" t="s">
        <v>5546</v>
      </c>
      <c r="AB57" s="268"/>
    </row>
    <row r="58" spans="2:28" s="344" customFormat="1">
      <c r="B58" s="188">
        <f t="shared" si="3"/>
        <v>142</v>
      </c>
      <c r="C58" s="96" t="s">
        <v>5907</v>
      </c>
      <c r="D58" s="24" t="s">
        <v>5977</v>
      </c>
      <c r="E58" s="257" t="s">
        <v>14978</v>
      </c>
      <c r="F58" s="257" t="s">
        <v>14978</v>
      </c>
      <c r="G58" s="257" t="s">
        <v>14978</v>
      </c>
      <c r="H58" s="257" t="s">
        <v>15033</v>
      </c>
      <c r="I58" s="257" t="s">
        <v>15033</v>
      </c>
      <c r="J58" s="257" t="s">
        <v>5979</v>
      </c>
      <c r="K58" s="257" t="s">
        <v>14951</v>
      </c>
      <c r="L58" s="267" t="s">
        <v>14910</v>
      </c>
      <c r="M58" s="157" t="s">
        <v>14911</v>
      </c>
      <c r="N58" s="188"/>
      <c r="O58" s="343"/>
      <c r="P58" s="343"/>
      <c r="Q58" s="276" t="s">
        <v>14909</v>
      </c>
      <c r="R58" s="272"/>
      <c r="S58" s="256"/>
      <c r="T58" s="265" t="s">
        <v>4936</v>
      </c>
      <c r="U58" s="266">
        <v>41617</v>
      </c>
      <c r="V58" s="266">
        <v>41617</v>
      </c>
      <c r="W58" s="194">
        <f>IF(OR(U58="",V58="")," ",( V58-U58 + 1) - ((fWorkDay(U58,V58)-U58) - (V58-U58)))</f>
        <v>1</v>
      </c>
      <c r="X58" s="266">
        <v>41617</v>
      </c>
      <c r="Y58" s="266">
        <v>41617</v>
      </c>
      <c r="Z58" s="194">
        <f>IF(OR(X58="",Y58="")," ",( Y58-X58 + 1) - ((fWorkDay(X58,Y58)-X58) - (Y58-X58)))</f>
        <v>1</v>
      </c>
      <c r="AA58" s="267" t="s">
        <v>3471</v>
      </c>
      <c r="AB58" s="268"/>
    </row>
    <row r="59" spans="2:28" s="344" customFormat="1">
      <c r="B59" s="188">
        <f t="shared" si="3"/>
        <v>141</v>
      </c>
      <c r="C59" s="96" t="s">
        <v>5907</v>
      </c>
      <c r="D59" s="24" t="s">
        <v>5977</v>
      </c>
      <c r="E59" s="257" t="s">
        <v>14978</v>
      </c>
      <c r="F59" s="257" t="s">
        <v>14978</v>
      </c>
      <c r="G59" s="257" t="s">
        <v>14978</v>
      </c>
      <c r="H59" s="257" t="s">
        <v>15033</v>
      </c>
      <c r="I59" s="257" t="s">
        <v>15033</v>
      </c>
      <c r="J59" s="257" t="s">
        <v>5979</v>
      </c>
      <c r="K59" s="257" t="s">
        <v>14951</v>
      </c>
      <c r="L59" s="267" t="s">
        <v>8379</v>
      </c>
      <c r="M59" s="190" t="s">
        <v>5942</v>
      </c>
      <c r="N59" s="188" t="s">
        <v>8282</v>
      </c>
      <c r="O59" s="343"/>
      <c r="P59" s="343"/>
      <c r="Q59" s="276" t="s">
        <v>14933</v>
      </c>
      <c r="R59" s="272"/>
      <c r="S59" s="256"/>
      <c r="T59" s="265" t="s">
        <v>4936</v>
      </c>
      <c r="U59" s="266">
        <v>41614</v>
      </c>
      <c r="V59" s="266">
        <v>41614</v>
      </c>
      <c r="W59" s="194">
        <f>IF(OR(U59="",V59="")," ",( V59-U59 + 1) - ((fWorkDay(U59,V59)-U59) - (V59-U59)))</f>
        <v>1</v>
      </c>
      <c r="X59" s="266">
        <v>41614</v>
      </c>
      <c r="Y59" s="266">
        <v>41614</v>
      </c>
      <c r="Z59" s="194">
        <f>IF(OR(X59="",Y59="")," ",( Y59-X59 + 1) - ((fWorkDay(X59,Y59)-X59) - (Y59-X59)))</f>
        <v>1</v>
      </c>
      <c r="AA59" s="267" t="s">
        <v>5546</v>
      </c>
      <c r="AB59" s="268"/>
    </row>
    <row r="60" spans="2:28" s="344" customFormat="1">
      <c r="B60" s="188">
        <f t="shared" si="3"/>
        <v>140</v>
      </c>
      <c r="C60" s="96" t="s">
        <v>5907</v>
      </c>
      <c r="D60" s="24" t="s">
        <v>5977</v>
      </c>
      <c r="E60" s="257" t="s">
        <v>15024</v>
      </c>
      <c r="F60" s="257" t="s">
        <v>14986</v>
      </c>
      <c r="G60" s="257" t="s">
        <v>14977</v>
      </c>
      <c r="H60" s="257" t="s">
        <v>15049</v>
      </c>
      <c r="I60" s="257" t="s">
        <v>15036</v>
      </c>
      <c r="J60" s="257" t="s">
        <v>5979</v>
      </c>
      <c r="K60" s="257" t="s">
        <v>14952</v>
      </c>
      <c r="L60" s="259" t="s">
        <v>8379</v>
      </c>
      <c r="M60" s="260" t="s">
        <v>6016</v>
      </c>
      <c r="N60" s="260"/>
      <c r="O60" s="191" t="s">
        <v>15011</v>
      </c>
      <c r="P60" s="343" t="s">
        <v>14907</v>
      </c>
      <c r="Q60" s="276"/>
      <c r="R60" s="272"/>
      <c r="S60" s="256"/>
      <c r="T60" s="265" t="s">
        <v>4936</v>
      </c>
      <c r="U60" s="266">
        <v>41612</v>
      </c>
      <c r="V60" s="266">
        <v>41612</v>
      </c>
      <c r="W60" s="194">
        <f>IF(OR(U60="",V60="")," ",( V60-U60 + 1) - ((fWorkDay(U60,V60)-U60) - (V60-U60)))</f>
        <v>1</v>
      </c>
      <c r="X60" s="266">
        <v>41612</v>
      </c>
      <c r="Y60" s="266">
        <v>41612</v>
      </c>
      <c r="Z60" s="194">
        <f>IF(OR(X60="",Y60="")," ",( Y60-X60 + 1) - ((fWorkDay(X60,Y60)-X60) - (Y60-X60)))</f>
        <v>1</v>
      </c>
      <c r="AA60" s="267" t="s">
        <v>3471</v>
      </c>
      <c r="AB60" s="268"/>
    </row>
    <row r="61" spans="2:28" s="344" customFormat="1">
      <c r="B61" s="188">
        <f t="shared" si="3"/>
        <v>139</v>
      </c>
      <c r="C61" s="96" t="s">
        <v>5907</v>
      </c>
      <c r="D61" s="24" t="s">
        <v>5977</v>
      </c>
      <c r="E61" s="257" t="s">
        <v>15023</v>
      </c>
      <c r="F61" s="257" t="s">
        <v>14984</v>
      </c>
      <c r="G61" s="257" t="s">
        <v>14982</v>
      </c>
      <c r="H61" s="257" t="s">
        <v>15046</v>
      </c>
      <c r="I61" s="257" t="s">
        <v>15053</v>
      </c>
      <c r="J61" s="257" t="s">
        <v>5979</v>
      </c>
      <c r="K61" s="257" t="s">
        <v>14952</v>
      </c>
      <c r="L61" s="267" t="s">
        <v>8379</v>
      </c>
      <c r="M61" s="190" t="s">
        <v>5942</v>
      </c>
      <c r="N61" s="188" t="s">
        <v>8282</v>
      </c>
      <c r="O61" s="191" t="s">
        <v>15012</v>
      </c>
      <c r="P61" s="343" t="s">
        <v>9877</v>
      </c>
      <c r="Q61" s="276" t="s">
        <v>14904</v>
      </c>
      <c r="R61" s="272"/>
      <c r="S61" s="256" t="s">
        <v>14905</v>
      </c>
      <c r="T61" s="265" t="s">
        <v>4936</v>
      </c>
      <c r="U61" s="266">
        <v>41612</v>
      </c>
      <c r="V61" s="266">
        <v>41612</v>
      </c>
      <c r="W61" s="194">
        <f>IF(OR(U61="",V61="")," ",( V61-U61 + 1) - ((fWorkDay(U61,V61)-U61) - (V61-U61)))</f>
        <v>1</v>
      </c>
      <c r="X61" s="266">
        <v>41612</v>
      </c>
      <c r="Y61" s="266">
        <v>41612</v>
      </c>
      <c r="Z61" s="194">
        <f>IF(OR(X61="",Y61="")," ",( Y61-X61 + 1) - ((fWorkDay(X61,Y61)-X61) - (Y61-X61)))</f>
        <v>1</v>
      </c>
      <c r="AA61" s="267" t="s">
        <v>3471</v>
      </c>
      <c r="AB61" s="268"/>
    </row>
    <row r="62" spans="2:28" s="269" customFormat="1">
      <c r="B62" s="188">
        <f t="shared" si="3"/>
        <v>138</v>
      </c>
      <c r="C62" s="96" t="s">
        <v>5907</v>
      </c>
      <c r="D62" s="24" t="s">
        <v>5977</v>
      </c>
      <c r="E62" s="257" t="s">
        <v>15023</v>
      </c>
      <c r="F62" s="257" t="s">
        <v>14986</v>
      </c>
      <c r="G62" s="257" t="s">
        <v>14980</v>
      </c>
      <c r="H62" s="257" t="s">
        <v>15041</v>
      </c>
      <c r="I62" s="257" t="s">
        <v>15053</v>
      </c>
      <c r="J62" s="257" t="s">
        <v>5979</v>
      </c>
      <c r="K62" s="257" t="s">
        <v>14953</v>
      </c>
      <c r="L62" s="267" t="s">
        <v>8379</v>
      </c>
      <c r="M62" s="190" t="s">
        <v>5942</v>
      </c>
      <c r="N62" s="188" t="s">
        <v>8282</v>
      </c>
      <c r="O62" s="191" t="s">
        <v>15013</v>
      </c>
      <c r="P62" s="313" t="s">
        <v>8912</v>
      </c>
      <c r="Q62" s="313" t="s">
        <v>9034</v>
      </c>
      <c r="R62" s="314" t="s">
        <v>14901</v>
      </c>
      <c r="S62" s="256" t="s">
        <v>9022</v>
      </c>
      <c r="T62" s="315" t="s">
        <v>4936</v>
      </c>
      <c r="U62" s="266">
        <v>41607</v>
      </c>
      <c r="V62" s="266">
        <v>41607</v>
      </c>
      <c r="W62" s="194">
        <f>IF(OR(U62="",V62="")," ",( V62-U62 + 1) - ((fWorkDay(U62,V62)-U62) - (V62-U62)))</f>
        <v>1</v>
      </c>
      <c r="X62" s="266">
        <v>41607</v>
      </c>
      <c r="Y62" s="266">
        <v>41607</v>
      </c>
      <c r="Z62" s="194">
        <f>IF(OR(X62="",Y62="")," ",( Y62-X62 + 1) - ((fWorkDay(X62,Y62)-X62) - (Y62-X62)))</f>
        <v>1</v>
      </c>
      <c r="AA62" s="267" t="s">
        <v>5546</v>
      </c>
      <c r="AB62" s="321"/>
    </row>
    <row r="63" spans="2:28" s="269" customFormat="1">
      <c r="B63" s="188">
        <f t="shared" si="3"/>
        <v>137</v>
      </c>
      <c r="C63" s="96" t="s">
        <v>5907</v>
      </c>
      <c r="D63" s="24" t="s">
        <v>5977</v>
      </c>
      <c r="E63" s="257" t="s">
        <v>15025</v>
      </c>
      <c r="F63" s="257" t="s">
        <v>14983</v>
      </c>
      <c r="G63" s="257" t="s">
        <v>14981</v>
      </c>
      <c r="H63" s="257" t="s">
        <v>15049</v>
      </c>
      <c r="I63" s="257" t="s">
        <v>15053</v>
      </c>
      <c r="J63" s="257" t="s">
        <v>5979</v>
      </c>
      <c r="K63" s="257" t="s">
        <v>14954</v>
      </c>
      <c r="L63" s="267" t="s">
        <v>8379</v>
      </c>
      <c r="M63" s="190" t="s">
        <v>5942</v>
      </c>
      <c r="N63" s="188" t="s">
        <v>8282</v>
      </c>
      <c r="O63" s="191" t="s">
        <v>15013</v>
      </c>
      <c r="P63" s="313" t="s">
        <v>8912</v>
      </c>
      <c r="Q63" s="263"/>
      <c r="R63" s="314" t="s">
        <v>14901</v>
      </c>
      <c r="S63" s="256" t="s">
        <v>9016</v>
      </c>
      <c r="T63" s="315" t="s">
        <v>4936</v>
      </c>
      <c r="U63" s="266">
        <v>41606</v>
      </c>
      <c r="V63" s="266">
        <v>41607</v>
      </c>
      <c r="W63" s="194">
        <f>IF(OR(U63="",V63="")," ",( V63-U63 + 1) - ((fWorkDay(U63,V63)-U63) - (V63-U63)))</f>
        <v>2</v>
      </c>
      <c r="X63" s="266">
        <v>41606</v>
      </c>
      <c r="Y63" s="266">
        <v>41607</v>
      </c>
      <c r="Z63" s="194">
        <f>IF(OR(X63="",Y63="")," ",( Y63-X63 + 1) - ((fWorkDay(X63,Y63)-X63) - (Y63-X63)))</f>
        <v>2</v>
      </c>
      <c r="AA63" s="267" t="s">
        <v>5546</v>
      </c>
      <c r="AB63" s="321"/>
    </row>
    <row r="64" spans="2:28" s="344" customFormat="1">
      <c r="B64" s="188">
        <f t="shared" si="3"/>
        <v>136</v>
      </c>
      <c r="C64" s="96" t="s">
        <v>5907</v>
      </c>
      <c r="D64" s="24" t="s">
        <v>5977</v>
      </c>
      <c r="E64" s="257" t="s">
        <v>15024</v>
      </c>
      <c r="F64" s="257" t="s">
        <v>14985</v>
      </c>
      <c r="G64" s="257" t="s">
        <v>14987</v>
      </c>
      <c r="H64" s="257" t="s">
        <v>15049</v>
      </c>
      <c r="I64" s="257" t="s">
        <v>15053</v>
      </c>
      <c r="J64" s="257" t="s">
        <v>5979</v>
      </c>
      <c r="K64" s="257" t="s">
        <v>14954</v>
      </c>
      <c r="L64" s="267" t="s">
        <v>8379</v>
      </c>
      <c r="M64" s="190" t="s">
        <v>5942</v>
      </c>
      <c r="N64" s="188" t="s">
        <v>8282</v>
      </c>
      <c r="O64" s="191" t="s">
        <v>15012</v>
      </c>
      <c r="P64" s="343" t="s">
        <v>9877</v>
      </c>
      <c r="Q64" s="276" t="s">
        <v>14908</v>
      </c>
      <c r="R64" s="272"/>
      <c r="S64" s="256" t="s">
        <v>14894</v>
      </c>
      <c r="T64" s="265" t="s">
        <v>4936</v>
      </c>
      <c r="U64" s="266">
        <v>41606</v>
      </c>
      <c r="V64" s="266">
        <v>41607</v>
      </c>
      <c r="W64" s="194">
        <f>IF(OR(U64="",V64="")," ",( V64-U64 + 1) - ((fWorkDay(U64,V64)-U64) - (V64-U64)))</f>
        <v>2</v>
      </c>
      <c r="X64" s="266">
        <v>41606</v>
      </c>
      <c r="Y64" s="266">
        <v>41607</v>
      </c>
      <c r="Z64" s="194">
        <f>IF(OR(X64="",Y64="")," ",( Y64-X64 + 1) - ((fWorkDay(X64,Y64)-X64) - (Y64-X64)))</f>
        <v>2</v>
      </c>
      <c r="AA64" s="267" t="s">
        <v>3471</v>
      </c>
      <c r="AB64" s="268"/>
    </row>
    <row r="65" spans="2:28" s="84" customFormat="1">
      <c r="B65" s="188">
        <f t="shared" si="3"/>
        <v>135</v>
      </c>
      <c r="C65" s="96" t="s">
        <v>5907</v>
      </c>
      <c r="D65" s="24" t="s">
        <v>5977</v>
      </c>
      <c r="E65" s="257" t="s">
        <v>15024</v>
      </c>
      <c r="F65" s="257" t="s">
        <v>14986</v>
      </c>
      <c r="G65" s="257" t="s">
        <v>14977</v>
      </c>
      <c r="H65" s="257" t="s">
        <v>15049</v>
      </c>
      <c r="I65" s="257" t="s">
        <v>15053</v>
      </c>
      <c r="J65" s="257" t="s">
        <v>5979</v>
      </c>
      <c r="K65" s="257" t="s">
        <v>14952</v>
      </c>
      <c r="L65" s="267" t="s">
        <v>8379</v>
      </c>
      <c r="M65" s="190" t="s">
        <v>5942</v>
      </c>
      <c r="N65" s="188" t="s">
        <v>8282</v>
      </c>
      <c r="O65" s="191" t="s">
        <v>14892</v>
      </c>
      <c r="P65" s="271" t="s">
        <v>9877</v>
      </c>
      <c r="Q65" s="276" t="s">
        <v>14893</v>
      </c>
      <c r="R65" s="272"/>
      <c r="S65" s="256" t="s">
        <v>14895</v>
      </c>
      <c r="T65" s="265" t="s">
        <v>4936</v>
      </c>
      <c r="U65" s="266">
        <v>41606</v>
      </c>
      <c r="V65" s="266">
        <v>41607</v>
      </c>
      <c r="W65" s="194">
        <f>IF(OR(U65="",V65="")," ",( V65-U65 + 1) - ((fWorkDay(U65,V65)-U65) - (V65-U65)))</f>
        <v>2</v>
      </c>
      <c r="X65" s="266">
        <v>41606</v>
      </c>
      <c r="Y65" s="266">
        <v>41607</v>
      </c>
      <c r="Z65" s="194">
        <f>IF(OR(X65="",Y65="")," ",( Y65-X65 + 1) - ((fWorkDay(X65,Y65)-X65) - (Y65-X65)))</f>
        <v>2</v>
      </c>
      <c r="AA65" s="267" t="s">
        <v>3471</v>
      </c>
      <c r="AB65" s="268"/>
    </row>
    <row r="66" spans="2:28" s="84" customFormat="1">
      <c r="B66" s="188">
        <f t="shared" si="3"/>
        <v>134</v>
      </c>
      <c r="C66" s="96" t="s">
        <v>5907</v>
      </c>
      <c r="D66" s="24" t="s">
        <v>5977</v>
      </c>
      <c r="E66" s="257" t="s">
        <v>15024</v>
      </c>
      <c r="F66" s="257" t="s">
        <v>14984</v>
      </c>
      <c r="G66" s="257" t="s">
        <v>14982</v>
      </c>
      <c r="H66" s="257" t="s">
        <v>15049</v>
      </c>
      <c r="I66" s="257" t="s">
        <v>15036</v>
      </c>
      <c r="J66" s="257" t="s">
        <v>5979</v>
      </c>
      <c r="K66" s="257" t="s">
        <v>14952</v>
      </c>
      <c r="L66" s="259" t="s">
        <v>8379</v>
      </c>
      <c r="M66" s="260" t="s">
        <v>6016</v>
      </c>
      <c r="N66" s="260"/>
      <c r="O66" s="191" t="s">
        <v>15012</v>
      </c>
      <c r="P66" s="271" t="s">
        <v>9877</v>
      </c>
      <c r="Q66" s="263"/>
      <c r="R66" s="272"/>
      <c r="S66" s="272"/>
      <c r="T66" s="265" t="s">
        <v>4936</v>
      </c>
      <c r="U66" s="266">
        <v>41605</v>
      </c>
      <c r="V66" s="266">
        <v>41606</v>
      </c>
      <c r="W66" s="194">
        <f>IF(OR(U66="",V66="")," ",( V66-U66 + 1) - ((fWorkDay(U66,V66)-U66) - (V66-U66)))</f>
        <v>2</v>
      </c>
      <c r="X66" s="266">
        <v>41605</v>
      </c>
      <c r="Y66" s="266">
        <v>41606</v>
      </c>
      <c r="Z66" s="194">
        <f>IF(OR(X66="",Y66="")," ",( Y66-X66 + 1) - ((fWorkDay(X66,Y66)-X66) - (Y66-X66)))</f>
        <v>2</v>
      </c>
      <c r="AA66" s="267" t="s">
        <v>3471</v>
      </c>
      <c r="AB66" s="268"/>
    </row>
    <row r="67" spans="2:28" s="360" customFormat="1" ht="17.25" thickBot="1">
      <c r="B67" s="188">
        <f t="shared" si="3"/>
        <v>133</v>
      </c>
      <c r="C67" s="346" t="s">
        <v>5907</v>
      </c>
      <c r="D67" s="347" t="s">
        <v>5977</v>
      </c>
      <c r="E67" s="348" t="s">
        <v>15023</v>
      </c>
      <c r="F67" s="348" t="s">
        <v>14986</v>
      </c>
      <c r="G67" s="348" t="s">
        <v>14980</v>
      </c>
      <c r="H67" s="348" t="s">
        <v>15046</v>
      </c>
      <c r="I67" s="348" t="s">
        <v>15053</v>
      </c>
      <c r="J67" s="348" t="s">
        <v>5979</v>
      </c>
      <c r="K67" s="348" t="s">
        <v>14953</v>
      </c>
      <c r="L67" s="349" t="s">
        <v>8379</v>
      </c>
      <c r="M67" s="350" t="s">
        <v>8918</v>
      </c>
      <c r="N67" s="345" t="s">
        <v>8919</v>
      </c>
      <c r="O67" s="191" t="s">
        <v>15012</v>
      </c>
      <c r="P67" s="351" t="s">
        <v>9877</v>
      </c>
      <c r="Q67" s="352"/>
      <c r="R67" s="353"/>
      <c r="S67" s="354" t="s">
        <v>9878</v>
      </c>
      <c r="T67" s="355" t="s">
        <v>4936</v>
      </c>
      <c r="U67" s="356">
        <v>41603</v>
      </c>
      <c r="V67" s="356">
        <v>41603</v>
      </c>
      <c r="W67" s="357">
        <f>IF(OR(U67="",V67="")," ",( V67-U67 + 1) - ((fWorkDay(U67,V67)-U67) - (V67-U67)))</f>
        <v>1</v>
      </c>
      <c r="X67" s="356">
        <v>41603</v>
      </c>
      <c r="Y67" s="356">
        <v>41603</v>
      </c>
      <c r="Z67" s="357">
        <f>IF(OR(X67="",Y67="")," ",( Y67-X67 + 1) - ((fWorkDay(X67,Y67)-X67) - (Y67-X67)))</f>
        <v>1</v>
      </c>
      <c r="AA67" s="358" t="s">
        <v>3471</v>
      </c>
      <c r="AB67" s="359"/>
    </row>
    <row r="68" spans="2:28" s="269" customFormat="1" ht="17.25" thickTop="1">
      <c r="B68" s="188">
        <f t="shared" si="3"/>
        <v>132</v>
      </c>
      <c r="C68" s="128" t="s">
        <v>8390</v>
      </c>
      <c r="D68" s="116" t="s">
        <v>5977</v>
      </c>
      <c r="E68" s="291" t="s">
        <v>14978</v>
      </c>
      <c r="F68" s="291" t="s">
        <v>14978</v>
      </c>
      <c r="G68" s="291" t="s">
        <v>14978</v>
      </c>
      <c r="H68" s="291" t="s">
        <v>15033</v>
      </c>
      <c r="I68" s="291" t="s">
        <v>15033</v>
      </c>
      <c r="J68" s="291" t="s">
        <v>5979</v>
      </c>
      <c r="K68" s="291" t="s">
        <v>14951</v>
      </c>
      <c r="L68" s="290" t="s">
        <v>8379</v>
      </c>
      <c r="M68" s="190" t="s">
        <v>5942</v>
      </c>
      <c r="N68" s="188" t="s">
        <v>8282</v>
      </c>
      <c r="O68" s="191"/>
      <c r="P68" s="339"/>
      <c r="Q68" s="340" t="s">
        <v>9876</v>
      </c>
      <c r="R68" s="341"/>
      <c r="S68" s="247"/>
      <c r="T68" s="219" t="s">
        <v>5991</v>
      </c>
      <c r="U68" s="298"/>
      <c r="V68" s="298"/>
      <c r="W68" s="221" t="str">
        <f>IF(OR(U68="",V68="")," ",( V68-U68 + 1) - ((fWorkDay(U68,V68)-U68) - (V68-U68)))</f>
        <v xml:space="preserve"> </v>
      </c>
      <c r="X68" s="220">
        <v>41600</v>
      </c>
      <c r="Y68" s="220">
        <v>41600</v>
      </c>
      <c r="Z68" s="221">
        <f>IF(OR(X68="",Y68="")," ",( Y68-X68 + 1) - ((fWorkDay(X68,Y68)-X68) - (Y68-X68)))</f>
        <v>1</v>
      </c>
      <c r="AA68" s="290" t="s">
        <v>5546</v>
      </c>
      <c r="AB68" s="342"/>
    </row>
    <row r="69" spans="2:28" s="269" customFormat="1">
      <c r="B69" s="188">
        <f t="shared" si="3"/>
        <v>131</v>
      </c>
      <c r="C69" s="96" t="s">
        <v>8390</v>
      </c>
      <c r="D69" s="24" t="s">
        <v>5977</v>
      </c>
      <c r="E69" s="257" t="s">
        <v>15023</v>
      </c>
      <c r="F69" s="257" t="s">
        <v>14983</v>
      </c>
      <c r="G69" s="257" t="s">
        <v>14981</v>
      </c>
      <c r="H69" s="257" t="s">
        <v>15041</v>
      </c>
      <c r="I69" s="257" t="s">
        <v>15053</v>
      </c>
      <c r="J69" s="257" t="s">
        <v>5979</v>
      </c>
      <c r="K69" s="257" t="s">
        <v>14954</v>
      </c>
      <c r="L69" s="267" t="s">
        <v>8379</v>
      </c>
      <c r="M69" s="190" t="s">
        <v>5942</v>
      </c>
      <c r="N69" s="188" t="s">
        <v>8282</v>
      </c>
      <c r="O69" s="191" t="s">
        <v>15013</v>
      </c>
      <c r="P69" s="313" t="s">
        <v>8912</v>
      </c>
      <c r="Q69" s="263" t="s">
        <v>9874</v>
      </c>
      <c r="R69" s="314" t="s">
        <v>8996</v>
      </c>
      <c r="S69" s="256" t="s">
        <v>8544</v>
      </c>
      <c r="T69" s="192" t="s">
        <v>5991</v>
      </c>
      <c r="U69" s="266"/>
      <c r="V69" s="266"/>
      <c r="W69" s="194" t="str">
        <f>IF(OR(U69="",V69="")," ",( V69-U69 + 1) - ((fWorkDay(U69,V69)-U69) - (V69-U69)))</f>
        <v xml:space="preserve"> </v>
      </c>
      <c r="X69" s="193">
        <v>41599</v>
      </c>
      <c r="Y69" s="193">
        <v>41599</v>
      </c>
      <c r="Z69" s="194">
        <f>IF(OR(X69="",Y69="")," ",( Y69-X69 + 1) - ((fWorkDay(X69,Y69)-X69) - (Y69-X69)))</f>
        <v>1</v>
      </c>
      <c r="AA69" s="267" t="s">
        <v>5546</v>
      </c>
      <c r="AB69" s="321"/>
    </row>
    <row r="70" spans="2:28" s="269" customFormat="1">
      <c r="B70" s="188">
        <f t="shared" si="3"/>
        <v>130</v>
      </c>
      <c r="C70" s="96" t="s">
        <v>8390</v>
      </c>
      <c r="D70" s="24" t="s">
        <v>5977</v>
      </c>
      <c r="E70" s="257" t="s">
        <v>15024</v>
      </c>
      <c r="F70" s="257" t="s">
        <v>14986</v>
      </c>
      <c r="G70" s="257" t="s">
        <v>14977</v>
      </c>
      <c r="H70" s="257" t="s">
        <v>15049</v>
      </c>
      <c r="I70" s="257" t="s">
        <v>15053</v>
      </c>
      <c r="J70" s="257" t="s">
        <v>5979</v>
      </c>
      <c r="K70" s="257" t="s">
        <v>14952</v>
      </c>
      <c r="L70" s="267" t="s">
        <v>8379</v>
      </c>
      <c r="M70" s="190" t="s">
        <v>5942</v>
      </c>
      <c r="N70" s="188" t="s">
        <v>8282</v>
      </c>
      <c r="O70" s="191" t="s">
        <v>15013</v>
      </c>
      <c r="P70" s="313" t="s">
        <v>8912</v>
      </c>
      <c r="Q70" s="263" t="s">
        <v>9874</v>
      </c>
      <c r="R70" s="314" t="s">
        <v>9002</v>
      </c>
      <c r="S70" s="256" t="s">
        <v>9022</v>
      </c>
      <c r="T70" s="192" t="s">
        <v>5991</v>
      </c>
      <c r="U70" s="266"/>
      <c r="V70" s="266"/>
      <c r="W70" s="194" t="str">
        <f>IF(OR(U70="",V70="")," ",( V70-U70 + 1) - ((fWorkDay(U70,V70)-U70) - (V70-U70)))</f>
        <v xml:space="preserve"> </v>
      </c>
      <c r="X70" s="193">
        <v>41599</v>
      </c>
      <c r="Y70" s="193">
        <v>41599</v>
      </c>
      <c r="Z70" s="194">
        <f>IF(OR(X70="",Y70="")," ",( Y70-X70 + 1) - ((fWorkDay(X70,Y70)-X70) - (Y70-X70)))</f>
        <v>1</v>
      </c>
      <c r="AA70" s="267" t="s">
        <v>3471</v>
      </c>
      <c r="AB70" s="321"/>
    </row>
    <row r="71" spans="2:28" s="269" customFormat="1">
      <c r="B71" s="188">
        <f t="shared" si="3"/>
        <v>129</v>
      </c>
      <c r="C71" s="96" t="s">
        <v>8390</v>
      </c>
      <c r="D71" s="24" t="s">
        <v>5977</v>
      </c>
      <c r="E71" s="257" t="s">
        <v>15024</v>
      </c>
      <c r="F71" s="257" t="s">
        <v>14984</v>
      </c>
      <c r="G71" s="257" t="s">
        <v>14982</v>
      </c>
      <c r="H71" s="257" t="s">
        <v>15049</v>
      </c>
      <c r="I71" s="257" t="s">
        <v>15053</v>
      </c>
      <c r="J71" s="257" t="s">
        <v>5979</v>
      </c>
      <c r="K71" s="257" t="s">
        <v>14952</v>
      </c>
      <c r="L71" s="267" t="s">
        <v>8379</v>
      </c>
      <c r="M71" s="190" t="s">
        <v>5942</v>
      </c>
      <c r="N71" s="188" t="s">
        <v>8282</v>
      </c>
      <c r="O71" s="191" t="s">
        <v>15013</v>
      </c>
      <c r="P71" s="313" t="s">
        <v>8912</v>
      </c>
      <c r="Q71" s="263" t="s">
        <v>9874</v>
      </c>
      <c r="R71" s="314" t="s">
        <v>9011</v>
      </c>
      <c r="S71" s="256" t="s">
        <v>9030</v>
      </c>
      <c r="T71" s="192" t="s">
        <v>5991</v>
      </c>
      <c r="U71" s="266"/>
      <c r="V71" s="266"/>
      <c r="W71" s="194" t="str">
        <f>IF(OR(U71="",V71="")," ",( V71-U71 + 1) - ((fWorkDay(U71,V71)-U71) - (V71-U71)))</f>
        <v xml:space="preserve"> </v>
      </c>
      <c r="X71" s="193">
        <v>41599</v>
      </c>
      <c r="Y71" s="193">
        <v>41599</v>
      </c>
      <c r="Z71" s="194">
        <f>IF(OR(X71="",Y71="")," ",( Y71-X71 + 1) - ((fWorkDay(X71,Y71)-X71) - (Y71-X71)))</f>
        <v>1</v>
      </c>
      <c r="AA71" s="267" t="s">
        <v>5546</v>
      </c>
      <c r="AB71" s="321"/>
    </row>
    <row r="72" spans="2:28" s="269" customFormat="1">
      <c r="B72" s="188">
        <f t="shared" si="3"/>
        <v>128</v>
      </c>
      <c r="C72" s="96" t="s">
        <v>8390</v>
      </c>
      <c r="D72" s="24" t="s">
        <v>5977</v>
      </c>
      <c r="E72" s="257" t="s">
        <v>15024</v>
      </c>
      <c r="F72" s="257" t="s">
        <v>14986</v>
      </c>
      <c r="G72" s="257" t="s">
        <v>14980</v>
      </c>
      <c r="H72" s="257" t="s">
        <v>15049</v>
      </c>
      <c r="I72" s="257" t="s">
        <v>15036</v>
      </c>
      <c r="J72" s="257" t="s">
        <v>5979</v>
      </c>
      <c r="K72" s="257" t="s">
        <v>14953</v>
      </c>
      <c r="L72" s="267" t="s">
        <v>8379</v>
      </c>
      <c r="M72" s="190" t="s">
        <v>5942</v>
      </c>
      <c r="N72" s="188" t="s">
        <v>8282</v>
      </c>
      <c r="O72" s="191" t="s">
        <v>15013</v>
      </c>
      <c r="P72" s="313" t="s">
        <v>8912</v>
      </c>
      <c r="Q72" s="263" t="s">
        <v>9874</v>
      </c>
      <c r="R72" s="314" t="s">
        <v>9875</v>
      </c>
      <c r="S72" s="256" t="s">
        <v>9020</v>
      </c>
      <c r="T72" s="192" t="s">
        <v>5991</v>
      </c>
      <c r="U72" s="266"/>
      <c r="V72" s="266"/>
      <c r="W72" s="194" t="str">
        <f>IF(OR(U72="",V72="")," ",( V72-U72 + 1) - ((fWorkDay(U72,V72)-U72) - (V72-U72)))</f>
        <v xml:space="preserve"> </v>
      </c>
      <c r="X72" s="193">
        <v>41599</v>
      </c>
      <c r="Y72" s="193">
        <v>41599</v>
      </c>
      <c r="Z72" s="194">
        <f>IF(OR(X72="",Y72="")," ",( Y72-X72 + 1) - ((fWorkDay(X72,Y72)-X72) - (Y72-X72)))</f>
        <v>1</v>
      </c>
      <c r="AA72" s="267" t="s">
        <v>3471</v>
      </c>
      <c r="AB72" s="321"/>
    </row>
    <row r="73" spans="2:28" ht="54">
      <c r="B73" s="188">
        <f t="shared" si="3"/>
        <v>127</v>
      </c>
      <c r="C73" s="98" t="s">
        <v>8923</v>
      </c>
      <c r="D73" s="24" t="str">
        <f t="shared" ref="D73" ca="1" si="4">IF(AND(Y73&lt;&gt;"",TODAY()&gt;Y73),"Yes","No")</f>
        <v>Yes</v>
      </c>
      <c r="E73" s="87" t="s">
        <v>15023</v>
      </c>
      <c r="F73" s="87" t="s">
        <v>14985</v>
      </c>
      <c r="G73" s="87" t="s">
        <v>14987</v>
      </c>
      <c r="H73" s="87" t="s">
        <v>15046</v>
      </c>
      <c r="I73" s="87" t="s">
        <v>15053</v>
      </c>
      <c r="J73" s="87" t="s">
        <v>5979</v>
      </c>
      <c r="K73" s="87" t="s">
        <v>14954</v>
      </c>
      <c r="L73" s="190" t="s">
        <v>5909</v>
      </c>
      <c r="M73" s="157" t="s">
        <v>5909</v>
      </c>
      <c r="N73" s="113" t="s">
        <v>5972</v>
      </c>
      <c r="O73" s="191" t="s">
        <v>15017</v>
      </c>
      <c r="P73" s="176" t="s">
        <v>9056</v>
      </c>
      <c r="Q73" s="148" t="s">
        <v>9872</v>
      </c>
      <c r="R73" s="285"/>
      <c r="S73" s="166"/>
      <c r="T73" s="192" t="s">
        <v>5991</v>
      </c>
      <c r="U73" s="193">
        <v>41596</v>
      </c>
      <c r="V73" s="193">
        <v>41598</v>
      </c>
      <c r="W73" s="194">
        <f>IF(OR(U73="",V73="")," ",( V73-U73 + 1) - ((fWorkDay(U73,V73)-U73) - (V73-U73)))</f>
        <v>3</v>
      </c>
      <c r="X73" s="193">
        <v>41596</v>
      </c>
      <c r="Y73" s="193">
        <v>41598</v>
      </c>
      <c r="Z73" s="194">
        <f>IF(OR(X73="",Y73="")," ",( Y73-X73 + 1) - ((fWorkDay(X73,Y73)-X73) - (Y73-X73)))</f>
        <v>3</v>
      </c>
      <c r="AA73" s="188" t="s">
        <v>5981</v>
      </c>
      <c r="AB73" s="195"/>
    </row>
    <row r="74" spans="2:28" s="269" customFormat="1" ht="27">
      <c r="B74" s="188">
        <f t="shared" si="3"/>
        <v>126</v>
      </c>
      <c r="C74" s="96" t="s">
        <v>5907</v>
      </c>
      <c r="D74" s="24" t="s">
        <v>5977</v>
      </c>
      <c r="E74" s="257" t="s">
        <v>14978</v>
      </c>
      <c r="F74" s="257" t="s">
        <v>14978</v>
      </c>
      <c r="G74" s="257" t="s">
        <v>14978</v>
      </c>
      <c r="H74" s="257" t="s">
        <v>15033</v>
      </c>
      <c r="I74" s="257" t="s">
        <v>15033</v>
      </c>
      <c r="J74" s="257" t="s">
        <v>5979</v>
      </c>
      <c r="K74" s="257" t="s">
        <v>14951</v>
      </c>
      <c r="L74" s="267" t="s">
        <v>8379</v>
      </c>
      <c r="M74" s="157" t="s">
        <v>8282</v>
      </c>
      <c r="N74" s="188" t="s">
        <v>8282</v>
      </c>
      <c r="O74" s="313"/>
      <c r="P74" s="313" t="s">
        <v>14938</v>
      </c>
      <c r="Q74" s="322" t="s">
        <v>9051</v>
      </c>
      <c r="R74" s="314"/>
      <c r="S74" s="380" t="s">
        <v>9050</v>
      </c>
      <c r="T74" s="315" t="s">
        <v>4936</v>
      </c>
      <c r="U74" s="266"/>
      <c r="V74" s="266"/>
      <c r="W74" s="194" t="str">
        <f>IF(OR(U74="",V74="")," ",( V74-U74 + 1) - ((fWorkDay(U74,V74)-U74) - (V74-U74)))</f>
        <v xml:space="preserve"> </v>
      </c>
      <c r="X74" s="266">
        <v>41589</v>
      </c>
      <c r="Y74" s="266">
        <v>41591</v>
      </c>
      <c r="Z74" s="194">
        <f>IF(OR(X74="",Y74="")," ",( Y74-X74 + 1) - ((fWorkDay(X74,Y74)-X74) - (Y74-X74)))</f>
        <v>3</v>
      </c>
      <c r="AA74" s="267" t="s">
        <v>5546</v>
      </c>
      <c r="AB74" s="321"/>
    </row>
    <row r="75" spans="2:28" s="269" customFormat="1" ht="33">
      <c r="B75" s="188">
        <f t="shared" si="3"/>
        <v>125</v>
      </c>
      <c r="C75" s="96" t="s">
        <v>5907</v>
      </c>
      <c r="D75" s="24" t="s">
        <v>5977</v>
      </c>
      <c r="E75" s="257" t="s">
        <v>14978</v>
      </c>
      <c r="F75" s="257" t="s">
        <v>14978</v>
      </c>
      <c r="G75" s="257" t="s">
        <v>14978</v>
      </c>
      <c r="H75" s="257" t="s">
        <v>15033</v>
      </c>
      <c r="I75" s="257" t="s">
        <v>15033</v>
      </c>
      <c r="J75" s="257" t="s">
        <v>5979</v>
      </c>
      <c r="K75" s="257" t="s">
        <v>14951</v>
      </c>
      <c r="L75" s="267" t="s">
        <v>8379</v>
      </c>
      <c r="M75" s="157" t="s">
        <v>8282</v>
      </c>
      <c r="N75" s="188" t="s">
        <v>8282</v>
      </c>
      <c r="O75" s="313"/>
      <c r="P75" s="313" t="s">
        <v>9033</v>
      </c>
      <c r="Q75" s="263"/>
      <c r="R75" s="314" t="s">
        <v>9047</v>
      </c>
      <c r="S75" s="256" t="s">
        <v>9049</v>
      </c>
      <c r="T75" s="315" t="s">
        <v>4936</v>
      </c>
      <c r="U75" s="266"/>
      <c r="V75" s="266"/>
      <c r="W75" s="194" t="str">
        <f>IF(OR(U75="",V75="")," ",( V75-U75 + 1) - ((fWorkDay(U75,V75)-U75) - (V75-U75)))</f>
        <v xml:space="preserve"> </v>
      </c>
      <c r="X75" s="266">
        <v>41584</v>
      </c>
      <c r="Y75" s="266">
        <v>41584</v>
      </c>
      <c r="Z75" s="194">
        <f>IF(OR(X75="",Y75="")," ",( Y75-X75 + 1) - ((fWorkDay(X75,Y75)-X75) - (Y75-X75)))</f>
        <v>1</v>
      </c>
      <c r="AA75" s="267" t="s">
        <v>5546</v>
      </c>
      <c r="AB75" s="321"/>
    </row>
    <row r="76" spans="2:28" s="269" customFormat="1">
      <c r="B76" s="188">
        <f t="shared" si="3"/>
        <v>124</v>
      </c>
      <c r="C76" s="96" t="s">
        <v>5907</v>
      </c>
      <c r="D76" s="24" t="s">
        <v>5977</v>
      </c>
      <c r="E76" s="257" t="s">
        <v>14978</v>
      </c>
      <c r="F76" s="257" t="s">
        <v>14978</v>
      </c>
      <c r="G76" s="257" t="s">
        <v>14978</v>
      </c>
      <c r="H76" s="257" t="s">
        <v>15033</v>
      </c>
      <c r="I76" s="257" t="s">
        <v>15033</v>
      </c>
      <c r="J76" s="257" t="s">
        <v>5979</v>
      </c>
      <c r="K76" s="257" t="s">
        <v>14951</v>
      </c>
      <c r="L76" s="267" t="s">
        <v>8379</v>
      </c>
      <c r="M76" s="190" t="s">
        <v>5942</v>
      </c>
      <c r="N76" s="188" t="s">
        <v>8282</v>
      </c>
      <c r="O76" s="313"/>
      <c r="P76" s="313" t="s">
        <v>9033</v>
      </c>
      <c r="Q76" s="263"/>
      <c r="R76" s="314" t="s">
        <v>9047</v>
      </c>
      <c r="S76" s="256" t="s">
        <v>9048</v>
      </c>
      <c r="T76" s="315" t="s">
        <v>4936</v>
      </c>
      <c r="U76" s="266"/>
      <c r="V76" s="266"/>
      <c r="W76" s="194" t="str">
        <f>IF(OR(U76="",V76="")," ",( V76-U76 + 1) - ((fWorkDay(U76,V76)-U76) - (V76-U76)))</f>
        <v xml:space="preserve"> </v>
      </c>
      <c r="X76" s="266">
        <v>41584</v>
      </c>
      <c r="Y76" s="266">
        <v>41584</v>
      </c>
      <c r="Z76" s="194">
        <f>IF(OR(X76="",Y76="")," ",( Y76-X76 + 1) - ((fWorkDay(X76,Y76)-X76) - (Y76-X76)))</f>
        <v>1</v>
      </c>
      <c r="AA76" s="267" t="s">
        <v>5546</v>
      </c>
      <c r="AB76" s="321"/>
    </row>
    <row r="77" spans="2:28" s="269" customFormat="1">
      <c r="B77" s="188">
        <f t="shared" si="3"/>
        <v>123</v>
      </c>
      <c r="C77" s="96" t="s">
        <v>5907</v>
      </c>
      <c r="D77" s="24" t="s">
        <v>5977</v>
      </c>
      <c r="E77" s="257" t="s">
        <v>14978</v>
      </c>
      <c r="F77" s="257" t="s">
        <v>14978</v>
      </c>
      <c r="G77" s="257" t="s">
        <v>14978</v>
      </c>
      <c r="H77" s="257" t="s">
        <v>15033</v>
      </c>
      <c r="I77" s="257" t="s">
        <v>15033</v>
      </c>
      <c r="J77" s="257" t="s">
        <v>5979</v>
      </c>
      <c r="K77" s="257" t="s">
        <v>14951</v>
      </c>
      <c r="L77" s="267" t="s">
        <v>8379</v>
      </c>
      <c r="M77" s="190" t="s">
        <v>5942</v>
      </c>
      <c r="N77" s="188" t="s">
        <v>8282</v>
      </c>
      <c r="O77" s="313"/>
      <c r="P77" s="313" t="s">
        <v>9033</v>
      </c>
      <c r="Q77" s="263"/>
      <c r="R77" s="314" t="s">
        <v>9047</v>
      </c>
      <c r="S77" s="256" t="s">
        <v>9046</v>
      </c>
      <c r="T77" s="315" t="s">
        <v>4936</v>
      </c>
      <c r="U77" s="266"/>
      <c r="V77" s="266"/>
      <c r="W77" s="194" t="str">
        <f>IF(OR(U77="",V77="")," ",( V77-U77 + 1) - ((fWorkDay(U77,V77)-U77) - (V77-U77)))</f>
        <v xml:space="preserve"> </v>
      </c>
      <c r="X77" s="266">
        <v>41584</v>
      </c>
      <c r="Y77" s="266">
        <v>41584</v>
      </c>
      <c r="Z77" s="194">
        <f>IF(OR(X77="",Y77="")," ",( Y77-X77 + 1) - ((fWorkDay(X77,Y77)-X77) - (Y77-X77)))</f>
        <v>1</v>
      </c>
      <c r="AA77" s="267" t="s">
        <v>5546</v>
      </c>
      <c r="AB77" s="321"/>
    </row>
    <row r="78" spans="2:28" s="269" customFormat="1">
      <c r="B78" s="188">
        <f t="shared" si="3"/>
        <v>122</v>
      </c>
      <c r="C78" s="96" t="s">
        <v>5907</v>
      </c>
      <c r="D78" s="24" t="s">
        <v>5977</v>
      </c>
      <c r="E78" s="257" t="s">
        <v>15025</v>
      </c>
      <c r="F78" s="257" t="s">
        <v>14983</v>
      </c>
      <c r="G78" s="257" t="s">
        <v>14981</v>
      </c>
      <c r="H78" s="257" t="s">
        <v>15049</v>
      </c>
      <c r="I78" s="257" t="s">
        <v>15053</v>
      </c>
      <c r="J78" s="257" t="s">
        <v>5979</v>
      </c>
      <c r="K78" s="257" t="s">
        <v>14954</v>
      </c>
      <c r="L78" s="267" t="s">
        <v>8379</v>
      </c>
      <c r="M78" s="190" t="s">
        <v>5942</v>
      </c>
      <c r="N78" s="188" t="s">
        <v>8282</v>
      </c>
      <c r="O78" s="191" t="s">
        <v>15010</v>
      </c>
      <c r="P78" s="313" t="s">
        <v>8912</v>
      </c>
      <c r="Q78" s="313" t="s">
        <v>9034</v>
      </c>
      <c r="R78" s="314" t="s">
        <v>9013</v>
      </c>
      <c r="S78" s="256" t="s">
        <v>9014</v>
      </c>
      <c r="T78" s="315" t="s">
        <v>4936</v>
      </c>
      <c r="U78" s="266"/>
      <c r="V78" s="266"/>
      <c r="W78" s="194" t="str">
        <f>IF(OR(U78="",V78="")," ",( V78-U78 + 1) - ((fWorkDay(U78,V78)-U78) - (V78-U78)))</f>
        <v xml:space="preserve"> </v>
      </c>
      <c r="X78" s="266">
        <v>41584</v>
      </c>
      <c r="Y78" s="266">
        <v>41584</v>
      </c>
      <c r="Z78" s="194">
        <f>IF(OR(X78="",Y78="")," ",( Y78-X78 + 1) - ((fWorkDay(X78,Y78)-X78) - (Y78-X78)))</f>
        <v>1</v>
      </c>
      <c r="AA78" s="267" t="s">
        <v>5546</v>
      </c>
      <c r="AB78" s="321"/>
    </row>
    <row r="79" spans="2:28">
      <c r="B79" s="188">
        <f t="shared" si="3"/>
        <v>121</v>
      </c>
      <c r="C79" s="96"/>
      <c r="D79" s="24" t="s">
        <v>5977</v>
      </c>
      <c r="E79" s="87" t="s">
        <v>14978</v>
      </c>
      <c r="F79" s="87" t="s">
        <v>14978</v>
      </c>
      <c r="G79" s="87" t="s">
        <v>14978</v>
      </c>
      <c r="H79" s="87" t="s">
        <v>15033</v>
      </c>
      <c r="I79" s="87" t="s">
        <v>15033</v>
      </c>
      <c r="J79" s="87" t="s">
        <v>5979</v>
      </c>
      <c r="K79" s="87" t="s">
        <v>14951</v>
      </c>
      <c r="L79" s="188" t="s">
        <v>8379</v>
      </c>
      <c r="M79" s="190" t="s">
        <v>5942</v>
      </c>
      <c r="N79" s="188" t="s">
        <v>8282</v>
      </c>
      <c r="O79" s="191"/>
      <c r="P79" s="313" t="s">
        <v>9033</v>
      </c>
      <c r="Q79" s="142"/>
      <c r="R79" s="158"/>
      <c r="S79" s="280" t="s">
        <v>9035</v>
      </c>
      <c r="T79" s="225" t="s">
        <v>4936</v>
      </c>
      <c r="U79" s="193">
        <v>41581</v>
      </c>
      <c r="V79" s="266">
        <v>41586</v>
      </c>
      <c r="W79" s="194">
        <f>IF(OR(U79="",V79="")," ",( V79-U79 + 1) - ((fWorkDay(U79,V79)-U79) - (V79-U79)))</f>
        <v>6</v>
      </c>
      <c r="X79" s="193">
        <v>41527</v>
      </c>
      <c r="Y79" s="193"/>
      <c r="Z79" s="194" t="str">
        <f>IF(OR(X79="",Y79="")," ",( Y79-X79 + 1) - ((fWorkDay(X79,Y79)-X79) - (Y79-X79)))</f>
        <v xml:space="preserve"> </v>
      </c>
      <c r="AA79" s="188" t="s">
        <v>5546</v>
      </c>
      <c r="AB79" s="226"/>
    </row>
    <row r="80" spans="2:28" ht="33">
      <c r="B80" s="188">
        <f t="shared" si="3"/>
        <v>120</v>
      </c>
      <c r="C80" s="96"/>
      <c r="D80" s="24" t="s">
        <v>5977</v>
      </c>
      <c r="E80" s="87" t="s">
        <v>14978</v>
      </c>
      <c r="F80" s="87" t="s">
        <v>14978</v>
      </c>
      <c r="G80" s="87" t="s">
        <v>14978</v>
      </c>
      <c r="H80" s="87" t="s">
        <v>15033</v>
      </c>
      <c r="I80" s="87" t="s">
        <v>15033</v>
      </c>
      <c r="J80" s="87" t="s">
        <v>5979</v>
      </c>
      <c r="K80" s="87" t="s">
        <v>14951</v>
      </c>
      <c r="L80" s="188" t="s">
        <v>8379</v>
      </c>
      <c r="M80" s="190" t="s">
        <v>5942</v>
      </c>
      <c r="N80" s="188" t="s">
        <v>15084</v>
      </c>
      <c r="O80" s="191"/>
      <c r="P80" s="313" t="s">
        <v>9033</v>
      </c>
      <c r="Q80" s="142"/>
      <c r="R80" s="158"/>
      <c r="S80" s="280" t="s">
        <v>8552</v>
      </c>
      <c r="T80" s="225" t="s">
        <v>4936</v>
      </c>
      <c r="U80" s="193">
        <v>41581</v>
      </c>
      <c r="V80" s="266">
        <v>41586</v>
      </c>
      <c r="W80" s="194">
        <f>IF(OR(U80="",V80="")," ",( V80-U80 + 1) - ((fWorkDay(U80,V80)-U80) - (V80-U80)))</f>
        <v>6</v>
      </c>
      <c r="X80" s="193">
        <v>41527</v>
      </c>
      <c r="Y80" s="193"/>
      <c r="Z80" s="194" t="str">
        <f>IF(OR(X80="",Y80="")," ",( Y80-X80 + 1) - ((fWorkDay(X80,Y80)-X80) - (Y80-X80)))</f>
        <v xml:space="preserve"> </v>
      </c>
      <c r="AA80" s="188" t="s">
        <v>5546</v>
      </c>
      <c r="AB80" s="226"/>
    </row>
    <row r="81" spans="2:28" ht="33">
      <c r="B81" s="188">
        <f t="shared" si="3"/>
        <v>119</v>
      </c>
      <c r="C81" s="96" t="s">
        <v>8380</v>
      </c>
      <c r="D81" s="24" t="s">
        <v>5977</v>
      </c>
      <c r="E81" s="87" t="s">
        <v>8271</v>
      </c>
      <c r="F81" s="87" t="s">
        <v>8271</v>
      </c>
      <c r="G81" s="87" t="s">
        <v>14951</v>
      </c>
      <c r="H81" s="87" t="s">
        <v>8271</v>
      </c>
      <c r="I81" s="87" t="s">
        <v>8271</v>
      </c>
      <c r="J81" s="87" t="s">
        <v>5979</v>
      </c>
      <c r="K81" s="87" t="s">
        <v>14951</v>
      </c>
      <c r="L81" s="267" t="s">
        <v>8379</v>
      </c>
      <c r="M81" s="190" t="s">
        <v>5942</v>
      </c>
      <c r="N81" s="188" t="s">
        <v>8282</v>
      </c>
      <c r="O81" s="191" t="s">
        <v>8547</v>
      </c>
      <c r="P81" s="176" t="s">
        <v>8548</v>
      </c>
      <c r="Q81" s="142" t="s">
        <v>15073</v>
      </c>
      <c r="R81" s="158" t="s">
        <v>15072</v>
      </c>
      <c r="S81" s="280" t="s">
        <v>15068</v>
      </c>
      <c r="T81" s="225" t="s">
        <v>4936</v>
      </c>
      <c r="U81" s="193">
        <v>41576</v>
      </c>
      <c r="V81" s="193">
        <v>41576</v>
      </c>
      <c r="W81" s="194">
        <f>IF(OR(U81="",V81="")," ",( V81-U81 + 1) - ((fWorkDay(U81,V81)-U81) - (V81-U81)))</f>
        <v>1</v>
      </c>
      <c r="X81" s="193">
        <v>41576</v>
      </c>
      <c r="Y81" s="193">
        <v>41576</v>
      </c>
      <c r="Z81" s="194">
        <f>IF(OR(X81="",Y81="")," ",( Y81-X81 + 1) - ((fWorkDay(X81,Y81)-X81) - (Y81-X81)))</f>
        <v>1</v>
      </c>
      <c r="AA81" s="188" t="s">
        <v>5546</v>
      </c>
      <c r="AB81" s="226"/>
    </row>
    <row r="82" spans="2:28" ht="33">
      <c r="B82" s="188">
        <f t="shared" si="3"/>
        <v>118</v>
      </c>
      <c r="C82" s="96" t="s">
        <v>8380</v>
      </c>
      <c r="D82" s="24" t="s">
        <v>5977</v>
      </c>
      <c r="E82" s="87" t="s">
        <v>8271</v>
      </c>
      <c r="F82" s="87" t="s">
        <v>8271</v>
      </c>
      <c r="G82" s="87" t="s">
        <v>14951</v>
      </c>
      <c r="H82" s="87" t="s">
        <v>8271</v>
      </c>
      <c r="I82" s="87" t="s">
        <v>8271</v>
      </c>
      <c r="J82" s="87" t="s">
        <v>5979</v>
      </c>
      <c r="K82" s="87" t="s">
        <v>14951</v>
      </c>
      <c r="L82" s="267" t="s">
        <v>8379</v>
      </c>
      <c r="M82" s="190" t="s">
        <v>5942</v>
      </c>
      <c r="N82" s="188" t="s">
        <v>8282</v>
      </c>
      <c r="O82" s="191" t="s">
        <v>8547</v>
      </c>
      <c r="P82" s="176" t="s">
        <v>8548</v>
      </c>
      <c r="Q82" s="142" t="s">
        <v>15073</v>
      </c>
      <c r="R82" s="158" t="s">
        <v>15071</v>
      </c>
      <c r="S82" s="280" t="s">
        <v>15064</v>
      </c>
      <c r="T82" s="225" t="s">
        <v>4936</v>
      </c>
      <c r="U82" s="193">
        <v>41576</v>
      </c>
      <c r="V82" s="193">
        <v>41576</v>
      </c>
      <c r="W82" s="194">
        <f>IF(OR(U82="",V82="")," ",( V82-U82 + 1) - ((fWorkDay(U82,V82)-U82) - (V82-U82)))</f>
        <v>1</v>
      </c>
      <c r="X82" s="193">
        <v>41576</v>
      </c>
      <c r="Y82" s="193">
        <v>41576</v>
      </c>
      <c r="Z82" s="194">
        <f>IF(OR(X82="",Y82="")," ",( Y82-X82 + 1) - ((fWorkDay(X82,Y82)-X82) - (Y82-X82)))</f>
        <v>1</v>
      </c>
      <c r="AA82" s="188" t="s">
        <v>5546</v>
      </c>
      <c r="AB82" s="226"/>
    </row>
    <row r="83" spans="2:28" ht="33">
      <c r="B83" s="188">
        <f t="shared" si="3"/>
        <v>117</v>
      </c>
      <c r="C83" s="96" t="s">
        <v>8380</v>
      </c>
      <c r="D83" s="24" t="s">
        <v>5977</v>
      </c>
      <c r="E83" s="87" t="s">
        <v>8271</v>
      </c>
      <c r="F83" s="87" t="s">
        <v>8271</v>
      </c>
      <c r="G83" s="87" t="s">
        <v>14951</v>
      </c>
      <c r="H83" s="87" t="s">
        <v>8271</v>
      </c>
      <c r="I83" s="87" t="s">
        <v>8271</v>
      </c>
      <c r="J83" s="87" t="s">
        <v>5979</v>
      </c>
      <c r="K83" s="87" t="s">
        <v>14951</v>
      </c>
      <c r="L83" s="267" t="s">
        <v>8379</v>
      </c>
      <c r="M83" s="190" t="s">
        <v>5942</v>
      </c>
      <c r="N83" s="188" t="s">
        <v>8282</v>
      </c>
      <c r="O83" s="191" t="s">
        <v>8547</v>
      </c>
      <c r="P83" s="176" t="s">
        <v>8548</v>
      </c>
      <c r="Q83" s="142" t="s">
        <v>15073</v>
      </c>
      <c r="R83" s="158" t="s">
        <v>15069</v>
      </c>
      <c r="S83" s="280" t="s">
        <v>15066</v>
      </c>
      <c r="T83" s="225" t="s">
        <v>4936</v>
      </c>
      <c r="U83" s="193">
        <v>41576</v>
      </c>
      <c r="V83" s="193">
        <v>41576</v>
      </c>
      <c r="W83" s="194">
        <f>IF(OR(U83="",V83="")," ",( V83-U83 + 1) - ((fWorkDay(U83,V83)-U83) - (V83-U83)))</f>
        <v>1</v>
      </c>
      <c r="X83" s="193">
        <v>41576</v>
      </c>
      <c r="Y83" s="193">
        <v>41576</v>
      </c>
      <c r="Z83" s="194">
        <f>IF(OR(X83="",Y83="")," ",( Y83-X83 + 1) - ((fWorkDay(X83,Y83)-X83) - (Y83-X83)))</f>
        <v>1</v>
      </c>
      <c r="AA83" s="188" t="s">
        <v>5546</v>
      </c>
      <c r="AB83" s="226"/>
    </row>
    <row r="84" spans="2:28" ht="33">
      <c r="B84" s="188">
        <f t="shared" si="3"/>
        <v>116</v>
      </c>
      <c r="C84" s="96" t="s">
        <v>8380</v>
      </c>
      <c r="D84" s="24" t="s">
        <v>5977</v>
      </c>
      <c r="E84" s="87" t="s">
        <v>8271</v>
      </c>
      <c r="F84" s="87" t="s">
        <v>8271</v>
      </c>
      <c r="G84" s="87" t="s">
        <v>14951</v>
      </c>
      <c r="H84" s="87" t="s">
        <v>8271</v>
      </c>
      <c r="I84" s="87" t="s">
        <v>8271</v>
      </c>
      <c r="J84" s="87" t="s">
        <v>5979</v>
      </c>
      <c r="K84" s="87" t="s">
        <v>14951</v>
      </c>
      <c r="L84" s="267" t="s">
        <v>8379</v>
      </c>
      <c r="M84" s="190" t="s">
        <v>5942</v>
      </c>
      <c r="N84" s="188" t="s">
        <v>8282</v>
      </c>
      <c r="O84" s="191" t="s">
        <v>8547</v>
      </c>
      <c r="P84" s="176" t="s">
        <v>8548</v>
      </c>
      <c r="Q84" s="142" t="s">
        <v>15073</v>
      </c>
      <c r="R84" s="158" t="s">
        <v>15070</v>
      </c>
      <c r="S84" s="280" t="s">
        <v>15067</v>
      </c>
      <c r="T84" s="225" t="s">
        <v>4936</v>
      </c>
      <c r="U84" s="193">
        <v>41576</v>
      </c>
      <c r="V84" s="193">
        <v>41576</v>
      </c>
      <c r="W84" s="194">
        <f>IF(OR(U84="",V84="")," ",( V84-U84 + 1) - ((fWorkDay(U84,V84)-U84) - (V84-U84)))</f>
        <v>1</v>
      </c>
      <c r="X84" s="193">
        <v>41576</v>
      </c>
      <c r="Y84" s="193">
        <v>41576</v>
      </c>
      <c r="Z84" s="194">
        <f>IF(OR(X84="",Y84="")," ",( Y84-X84 + 1) - ((fWorkDay(X84,Y84)-X84) - (Y84-X84)))</f>
        <v>1</v>
      </c>
      <c r="AA84" s="188" t="s">
        <v>5546</v>
      </c>
      <c r="AB84" s="226"/>
    </row>
    <row r="85" spans="2:28" s="269" customFormat="1" ht="33">
      <c r="B85" s="188">
        <f t="shared" si="3"/>
        <v>115</v>
      </c>
      <c r="C85" s="96" t="s">
        <v>5907</v>
      </c>
      <c r="D85" s="24" t="s">
        <v>5977</v>
      </c>
      <c r="E85" s="257" t="s">
        <v>15023</v>
      </c>
      <c r="F85" s="257" t="s">
        <v>14986</v>
      </c>
      <c r="G85" s="257" t="s">
        <v>14977</v>
      </c>
      <c r="H85" s="257" t="s">
        <v>15046</v>
      </c>
      <c r="I85" s="257" t="s">
        <v>15053</v>
      </c>
      <c r="J85" s="257" t="s">
        <v>5979</v>
      </c>
      <c r="K85" s="257" t="s">
        <v>14952</v>
      </c>
      <c r="L85" s="267" t="s">
        <v>8379</v>
      </c>
      <c r="M85" s="190" t="s">
        <v>5942</v>
      </c>
      <c r="N85" s="188" t="s">
        <v>8282</v>
      </c>
      <c r="O85" s="191" t="s">
        <v>15010</v>
      </c>
      <c r="P85" s="313" t="s">
        <v>8912</v>
      </c>
      <c r="Q85" s="313" t="s">
        <v>9034</v>
      </c>
      <c r="R85" s="314" t="s">
        <v>9001</v>
      </c>
      <c r="S85" s="256" t="s">
        <v>9023</v>
      </c>
      <c r="T85" s="315" t="s">
        <v>4936</v>
      </c>
      <c r="U85" s="266"/>
      <c r="V85" s="266"/>
      <c r="W85" s="194" t="str">
        <f>IF(OR(U85="",V85="")," ",( V85-U85 + 1) - ((fWorkDay(U85,V85)-U85) - (V85-U85)))</f>
        <v xml:space="preserve"> </v>
      </c>
      <c r="X85" s="266">
        <v>41581</v>
      </c>
      <c r="Y85" s="266">
        <v>41581</v>
      </c>
      <c r="Z85" s="194">
        <f>IF(OR(X85="",Y85="")," ",( Y85-X85 + 1) - ((fWorkDay(X85,Y85)-X85) - (Y85-X85)))</f>
        <v>1</v>
      </c>
      <c r="AA85" s="267" t="s">
        <v>3471</v>
      </c>
      <c r="AB85" s="321"/>
    </row>
    <row r="86" spans="2:28" s="269" customFormat="1">
      <c r="B86" s="188">
        <f t="shared" si="3"/>
        <v>114</v>
      </c>
      <c r="C86" s="96" t="s">
        <v>5907</v>
      </c>
      <c r="D86" s="24" t="s">
        <v>5977</v>
      </c>
      <c r="E86" s="257" t="s">
        <v>15024</v>
      </c>
      <c r="F86" s="257" t="s">
        <v>14985</v>
      </c>
      <c r="G86" s="257" t="s">
        <v>14987</v>
      </c>
      <c r="H86" s="257" t="s">
        <v>15049</v>
      </c>
      <c r="I86" s="257" t="s">
        <v>15053</v>
      </c>
      <c r="J86" s="257" t="s">
        <v>5979</v>
      </c>
      <c r="K86" s="257" t="s">
        <v>14954</v>
      </c>
      <c r="L86" s="267" t="s">
        <v>8379</v>
      </c>
      <c r="M86" s="190" t="s">
        <v>5942</v>
      </c>
      <c r="N86" s="188" t="s">
        <v>8282</v>
      </c>
      <c r="O86" s="191" t="s">
        <v>15010</v>
      </c>
      <c r="P86" s="313" t="s">
        <v>8912</v>
      </c>
      <c r="Q86" s="313" t="s">
        <v>9034</v>
      </c>
      <c r="R86" s="314" t="s">
        <v>9002</v>
      </c>
      <c r="S86" s="256" t="s">
        <v>9022</v>
      </c>
      <c r="T86" s="315" t="s">
        <v>4936</v>
      </c>
      <c r="U86" s="266"/>
      <c r="V86" s="266"/>
      <c r="W86" s="194" t="str">
        <f>IF(OR(U86="",V86="")," ",( V86-U86 + 1) - ((fWorkDay(U86,V86)-U86) - (V86-U86)))</f>
        <v xml:space="preserve"> </v>
      </c>
      <c r="X86" s="266">
        <v>41581</v>
      </c>
      <c r="Y86" s="266">
        <v>41581</v>
      </c>
      <c r="Z86" s="194">
        <f>IF(OR(X86="",Y86="")," ",( Y86-X86 + 1) - ((fWorkDay(X86,Y86)-X86) - (Y86-X86)))</f>
        <v>1</v>
      </c>
      <c r="AA86" s="267" t="s">
        <v>3471</v>
      </c>
      <c r="AB86" s="321"/>
    </row>
    <row r="87" spans="2:28" s="269" customFormat="1">
      <c r="B87" s="188">
        <f t="shared" ref="B87:B123" si="5">B88+1</f>
        <v>113</v>
      </c>
      <c r="C87" s="96" t="s">
        <v>5907</v>
      </c>
      <c r="D87" s="24" t="s">
        <v>5977</v>
      </c>
      <c r="E87" s="257" t="s">
        <v>15024</v>
      </c>
      <c r="F87" s="257" t="s">
        <v>14983</v>
      </c>
      <c r="G87" s="257" t="s">
        <v>14981</v>
      </c>
      <c r="H87" s="257" t="s">
        <v>15049</v>
      </c>
      <c r="I87" s="257" t="s">
        <v>15036</v>
      </c>
      <c r="J87" s="257" t="s">
        <v>5979</v>
      </c>
      <c r="K87" s="257" t="s">
        <v>14954</v>
      </c>
      <c r="L87" s="267" t="s">
        <v>8379</v>
      </c>
      <c r="M87" s="190" t="s">
        <v>5942</v>
      </c>
      <c r="N87" s="188" t="s">
        <v>8282</v>
      </c>
      <c r="O87" s="191" t="s">
        <v>8911</v>
      </c>
      <c r="P87" s="313" t="s">
        <v>8912</v>
      </c>
      <c r="Q87" s="263"/>
      <c r="R87" s="314" t="s">
        <v>9011</v>
      </c>
      <c r="S87" s="256" t="s">
        <v>9030</v>
      </c>
      <c r="T87" s="315" t="s">
        <v>4936</v>
      </c>
      <c r="U87" s="266"/>
      <c r="V87" s="266"/>
      <c r="W87" s="194" t="str">
        <f>IF(OR(U87="",V87="")," ",( V87-U87 + 1) - ((fWorkDay(U87,V87)-U87) - (V87-U87)))</f>
        <v xml:space="preserve"> </v>
      </c>
      <c r="X87" s="266">
        <v>41584</v>
      </c>
      <c r="Y87" s="266">
        <v>41584</v>
      </c>
      <c r="Z87" s="194">
        <f>IF(OR(X87="",Y87="")," ",( Y87-X87 + 1) - ((fWorkDay(X87,Y87)-X87) - (Y87-X87)))</f>
        <v>1</v>
      </c>
      <c r="AA87" s="267" t="s">
        <v>5546</v>
      </c>
      <c r="AB87" s="321"/>
    </row>
    <row r="88" spans="2:28" s="269" customFormat="1">
      <c r="B88" s="188">
        <f t="shared" si="5"/>
        <v>112</v>
      </c>
      <c r="C88" s="96" t="s">
        <v>5907</v>
      </c>
      <c r="D88" s="24" t="s">
        <v>5977</v>
      </c>
      <c r="E88" s="257" t="s">
        <v>14978</v>
      </c>
      <c r="F88" s="257" t="s">
        <v>14978</v>
      </c>
      <c r="G88" s="257" t="s">
        <v>14978</v>
      </c>
      <c r="H88" s="257" t="s">
        <v>15033</v>
      </c>
      <c r="I88" s="257" t="s">
        <v>15033</v>
      </c>
      <c r="J88" s="257" t="s">
        <v>5979</v>
      </c>
      <c r="K88" s="257" t="s">
        <v>14951</v>
      </c>
      <c r="L88" s="267" t="s">
        <v>8379</v>
      </c>
      <c r="M88" s="190" t="s">
        <v>5942</v>
      </c>
      <c r="N88" s="188" t="s">
        <v>8282</v>
      </c>
      <c r="O88" s="191"/>
      <c r="P88" s="313" t="s">
        <v>9033</v>
      </c>
      <c r="Q88" s="263"/>
      <c r="R88" s="314" t="s">
        <v>15083</v>
      </c>
      <c r="S88" s="256" t="s">
        <v>9036</v>
      </c>
      <c r="T88" s="315" t="s">
        <v>4936</v>
      </c>
      <c r="U88" s="266"/>
      <c r="V88" s="266"/>
      <c r="W88" s="194" t="str">
        <f>IF(OR(U88="",V88="")," ",( V88-U88 + 1) - ((fWorkDay(U88,V88)-U88) - (V88-U88)))</f>
        <v xml:space="preserve"> </v>
      </c>
      <c r="X88" s="266">
        <v>41584</v>
      </c>
      <c r="Y88" s="266">
        <v>41584</v>
      </c>
      <c r="Z88" s="194">
        <f>IF(OR(X88="",Y88="")," ",( Y88-X88 + 1) - ((fWorkDay(X88,Y88)-X88) - (Y88-X88)))</f>
        <v>1</v>
      </c>
      <c r="AA88" s="267" t="s">
        <v>5546</v>
      </c>
      <c r="AB88" s="321"/>
    </row>
    <row r="89" spans="2:28" s="269" customFormat="1">
      <c r="B89" s="188">
        <f t="shared" si="5"/>
        <v>111</v>
      </c>
      <c r="C89" s="96" t="s">
        <v>5907</v>
      </c>
      <c r="D89" s="24" t="s">
        <v>5977</v>
      </c>
      <c r="E89" s="257" t="s">
        <v>14978</v>
      </c>
      <c r="F89" s="257" t="s">
        <v>14978</v>
      </c>
      <c r="G89" s="257" t="s">
        <v>14978</v>
      </c>
      <c r="H89" s="257" t="s">
        <v>15033</v>
      </c>
      <c r="I89" s="257" t="s">
        <v>15033</v>
      </c>
      <c r="J89" s="257" t="s">
        <v>5979</v>
      </c>
      <c r="K89" s="257" t="s">
        <v>14951</v>
      </c>
      <c r="L89" s="267" t="s">
        <v>8379</v>
      </c>
      <c r="M89" s="190" t="s">
        <v>5942</v>
      </c>
      <c r="N89" s="188" t="s">
        <v>8282</v>
      </c>
      <c r="O89" s="191"/>
      <c r="P89" s="313" t="s">
        <v>9033</v>
      </c>
      <c r="Q89" s="263"/>
      <c r="R89" s="314" t="s">
        <v>9004</v>
      </c>
      <c r="S89" s="256" t="s">
        <v>9873</v>
      </c>
      <c r="T89" s="315" t="s">
        <v>4936</v>
      </c>
      <c r="U89" s="266"/>
      <c r="V89" s="266"/>
      <c r="W89" s="194" t="str">
        <f>IF(OR(U89="",V89="")," ",( V89-U89 + 1) - ((fWorkDay(U89,V89)-U89) - (V89-U89)))</f>
        <v xml:space="preserve"> </v>
      </c>
      <c r="X89" s="266">
        <v>41582</v>
      </c>
      <c r="Y89" s="266">
        <v>41582</v>
      </c>
      <c r="Z89" s="194">
        <f>IF(OR(X89="",Y89="")," ",( Y89-X89 + 1) - ((fWorkDay(X89,Y89)-X89) - (Y89-X89)))</f>
        <v>1</v>
      </c>
      <c r="AA89" s="267" t="s">
        <v>5546</v>
      </c>
      <c r="AB89" s="321"/>
    </row>
    <row r="90" spans="2:28" s="269" customFormat="1">
      <c r="B90" s="188">
        <f t="shared" si="5"/>
        <v>110</v>
      </c>
      <c r="C90" s="96" t="s">
        <v>5907</v>
      </c>
      <c r="D90" s="24" t="s">
        <v>5977</v>
      </c>
      <c r="E90" s="257" t="s">
        <v>14978</v>
      </c>
      <c r="F90" s="257" t="s">
        <v>14978</v>
      </c>
      <c r="G90" s="257" t="s">
        <v>14978</v>
      </c>
      <c r="H90" s="257" t="s">
        <v>15033</v>
      </c>
      <c r="I90" s="257" t="s">
        <v>15033</v>
      </c>
      <c r="J90" s="257" t="s">
        <v>5979</v>
      </c>
      <c r="K90" s="257" t="s">
        <v>14951</v>
      </c>
      <c r="L90" s="267" t="s">
        <v>8379</v>
      </c>
      <c r="M90" s="190" t="s">
        <v>5942</v>
      </c>
      <c r="N90" s="188" t="s">
        <v>8282</v>
      </c>
      <c r="O90" s="191"/>
      <c r="P90" s="313" t="s">
        <v>9033</v>
      </c>
      <c r="Q90" s="263"/>
      <c r="R90" s="314" t="s">
        <v>9038</v>
      </c>
      <c r="S90" s="256" t="s">
        <v>9037</v>
      </c>
      <c r="T90" s="315" t="s">
        <v>4936</v>
      </c>
      <c r="U90" s="266"/>
      <c r="V90" s="266"/>
      <c r="W90" s="194" t="str">
        <f>IF(OR(U90="",V90="")," ",( V90-U90 + 1) - ((fWorkDay(U90,V90)-U90) - (V90-U90)))</f>
        <v xml:space="preserve"> </v>
      </c>
      <c r="X90" s="266">
        <v>41584</v>
      </c>
      <c r="Y90" s="266">
        <v>41584</v>
      </c>
      <c r="Z90" s="194">
        <f>IF(OR(X90="",Y90="")," ",( Y90-X90 + 1) - ((fWorkDay(X90,Y90)-X90) - (Y90-X90)))</f>
        <v>1</v>
      </c>
      <c r="AA90" s="267" t="s">
        <v>5546</v>
      </c>
      <c r="AB90" s="321"/>
    </row>
    <row r="91" spans="2:28" s="269" customFormat="1">
      <c r="B91" s="188">
        <f t="shared" si="5"/>
        <v>109</v>
      </c>
      <c r="C91" s="96" t="s">
        <v>5907</v>
      </c>
      <c r="D91" s="24" t="s">
        <v>5977</v>
      </c>
      <c r="E91" s="257" t="s">
        <v>15025</v>
      </c>
      <c r="F91" s="257" t="s">
        <v>14984</v>
      </c>
      <c r="G91" s="257" t="s">
        <v>14982</v>
      </c>
      <c r="H91" s="257" t="s">
        <v>15049</v>
      </c>
      <c r="I91" s="257" t="s">
        <v>15053</v>
      </c>
      <c r="J91" s="257" t="s">
        <v>5979</v>
      </c>
      <c r="K91" s="257" t="s">
        <v>14952</v>
      </c>
      <c r="L91" s="267" t="s">
        <v>8379</v>
      </c>
      <c r="M91" s="190" t="s">
        <v>5942</v>
      </c>
      <c r="N91" s="188" t="s">
        <v>8282</v>
      </c>
      <c r="O91" s="191" t="s">
        <v>15010</v>
      </c>
      <c r="P91" s="313" t="s">
        <v>8912</v>
      </c>
      <c r="Q91" s="313" t="s">
        <v>9034</v>
      </c>
      <c r="R91" s="314" t="s">
        <v>9007</v>
      </c>
      <c r="S91" s="256" t="s">
        <v>9017</v>
      </c>
      <c r="T91" s="315" t="s">
        <v>4936</v>
      </c>
      <c r="U91" s="266"/>
      <c r="V91" s="266"/>
      <c r="W91" s="194" t="str">
        <f>IF(OR(U91="",V91="")," ",( V91-U91 + 1) - ((fWorkDay(U91,V91)-U91) - (V91-U91)))</f>
        <v xml:space="preserve"> </v>
      </c>
      <c r="X91" s="266">
        <v>41584</v>
      </c>
      <c r="Y91" s="266">
        <v>41584</v>
      </c>
      <c r="Z91" s="194">
        <f>IF(OR(X91="",Y91="")," ",( Y91-X91 + 1) - ((fWorkDay(X91,Y91)-X91) - (Y91-X91)))</f>
        <v>1</v>
      </c>
      <c r="AA91" s="267" t="s">
        <v>5546</v>
      </c>
      <c r="AB91" s="321"/>
    </row>
    <row r="92" spans="2:28" s="269" customFormat="1">
      <c r="B92" s="188">
        <f t="shared" si="5"/>
        <v>108</v>
      </c>
      <c r="C92" s="96" t="s">
        <v>5907</v>
      </c>
      <c r="D92" s="24" t="s">
        <v>5977</v>
      </c>
      <c r="E92" s="257" t="s">
        <v>15024</v>
      </c>
      <c r="F92" s="257" t="s">
        <v>14983</v>
      </c>
      <c r="G92" s="257" t="s">
        <v>14981</v>
      </c>
      <c r="H92" s="257" t="s">
        <v>15049</v>
      </c>
      <c r="I92" s="257" t="s">
        <v>15053</v>
      </c>
      <c r="J92" s="257" t="s">
        <v>5979</v>
      </c>
      <c r="K92" s="257" t="s">
        <v>14954</v>
      </c>
      <c r="L92" s="267" t="s">
        <v>8379</v>
      </c>
      <c r="M92" s="190" t="s">
        <v>5942</v>
      </c>
      <c r="N92" s="188" t="s">
        <v>8282</v>
      </c>
      <c r="O92" s="191" t="s">
        <v>15010</v>
      </c>
      <c r="P92" s="313" t="s">
        <v>8912</v>
      </c>
      <c r="Q92" s="313" t="s">
        <v>9034</v>
      </c>
      <c r="R92" s="314" t="s">
        <v>9008</v>
      </c>
      <c r="S92" s="256" t="s">
        <v>9015</v>
      </c>
      <c r="T92" s="315" t="s">
        <v>4936</v>
      </c>
      <c r="U92" s="266"/>
      <c r="V92" s="266"/>
      <c r="W92" s="194" t="str">
        <f>IF(OR(U92="",V92="")," ",( V92-U92 + 1) - ((fWorkDay(U92,V92)-U92) - (V92-U92)))</f>
        <v xml:space="preserve"> </v>
      </c>
      <c r="X92" s="266">
        <v>41584</v>
      </c>
      <c r="Y92" s="266">
        <v>41584</v>
      </c>
      <c r="Z92" s="194">
        <f>IF(OR(X92="",Y92="")," ",( Y92-X92 + 1) - ((fWorkDay(X92,Y92)-X92) - (Y92-X92)))</f>
        <v>1</v>
      </c>
      <c r="AA92" s="267" t="s">
        <v>5546</v>
      </c>
      <c r="AB92" s="321"/>
    </row>
    <row r="93" spans="2:28" s="269" customFormat="1">
      <c r="B93" s="188">
        <f t="shared" si="5"/>
        <v>107</v>
      </c>
      <c r="C93" s="96" t="s">
        <v>5907</v>
      </c>
      <c r="D93" s="24" t="s">
        <v>5977</v>
      </c>
      <c r="E93" s="257" t="s">
        <v>15024</v>
      </c>
      <c r="F93" s="257" t="s">
        <v>14986</v>
      </c>
      <c r="G93" s="257" t="s">
        <v>14980</v>
      </c>
      <c r="H93" s="257" t="s">
        <v>15049</v>
      </c>
      <c r="I93" s="257" t="s">
        <v>15036</v>
      </c>
      <c r="J93" s="257" t="s">
        <v>5979</v>
      </c>
      <c r="K93" s="257" t="s">
        <v>14953</v>
      </c>
      <c r="L93" s="267" t="s">
        <v>8379</v>
      </c>
      <c r="M93" s="190" t="s">
        <v>5942</v>
      </c>
      <c r="N93" s="188" t="s">
        <v>8282</v>
      </c>
      <c r="O93" s="191" t="s">
        <v>15010</v>
      </c>
      <c r="P93" s="313" t="s">
        <v>8912</v>
      </c>
      <c r="Q93" s="313" t="s">
        <v>9034</v>
      </c>
      <c r="R93" s="314" t="s">
        <v>9003</v>
      </c>
      <c r="S93" s="256" t="s">
        <v>9031</v>
      </c>
      <c r="T93" s="315" t="s">
        <v>4936</v>
      </c>
      <c r="U93" s="266"/>
      <c r="V93" s="266"/>
      <c r="W93" s="194" t="str">
        <f>IF(OR(U93="",V93="")," ",( V93-U93 + 1) - ((fWorkDay(U93,V93)-U93) - (V93-U93)))</f>
        <v xml:space="preserve"> </v>
      </c>
      <c r="X93" s="266">
        <v>41583</v>
      </c>
      <c r="Y93" s="266">
        <v>41583</v>
      </c>
      <c r="Z93" s="194">
        <f>IF(OR(X93="",Y93="")," ",( Y93-X93 + 1) - ((fWorkDay(X93,Y93)-X93) - (Y93-X93)))</f>
        <v>1</v>
      </c>
      <c r="AA93" s="267" t="s">
        <v>5546</v>
      </c>
      <c r="AB93" s="321"/>
    </row>
    <row r="94" spans="2:28" s="269" customFormat="1">
      <c r="B94" s="188">
        <f t="shared" si="5"/>
        <v>106</v>
      </c>
      <c r="C94" s="96" t="s">
        <v>5907</v>
      </c>
      <c r="D94" s="24" t="s">
        <v>5977</v>
      </c>
      <c r="E94" s="257" t="s">
        <v>15023</v>
      </c>
      <c r="F94" s="257" t="s">
        <v>14986</v>
      </c>
      <c r="G94" s="257" t="s">
        <v>14977</v>
      </c>
      <c r="H94" s="257" t="s">
        <v>15041</v>
      </c>
      <c r="I94" s="257" t="s">
        <v>15053</v>
      </c>
      <c r="J94" s="257" t="s">
        <v>5979</v>
      </c>
      <c r="K94" s="257" t="s">
        <v>14952</v>
      </c>
      <c r="L94" s="267" t="s">
        <v>8379</v>
      </c>
      <c r="M94" s="190" t="s">
        <v>5942</v>
      </c>
      <c r="N94" s="188" t="s">
        <v>8282</v>
      </c>
      <c r="O94" s="191" t="s">
        <v>15010</v>
      </c>
      <c r="P94" s="313" t="s">
        <v>8912</v>
      </c>
      <c r="Q94" s="313" t="s">
        <v>9034</v>
      </c>
      <c r="R94" s="314" t="s">
        <v>9012</v>
      </c>
      <c r="S94" s="256" t="s">
        <v>9028</v>
      </c>
      <c r="T94" s="315" t="s">
        <v>4936</v>
      </c>
      <c r="U94" s="266"/>
      <c r="V94" s="266"/>
      <c r="W94" s="194" t="str">
        <f>IF(OR(U94="",V94="")," ",( V94-U94 + 1) - ((fWorkDay(U94,V94)-U94) - (V94-U94)))</f>
        <v xml:space="preserve"> </v>
      </c>
      <c r="X94" s="266">
        <v>41584</v>
      </c>
      <c r="Y94" s="266">
        <v>41584</v>
      </c>
      <c r="Z94" s="194">
        <f>IF(OR(X94="",Y94="")," ",( Y94-X94 + 1) - ((fWorkDay(X94,Y94)-X94) - (Y94-X94)))</f>
        <v>1</v>
      </c>
      <c r="AA94" s="267" t="s">
        <v>5546</v>
      </c>
      <c r="AB94" s="321"/>
    </row>
    <row r="95" spans="2:28" s="269" customFormat="1">
      <c r="B95" s="188">
        <f t="shared" si="5"/>
        <v>105</v>
      </c>
      <c r="C95" s="96" t="s">
        <v>5907</v>
      </c>
      <c r="D95" s="24" t="s">
        <v>5977</v>
      </c>
      <c r="E95" s="257" t="s">
        <v>15024</v>
      </c>
      <c r="F95" s="257" t="s">
        <v>14985</v>
      </c>
      <c r="G95" s="257" t="s">
        <v>14987</v>
      </c>
      <c r="H95" s="257" t="s">
        <v>15049</v>
      </c>
      <c r="I95" s="257" t="s">
        <v>15053</v>
      </c>
      <c r="J95" s="257" t="s">
        <v>5979</v>
      </c>
      <c r="K95" s="257" t="s">
        <v>14954</v>
      </c>
      <c r="L95" s="267" t="s">
        <v>8379</v>
      </c>
      <c r="M95" s="190" t="s">
        <v>5942</v>
      </c>
      <c r="N95" s="188" t="s">
        <v>8282</v>
      </c>
      <c r="O95" s="191" t="s">
        <v>15010</v>
      </c>
      <c r="P95" s="313" t="s">
        <v>8912</v>
      </c>
      <c r="Q95" s="313" t="s">
        <v>9034</v>
      </c>
      <c r="R95" s="314" t="s">
        <v>9006</v>
      </c>
      <c r="S95" s="256" t="s">
        <v>9018</v>
      </c>
      <c r="T95" s="315" t="s">
        <v>4936</v>
      </c>
      <c r="U95" s="266"/>
      <c r="V95" s="266"/>
      <c r="W95" s="194" t="str">
        <f>IF(OR(U95="",V95="")," ",( V95-U95 + 1) - ((fWorkDay(U95,V95)-U95) - (V95-U95)))</f>
        <v xml:space="preserve"> </v>
      </c>
      <c r="X95" s="266">
        <v>41584</v>
      </c>
      <c r="Y95" s="266">
        <v>41584</v>
      </c>
      <c r="Z95" s="194">
        <f>IF(OR(X95="",Y95="")," ",( Y95-X95 + 1) - ((fWorkDay(X95,Y95)-X95) - (Y95-X95)))</f>
        <v>1</v>
      </c>
      <c r="AA95" s="267" t="s">
        <v>5546</v>
      </c>
      <c r="AB95" s="321"/>
    </row>
    <row r="96" spans="2:28" s="269" customFormat="1">
      <c r="B96" s="188">
        <f t="shared" si="5"/>
        <v>104</v>
      </c>
      <c r="C96" s="96" t="s">
        <v>5907</v>
      </c>
      <c r="D96" s="24" t="s">
        <v>5977</v>
      </c>
      <c r="E96" s="257" t="s">
        <v>15023</v>
      </c>
      <c r="F96" s="257" t="s">
        <v>14984</v>
      </c>
      <c r="G96" s="257" t="s">
        <v>14982</v>
      </c>
      <c r="H96" s="257" t="s">
        <v>15046</v>
      </c>
      <c r="I96" s="257" t="s">
        <v>15053</v>
      </c>
      <c r="J96" s="257" t="s">
        <v>5979</v>
      </c>
      <c r="K96" s="257" t="s">
        <v>14952</v>
      </c>
      <c r="L96" s="267" t="s">
        <v>8379</v>
      </c>
      <c r="M96" s="190" t="s">
        <v>5942</v>
      </c>
      <c r="N96" s="188" t="s">
        <v>8282</v>
      </c>
      <c r="O96" s="191" t="s">
        <v>15010</v>
      </c>
      <c r="P96" s="313" t="s">
        <v>8912</v>
      </c>
      <c r="Q96" s="313" t="s">
        <v>9034</v>
      </c>
      <c r="R96" s="314" t="s">
        <v>9009</v>
      </c>
      <c r="S96" s="256" t="s">
        <v>9016</v>
      </c>
      <c r="T96" s="315" t="s">
        <v>4936</v>
      </c>
      <c r="U96" s="266"/>
      <c r="V96" s="266"/>
      <c r="W96" s="194" t="str">
        <f>IF(OR(U96="",V96="")," ",( V96-U96 + 1) - ((fWorkDay(U96,V96)-U96) - (V96-U96)))</f>
        <v xml:space="preserve"> </v>
      </c>
      <c r="X96" s="266">
        <v>41584</v>
      </c>
      <c r="Y96" s="266">
        <v>41584</v>
      </c>
      <c r="Z96" s="194">
        <f>IF(OR(X96="",Y96="")," ",( Y96-X96 + 1) - ((fWorkDay(X96,Y96)-X96) - (Y96-X96)))</f>
        <v>1</v>
      </c>
      <c r="AA96" s="267" t="s">
        <v>5546</v>
      </c>
      <c r="AB96" s="321"/>
    </row>
    <row r="97" spans="2:28" s="269" customFormat="1">
      <c r="B97" s="188">
        <f t="shared" si="5"/>
        <v>103</v>
      </c>
      <c r="C97" s="96" t="s">
        <v>5919</v>
      </c>
      <c r="D97" s="24" t="s">
        <v>5977</v>
      </c>
      <c r="E97" s="257" t="s">
        <v>15025</v>
      </c>
      <c r="F97" s="257" t="s">
        <v>14983</v>
      </c>
      <c r="G97" s="257" t="s">
        <v>14981</v>
      </c>
      <c r="H97" s="257" t="s">
        <v>15049</v>
      </c>
      <c r="I97" s="257" t="s">
        <v>15053</v>
      </c>
      <c r="J97" s="257" t="s">
        <v>5979</v>
      </c>
      <c r="K97" s="257" t="s">
        <v>14954</v>
      </c>
      <c r="L97" s="267" t="s">
        <v>8379</v>
      </c>
      <c r="M97" s="190" t="s">
        <v>5942</v>
      </c>
      <c r="N97" s="188" t="s">
        <v>8282</v>
      </c>
      <c r="O97" s="191" t="s">
        <v>15010</v>
      </c>
      <c r="P97" s="313" t="s">
        <v>8912</v>
      </c>
      <c r="Q97" s="313" t="s">
        <v>9034</v>
      </c>
      <c r="R97" s="314" t="s">
        <v>8996</v>
      </c>
      <c r="S97" s="256" t="s">
        <v>9032</v>
      </c>
      <c r="T97" s="315" t="s">
        <v>4936</v>
      </c>
      <c r="U97" s="266"/>
      <c r="V97" s="266"/>
      <c r="W97" s="194" t="str">
        <f>IF(OR(U97="",V97="")," ",( V97-U97 + 1) - ((fWorkDay(U97,V97)-U97) - (V97-U97)))</f>
        <v xml:space="preserve"> </v>
      </c>
      <c r="X97" s="266">
        <v>41582</v>
      </c>
      <c r="Y97" s="266">
        <v>41582</v>
      </c>
      <c r="Z97" s="194">
        <f>IF(OR(X97="",Y97="")," ",( Y97-X97 + 1) - ((fWorkDay(X97,Y97)-X97) - (Y97-X97)))</f>
        <v>1</v>
      </c>
      <c r="AA97" s="267" t="s">
        <v>5546</v>
      </c>
      <c r="AB97" s="321"/>
    </row>
    <row r="98" spans="2:28" s="269" customFormat="1">
      <c r="B98" s="188">
        <f t="shared" si="5"/>
        <v>102</v>
      </c>
      <c r="C98" s="96" t="s">
        <v>5907</v>
      </c>
      <c r="D98" s="24" t="s">
        <v>5977</v>
      </c>
      <c r="E98" s="257" t="s">
        <v>14978</v>
      </c>
      <c r="F98" s="257" t="s">
        <v>14978</v>
      </c>
      <c r="G98" s="257" t="s">
        <v>14978</v>
      </c>
      <c r="H98" s="257" t="s">
        <v>15033</v>
      </c>
      <c r="I98" s="257" t="s">
        <v>15039</v>
      </c>
      <c r="J98" s="257" t="s">
        <v>5979</v>
      </c>
      <c r="K98" s="257" t="s">
        <v>14951</v>
      </c>
      <c r="L98" s="267" t="s">
        <v>8379</v>
      </c>
      <c r="M98" s="190" t="s">
        <v>5942</v>
      </c>
      <c r="N98" s="188" t="s">
        <v>8282</v>
      </c>
      <c r="O98" s="191"/>
      <c r="P98" s="313" t="s">
        <v>9033</v>
      </c>
      <c r="Q98" s="263"/>
      <c r="R98" s="314" t="s">
        <v>6371</v>
      </c>
      <c r="S98" s="256" t="s">
        <v>9039</v>
      </c>
      <c r="T98" s="315" t="s">
        <v>4936</v>
      </c>
      <c r="U98" s="266"/>
      <c r="V98" s="266"/>
      <c r="W98" s="194" t="str">
        <f>IF(OR(U98="",V98="")," ",( V98-U98 + 1) - ((fWorkDay(U98,V98)-U98) - (V98-U98)))</f>
        <v xml:space="preserve"> </v>
      </c>
      <c r="X98" s="266">
        <v>41582</v>
      </c>
      <c r="Y98" s="266">
        <v>41582</v>
      </c>
      <c r="Z98" s="194">
        <f>IF(OR(X98="",Y98="")," ",( Y98-X98 + 1) - ((fWorkDay(X98,Y98)-X98) - (Y98-X98)))</f>
        <v>1</v>
      </c>
      <c r="AA98" s="267" t="s">
        <v>5546</v>
      </c>
      <c r="AB98" s="321"/>
    </row>
    <row r="99" spans="2:28" s="269" customFormat="1">
      <c r="B99" s="188">
        <f t="shared" si="5"/>
        <v>101</v>
      </c>
      <c r="C99" s="96" t="s">
        <v>5907</v>
      </c>
      <c r="D99" s="24" t="s">
        <v>5977</v>
      </c>
      <c r="E99" s="257" t="s">
        <v>15024</v>
      </c>
      <c r="F99" s="257" t="s">
        <v>14986</v>
      </c>
      <c r="G99" s="257" t="s">
        <v>14980</v>
      </c>
      <c r="H99" s="257" t="s">
        <v>15049</v>
      </c>
      <c r="I99" s="257" t="s">
        <v>15053</v>
      </c>
      <c r="J99" s="257" t="s">
        <v>5979</v>
      </c>
      <c r="K99" s="257" t="s">
        <v>14953</v>
      </c>
      <c r="L99" s="267" t="s">
        <v>8379</v>
      </c>
      <c r="M99" s="190" t="s">
        <v>5942</v>
      </c>
      <c r="N99" s="188" t="s">
        <v>8282</v>
      </c>
      <c r="O99" s="191" t="s">
        <v>8911</v>
      </c>
      <c r="P99" s="313" t="s">
        <v>8912</v>
      </c>
      <c r="Q99" s="313" t="s">
        <v>8912</v>
      </c>
      <c r="R99" s="314" t="s">
        <v>9010</v>
      </c>
      <c r="S99" s="256" t="s">
        <v>9029</v>
      </c>
      <c r="T99" s="315" t="s">
        <v>4936</v>
      </c>
      <c r="U99" s="266"/>
      <c r="V99" s="266"/>
      <c r="W99" s="194" t="str">
        <f>IF(OR(U99="",V99="")," ",( V99-U99 + 1) - ((fWorkDay(U99,V99)-U99) - (V99-U99)))</f>
        <v xml:space="preserve"> </v>
      </c>
      <c r="X99" s="266">
        <v>41584</v>
      </c>
      <c r="Y99" s="266">
        <v>41584</v>
      </c>
      <c r="Z99" s="194">
        <f>IF(OR(X99="",Y99="")," ",( Y99-X99 + 1) - ((fWorkDay(X99,Y99)-X99) - (Y99-X99)))</f>
        <v>1</v>
      </c>
      <c r="AA99" s="267" t="s">
        <v>5546</v>
      </c>
      <c r="AB99" s="321"/>
    </row>
    <row r="100" spans="2:28" s="269" customFormat="1">
      <c r="B100" s="188">
        <f t="shared" si="5"/>
        <v>100</v>
      </c>
      <c r="C100" s="96" t="s">
        <v>5907</v>
      </c>
      <c r="D100" s="24" t="s">
        <v>5977</v>
      </c>
      <c r="E100" s="257" t="s">
        <v>15023</v>
      </c>
      <c r="F100" s="257" t="s">
        <v>14985</v>
      </c>
      <c r="G100" s="257" t="s">
        <v>14987</v>
      </c>
      <c r="H100" s="257" t="s">
        <v>15041</v>
      </c>
      <c r="I100" s="257" t="s">
        <v>15053</v>
      </c>
      <c r="J100" s="257" t="s">
        <v>5979</v>
      </c>
      <c r="K100" s="257" t="s">
        <v>14954</v>
      </c>
      <c r="L100" s="267" t="s">
        <v>8379</v>
      </c>
      <c r="M100" s="190" t="s">
        <v>5942</v>
      </c>
      <c r="N100" s="188" t="s">
        <v>8282</v>
      </c>
      <c r="O100" s="191" t="s">
        <v>15010</v>
      </c>
      <c r="P100" s="313" t="s">
        <v>8912</v>
      </c>
      <c r="Q100" s="313" t="s">
        <v>9033</v>
      </c>
      <c r="R100" s="314"/>
      <c r="S100" s="256" t="s">
        <v>9040</v>
      </c>
      <c r="T100" s="315" t="s">
        <v>4936</v>
      </c>
      <c r="U100" s="266"/>
      <c r="V100" s="266"/>
      <c r="W100" s="194" t="str">
        <f>IF(OR(U100="",V100="")," ",( V100-U100 + 1) - ((fWorkDay(U100,V100)-U100) - (V100-U100)))</f>
        <v xml:space="preserve"> </v>
      </c>
      <c r="X100" s="266">
        <v>41584</v>
      </c>
      <c r="Y100" s="266">
        <v>41584</v>
      </c>
      <c r="Z100" s="194">
        <f>IF(OR(X100="",Y100="")," ",( Y100-X100 + 1) - ((fWorkDay(X100,Y100)-X100) - (Y100-X100)))</f>
        <v>1</v>
      </c>
      <c r="AA100" s="267" t="s">
        <v>5546</v>
      </c>
      <c r="AB100" s="321"/>
    </row>
    <row r="101" spans="2:28">
      <c r="B101" s="188">
        <f t="shared" si="5"/>
        <v>99</v>
      </c>
      <c r="C101" s="96"/>
      <c r="D101" s="24" t="s">
        <v>5977</v>
      </c>
      <c r="E101" s="87" t="s">
        <v>14978</v>
      </c>
      <c r="F101" s="87" t="s">
        <v>14978</v>
      </c>
      <c r="G101" s="87" t="s">
        <v>14978</v>
      </c>
      <c r="H101" s="87" t="s">
        <v>15033</v>
      </c>
      <c r="I101" s="87" t="s">
        <v>15039</v>
      </c>
      <c r="J101" s="87" t="s">
        <v>5979</v>
      </c>
      <c r="K101" s="87" t="s">
        <v>14951</v>
      </c>
      <c r="L101" s="188" t="s">
        <v>8379</v>
      </c>
      <c r="M101" s="190" t="s">
        <v>5942</v>
      </c>
      <c r="N101" s="188" t="s">
        <v>8282</v>
      </c>
      <c r="O101" s="191"/>
      <c r="P101" s="313" t="s">
        <v>9033</v>
      </c>
      <c r="Q101" s="142"/>
      <c r="R101" s="158" t="s">
        <v>6373</v>
      </c>
      <c r="S101" s="280" t="s">
        <v>8554</v>
      </c>
      <c r="T101" s="225" t="s">
        <v>4936</v>
      </c>
      <c r="U101" s="193">
        <v>41533</v>
      </c>
      <c r="V101" s="193">
        <v>41534</v>
      </c>
      <c r="W101" s="194">
        <f>IF(OR(U101="",V101="")," ",( V101-U101 + 1) - ((fWorkDay(U101,V101)-U101) - (V101-U101)))</f>
        <v>2</v>
      </c>
      <c r="X101" s="193">
        <v>41527</v>
      </c>
      <c r="Y101" s="193"/>
      <c r="Z101" s="194" t="str">
        <f>IF(OR(X101="",Y101="")," ",( Y101-X101 + 1) - ((fWorkDay(X101,Y101)-X101) - (Y101-X101)))</f>
        <v xml:space="preserve"> </v>
      </c>
      <c r="AA101" s="188" t="s">
        <v>5546</v>
      </c>
      <c r="AB101" s="226"/>
    </row>
    <row r="102" spans="2:28">
      <c r="B102" s="188">
        <f t="shared" si="5"/>
        <v>98</v>
      </c>
      <c r="C102" s="96"/>
      <c r="D102" s="24" t="s">
        <v>5977</v>
      </c>
      <c r="E102" s="87" t="s">
        <v>14978</v>
      </c>
      <c r="F102" s="87" t="s">
        <v>14978</v>
      </c>
      <c r="G102" s="87" t="s">
        <v>14978</v>
      </c>
      <c r="H102" s="87" t="s">
        <v>15033</v>
      </c>
      <c r="I102" s="87" t="s">
        <v>15039</v>
      </c>
      <c r="J102" s="87" t="s">
        <v>5979</v>
      </c>
      <c r="K102" s="87" t="s">
        <v>14951</v>
      </c>
      <c r="L102" s="188" t="s">
        <v>8379</v>
      </c>
      <c r="M102" s="190" t="s">
        <v>5942</v>
      </c>
      <c r="N102" s="188" t="s">
        <v>8282</v>
      </c>
      <c r="O102" s="191"/>
      <c r="P102" s="313" t="s">
        <v>9033</v>
      </c>
      <c r="Q102" s="142"/>
      <c r="R102" s="158" t="s">
        <v>6377</v>
      </c>
      <c r="S102" s="280" t="s">
        <v>9041</v>
      </c>
      <c r="T102" s="225" t="s">
        <v>4936</v>
      </c>
      <c r="U102" s="193">
        <v>41533</v>
      </c>
      <c r="V102" s="193">
        <v>41534</v>
      </c>
      <c r="W102" s="194">
        <f>IF(OR(U102="",V102="")," ",( V102-U102 + 1) - ((fWorkDay(U102,V102)-U102) - (V102-U102)))</f>
        <v>2</v>
      </c>
      <c r="X102" s="193">
        <v>41527</v>
      </c>
      <c r="Y102" s="193"/>
      <c r="Z102" s="194" t="str">
        <f>IF(OR(X102="",Y102="")," ",( Y102-X102 + 1) - ((fWorkDay(X102,Y102)-X102) - (Y102-X102)))</f>
        <v xml:space="preserve"> </v>
      </c>
      <c r="AA102" s="188" t="s">
        <v>5546</v>
      </c>
      <c r="AB102" s="226"/>
    </row>
    <row r="103" spans="2:28">
      <c r="B103" s="188">
        <f t="shared" si="5"/>
        <v>97</v>
      </c>
      <c r="C103" s="96"/>
      <c r="D103" s="24" t="s">
        <v>5977</v>
      </c>
      <c r="E103" s="87" t="s">
        <v>14978</v>
      </c>
      <c r="F103" s="87" t="s">
        <v>14978</v>
      </c>
      <c r="G103" s="87" t="s">
        <v>14978</v>
      </c>
      <c r="H103" s="87" t="s">
        <v>15033</v>
      </c>
      <c r="I103" s="87" t="s">
        <v>15033</v>
      </c>
      <c r="J103" s="87" t="s">
        <v>5979</v>
      </c>
      <c r="K103" s="87" t="s">
        <v>14951</v>
      </c>
      <c r="L103" s="188" t="s">
        <v>8379</v>
      </c>
      <c r="M103" s="190" t="s">
        <v>5942</v>
      </c>
      <c r="N103" s="188" t="s">
        <v>8282</v>
      </c>
      <c r="O103" s="191"/>
      <c r="P103" s="313" t="s">
        <v>9033</v>
      </c>
      <c r="Q103" s="142"/>
      <c r="R103" s="158" t="s">
        <v>6378</v>
      </c>
      <c r="S103" s="280" t="s">
        <v>9042</v>
      </c>
      <c r="T103" s="225" t="s">
        <v>4936</v>
      </c>
      <c r="U103" s="193">
        <v>41533</v>
      </c>
      <c r="V103" s="193">
        <v>41534</v>
      </c>
      <c r="W103" s="194">
        <f>IF(OR(U103="",V103="")," ",( V103-U103 + 1) - ((fWorkDay(U103,V103)-U103) - (V103-U103)))</f>
        <v>2</v>
      </c>
      <c r="X103" s="193">
        <v>41527</v>
      </c>
      <c r="Y103" s="193"/>
      <c r="Z103" s="194" t="str">
        <f>IF(OR(X103="",Y103="")," ",( Y103-X103 + 1) - ((fWorkDay(X103,Y103)-X103) - (Y103-X103)))</f>
        <v xml:space="preserve"> </v>
      </c>
      <c r="AA103" s="188" t="s">
        <v>5546</v>
      </c>
      <c r="AB103" s="226"/>
    </row>
    <row r="104" spans="2:28" ht="33">
      <c r="B104" s="188">
        <f t="shared" si="5"/>
        <v>96</v>
      </c>
      <c r="C104" s="96"/>
      <c r="D104" s="24" t="s">
        <v>5977</v>
      </c>
      <c r="E104" s="87" t="s">
        <v>14978</v>
      </c>
      <c r="F104" s="87" t="s">
        <v>14978</v>
      </c>
      <c r="G104" s="87" t="s">
        <v>14978</v>
      </c>
      <c r="H104" s="87" t="s">
        <v>15033</v>
      </c>
      <c r="I104" s="87" t="s">
        <v>15039</v>
      </c>
      <c r="J104" s="87" t="s">
        <v>5979</v>
      </c>
      <c r="K104" s="87" t="s">
        <v>14951</v>
      </c>
      <c r="L104" s="188" t="s">
        <v>8379</v>
      </c>
      <c r="M104" s="190" t="s">
        <v>5942</v>
      </c>
      <c r="N104" s="188" t="s">
        <v>8282</v>
      </c>
      <c r="O104" s="191"/>
      <c r="P104" s="313" t="s">
        <v>9033</v>
      </c>
      <c r="Q104" s="142"/>
      <c r="R104" s="158" t="s">
        <v>9043</v>
      </c>
      <c r="S104" s="280" t="s">
        <v>8527</v>
      </c>
      <c r="T104" s="225" t="s">
        <v>4936</v>
      </c>
      <c r="U104" s="193">
        <v>41533</v>
      </c>
      <c r="V104" s="193">
        <v>41534</v>
      </c>
      <c r="W104" s="194">
        <f>IF(OR(U104="",V104="")," ",( V104-U104 + 1) - ((fWorkDay(U104,V104)-U104) - (V104-U104)))</f>
        <v>2</v>
      </c>
      <c r="X104" s="193">
        <v>41527</v>
      </c>
      <c r="Y104" s="193"/>
      <c r="Z104" s="194" t="str">
        <f>IF(OR(X104="",Y104="")," ",( Y104-X104 + 1) - ((fWorkDay(X104,Y104)-X104) - (Y104-X104)))</f>
        <v xml:space="preserve"> </v>
      </c>
      <c r="AA104" s="188" t="s">
        <v>5546</v>
      </c>
      <c r="AB104" s="226"/>
    </row>
    <row r="105" spans="2:28" ht="33">
      <c r="B105" s="188">
        <f t="shared" si="5"/>
        <v>95</v>
      </c>
      <c r="C105" s="96"/>
      <c r="D105" s="24" t="s">
        <v>5977</v>
      </c>
      <c r="E105" s="87" t="s">
        <v>14978</v>
      </c>
      <c r="F105" s="87" t="s">
        <v>14978</v>
      </c>
      <c r="G105" s="87" t="s">
        <v>14978</v>
      </c>
      <c r="H105" s="87" t="s">
        <v>15033</v>
      </c>
      <c r="I105" s="87" t="s">
        <v>15039</v>
      </c>
      <c r="J105" s="87" t="s">
        <v>5979</v>
      </c>
      <c r="K105" s="87" t="s">
        <v>14951</v>
      </c>
      <c r="L105" s="188" t="s">
        <v>8379</v>
      </c>
      <c r="M105" s="190" t="s">
        <v>5942</v>
      </c>
      <c r="N105" s="188" t="s">
        <v>8282</v>
      </c>
      <c r="O105" s="191"/>
      <c r="P105" s="313" t="s">
        <v>9033</v>
      </c>
      <c r="Q105" s="142"/>
      <c r="R105" s="158" t="s">
        <v>9045</v>
      </c>
      <c r="S105" s="280" t="s">
        <v>9044</v>
      </c>
      <c r="T105" s="225" t="s">
        <v>4936</v>
      </c>
      <c r="U105" s="193">
        <v>41533</v>
      </c>
      <c r="V105" s="193">
        <v>41534</v>
      </c>
      <c r="W105" s="194">
        <f>IF(OR(U105="",V105="")," ",( V105-U105 + 1) - ((fWorkDay(U105,V105)-U105) - (V105-U105)))</f>
        <v>2</v>
      </c>
      <c r="X105" s="193">
        <v>41527</v>
      </c>
      <c r="Y105" s="193"/>
      <c r="Z105" s="194" t="str">
        <f>IF(OR(X105="",Y105="")," ",( Y105-X105 + 1) - ((fWorkDay(X105,Y105)-X105) - (Y105-X105)))</f>
        <v xml:space="preserve"> </v>
      </c>
      <c r="AA105" s="188" t="s">
        <v>5546</v>
      </c>
      <c r="AB105" s="226"/>
    </row>
    <row r="106" spans="2:28" s="269" customFormat="1" ht="33">
      <c r="B106" s="188">
        <f t="shared" si="5"/>
        <v>94</v>
      </c>
      <c r="C106" s="96" t="s">
        <v>8390</v>
      </c>
      <c r="D106" s="24" t="s">
        <v>5977</v>
      </c>
      <c r="E106" s="257" t="s">
        <v>15024</v>
      </c>
      <c r="F106" s="257" t="s">
        <v>14984</v>
      </c>
      <c r="G106" s="257" t="s">
        <v>14982</v>
      </c>
      <c r="H106" s="257" t="s">
        <v>15049</v>
      </c>
      <c r="I106" s="257" t="s">
        <v>15053</v>
      </c>
      <c r="J106" s="257" t="s">
        <v>5979</v>
      </c>
      <c r="K106" s="257" t="s">
        <v>14952</v>
      </c>
      <c r="L106" s="267" t="s">
        <v>8379</v>
      </c>
      <c r="M106" s="190" t="s">
        <v>5942</v>
      </c>
      <c r="N106" s="188" t="s">
        <v>8282</v>
      </c>
      <c r="O106" s="191" t="s">
        <v>15010</v>
      </c>
      <c r="P106" s="313" t="s">
        <v>8912</v>
      </c>
      <c r="Q106" s="263" t="s">
        <v>8995</v>
      </c>
      <c r="R106" s="314" t="s">
        <v>9005</v>
      </c>
      <c r="S106" s="256" t="s">
        <v>9019</v>
      </c>
      <c r="T106" s="315" t="s">
        <v>4936</v>
      </c>
      <c r="U106" s="266"/>
      <c r="V106" s="266"/>
      <c r="W106" s="194" t="str">
        <f>IF(OR(U106="",V106="")," ",( V106-U106 + 1) - ((fWorkDay(U106,V106)-U106) - (V106-U106)))</f>
        <v xml:space="preserve"> </v>
      </c>
      <c r="X106" s="266">
        <v>41584</v>
      </c>
      <c r="Y106" s="266">
        <v>41584</v>
      </c>
      <c r="Z106" s="194">
        <f>IF(OR(X106="",Y106="")," ",( Y106-X106 + 1) - ((fWorkDay(X106,Y106)-X106) - (Y106-X106)))</f>
        <v>1</v>
      </c>
      <c r="AA106" s="267" t="s">
        <v>5546</v>
      </c>
      <c r="AB106" s="321"/>
    </row>
    <row r="107" spans="2:28" s="269" customFormat="1">
      <c r="B107" s="188">
        <f t="shared" si="5"/>
        <v>93</v>
      </c>
      <c r="C107" s="96" t="s">
        <v>8390</v>
      </c>
      <c r="D107" s="24" t="s">
        <v>5977</v>
      </c>
      <c r="E107" s="257" t="s">
        <v>15023</v>
      </c>
      <c r="F107" s="257" t="s">
        <v>14986</v>
      </c>
      <c r="G107" s="257" t="s">
        <v>14977</v>
      </c>
      <c r="H107" s="257" t="s">
        <v>15046</v>
      </c>
      <c r="I107" s="257" t="s">
        <v>15053</v>
      </c>
      <c r="J107" s="257" t="s">
        <v>5979</v>
      </c>
      <c r="K107" s="257" t="s">
        <v>14952</v>
      </c>
      <c r="L107" s="267" t="s">
        <v>8379</v>
      </c>
      <c r="M107" s="190" t="s">
        <v>5942</v>
      </c>
      <c r="N107" s="188" t="s">
        <v>8282</v>
      </c>
      <c r="O107" s="191" t="s">
        <v>15010</v>
      </c>
      <c r="P107" s="313" t="s">
        <v>8912</v>
      </c>
      <c r="Q107" s="263" t="s">
        <v>8995</v>
      </c>
      <c r="R107" s="314" t="s">
        <v>8998</v>
      </c>
      <c r="S107" s="256" t="s">
        <v>9020</v>
      </c>
      <c r="T107" s="315" t="s">
        <v>4936</v>
      </c>
      <c r="U107" s="266"/>
      <c r="V107" s="266"/>
      <c r="W107" s="194" t="str">
        <f>IF(OR(U107="",V107="")," ",( V107-U107 + 1) - ((fWorkDay(U107,V107)-U107) - (V107-U107)))</f>
        <v xml:space="preserve"> </v>
      </c>
      <c r="X107" s="266">
        <v>41581</v>
      </c>
      <c r="Y107" s="266">
        <v>41581</v>
      </c>
      <c r="Z107" s="194">
        <f>IF(OR(X107="",Y107="")," ",( Y107-X107 + 1) - ((fWorkDay(X107,Y107)-X107) - (Y107-X107)))</f>
        <v>1</v>
      </c>
      <c r="AA107" s="267" t="s">
        <v>3471</v>
      </c>
      <c r="AB107" s="321"/>
    </row>
    <row r="108" spans="2:28" s="269" customFormat="1" ht="33.75" thickBot="1">
      <c r="B108" s="188">
        <f t="shared" si="5"/>
        <v>92</v>
      </c>
      <c r="C108" s="96" t="s">
        <v>8390</v>
      </c>
      <c r="D108" s="120" t="s">
        <v>5977</v>
      </c>
      <c r="E108" s="305" t="s">
        <v>15025</v>
      </c>
      <c r="F108" s="305" t="s">
        <v>14986</v>
      </c>
      <c r="G108" s="305" t="s">
        <v>14980</v>
      </c>
      <c r="H108" s="305" t="s">
        <v>15049</v>
      </c>
      <c r="I108" s="305" t="s">
        <v>15053</v>
      </c>
      <c r="J108" s="305" t="s">
        <v>5979</v>
      </c>
      <c r="K108" s="305" t="s">
        <v>14953</v>
      </c>
      <c r="L108" s="311" t="s">
        <v>8379</v>
      </c>
      <c r="M108" s="190" t="s">
        <v>5942</v>
      </c>
      <c r="N108" s="188" t="s">
        <v>8282</v>
      </c>
      <c r="O108" s="191" t="s">
        <v>15010</v>
      </c>
      <c r="P108" s="319" t="s">
        <v>8912</v>
      </c>
      <c r="Q108" s="306" t="s">
        <v>8995</v>
      </c>
      <c r="R108" s="307" t="s">
        <v>15056</v>
      </c>
      <c r="S108" s="308" t="s">
        <v>9021</v>
      </c>
      <c r="T108" s="309" t="s">
        <v>4936</v>
      </c>
      <c r="U108" s="310"/>
      <c r="V108" s="310"/>
      <c r="W108" s="211" t="str">
        <f>IF(OR(U108="",V108="")," ",( V108-U108 + 1) - ((fWorkDay(U108,V108)-U108) - (V108-U108)))</f>
        <v xml:space="preserve"> </v>
      </c>
      <c r="X108" s="310">
        <v>41581</v>
      </c>
      <c r="Y108" s="310">
        <v>41581</v>
      </c>
      <c r="Z108" s="211">
        <f>IF(OR(X108="",Y108="")," ",( Y108-X108 + 1) - ((fWorkDay(X108,Y108)-X108) - (Y108-X108)))</f>
        <v>1</v>
      </c>
      <c r="AA108" s="311" t="s">
        <v>3471</v>
      </c>
      <c r="AB108" s="312"/>
    </row>
    <row r="109" spans="2:28" s="269" customFormat="1">
      <c r="B109" s="188">
        <f t="shared" si="5"/>
        <v>91</v>
      </c>
      <c r="C109" s="130" t="s">
        <v>5907</v>
      </c>
      <c r="D109" s="118" t="s">
        <v>5977</v>
      </c>
      <c r="E109" s="300" t="s">
        <v>15026</v>
      </c>
      <c r="F109" s="300" t="s">
        <v>14981</v>
      </c>
      <c r="G109" s="300" t="s">
        <v>14987</v>
      </c>
      <c r="H109" s="300" t="s">
        <v>15050</v>
      </c>
      <c r="I109" s="300" t="s">
        <v>15038</v>
      </c>
      <c r="J109" s="300" t="s">
        <v>5979</v>
      </c>
      <c r="K109" s="300" t="s">
        <v>14954</v>
      </c>
      <c r="L109" s="304" t="s">
        <v>8379</v>
      </c>
      <c r="M109" s="190" t="s">
        <v>5942</v>
      </c>
      <c r="N109" s="188" t="s">
        <v>8282</v>
      </c>
      <c r="O109" s="316" t="s">
        <v>9027</v>
      </c>
      <c r="P109" s="316" t="s">
        <v>9027</v>
      </c>
      <c r="Q109" s="301" t="s">
        <v>9025</v>
      </c>
      <c r="R109" s="317" t="s">
        <v>9026</v>
      </c>
      <c r="S109" s="302" t="s">
        <v>9024</v>
      </c>
      <c r="T109" s="318" t="s">
        <v>4936</v>
      </c>
      <c r="U109" s="303"/>
      <c r="V109" s="303"/>
      <c r="W109" s="204" t="str">
        <f>IF(OR(U109="",V109="")," ",( V109-U109 + 1) - ((fWorkDay(U109,V109)-U109) - (V109-U109)))</f>
        <v xml:space="preserve"> </v>
      </c>
      <c r="X109" s="303">
        <v>41584</v>
      </c>
      <c r="Y109" s="303">
        <v>41584</v>
      </c>
      <c r="Z109" s="204">
        <f>IF(OR(X109="",Y109="")," ",( Y109-X109 + 1) - ((fWorkDay(X109,Y109)-X109) - (Y109-X109)))</f>
        <v>1</v>
      </c>
      <c r="AA109" s="304" t="s">
        <v>5546</v>
      </c>
      <c r="AB109" s="320"/>
    </row>
    <row r="110" spans="2:28" s="269" customFormat="1">
      <c r="B110" s="188">
        <f t="shared" si="5"/>
        <v>90</v>
      </c>
      <c r="C110" s="385" t="s">
        <v>15018</v>
      </c>
      <c r="D110" s="116" t="s">
        <v>5977</v>
      </c>
      <c r="E110" s="291" t="s">
        <v>15024</v>
      </c>
      <c r="F110" s="291" t="s">
        <v>14983</v>
      </c>
      <c r="G110" s="291" t="s">
        <v>14981</v>
      </c>
      <c r="H110" s="291" t="s">
        <v>15049</v>
      </c>
      <c r="I110" s="291" t="s">
        <v>15053</v>
      </c>
      <c r="J110" s="291" t="s">
        <v>5979</v>
      </c>
      <c r="K110" s="291" t="s">
        <v>14954</v>
      </c>
      <c r="L110" s="292" t="s">
        <v>8379</v>
      </c>
      <c r="M110" s="293" t="s">
        <v>6016</v>
      </c>
      <c r="N110" s="293" t="s">
        <v>6016</v>
      </c>
      <c r="O110" s="191" t="s">
        <v>14989</v>
      </c>
      <c r="P110" s="176" t="s">
        <v>14990</v>
      </c>
      <c r="Q110" s="295"/>
      <c r="R110" s="296"/>
      <c r="S110" s="247"/>
      <c r="T110" s="297" t="s">
        <v>4936</v>
      </c>
      <c r="U110" s="298">
        <v>41571</v>
      </c>
      <c r="V110" s="298">
        <v>41571</v>
      </c>
      <c r="W110" s="221">
        <f>IF(OR(U110="",V110="")," ",( V110-U110 + 1) - ((fWorkDay(U110,V110)-U110) - (V110-U110)))</f>
        <v>1</v>
      </c>
      <c r="X110" s="298">
        <v>41569</v>
      </c>
      <c r="Y110" s="298"/>
      <c r="Z110" s="221" t="str">
        <f>IF(OR(X110="",Y110="")," ",( Y110-X110 + 1) - ((fWorkDay(X110,Y110)-X110) - (Y110-X110)))</f>
        <v xml:space="preserve"> </v>
      </c>
      <c r="AA110" s="290" t="s">
        <v>3471</v>
      </c>
      <c r="AB110" s="299"/>
    </row>
    <row r="111" spans="2:28" s="269" customFormat="1">
      <c r="B111" s="188">
        <f t="shared" si="5"/>
        <v>89</v>
      </c>
      <c r="C111" s="385" t="s">
        <v>15018</v>
      </c>
      <c r="D111" s="24" t="s">
        <v>5977</v>
      </c>
      <c r="E111" s="257" t="s">
        <v>15023</v>
      </c>
      <c r="F111" s="257" t="s">
        <v>14984</v>
      </c>
      <c r="G111" s="257" t="s">
        <v>14982</v>
      </c>
      <c r="H111" s="257" t="s">
        <v>15041</v>
      </c>
      <c r="I111" s="257" t="s">
        <v>15053</v>
      </c>
      <c r="J111" s="257" t="s">
        <v>5979</v>
      </c>
      <c r="K111" s="257" t="s">
        <v>14952</v>
      </c>
      <c r="L111" s="259" t="s">
        <v>8379</v>
      </c>
      <c r="M111" s="190" t="s">
        <v>5942</v>
      </c>
      <c r="N111" s="188" t="s">
        <v>8918</v>
      </c>
      <c r="O111" s="191" t="s">
        <v>14989</v>
      </c>
      <c r="P111" s="176" t="s">
        <v>14990</v>
      </c>
      <c r="Q111" s="281"/>
      <c r="R111" s="272" t="s">
        <v>8927</v>
      </c>
      <c r="S111" s="256" t="s">
        <v>8925</v>
      </c>
      <c r="T111" s="265" t="s">
        <v>4936</v>
      </c>
      <c r="U111" s="266">
        <v>41571</v>
      </c>
      <c r="V111" s="266">
        <v>41571</v>
      </c>
      <c r="W111" s="194">
        <f>IF(OR(U111="",V111="")," ",( V111-U111 + 1) - ((fWorkDay(U111,V111)-U111) - (V111-U111)))</f>
        <v>1</v>
      </c>
      <c r="X111" s="266">
        <v>41569</v>
      </c>
      <c r="Y111" s="266"/>
      <c r="Z111" s="194" t="str">
        <f>IF(OR(X111="",Y111="")," ",( Y111-X111 + 1) - ((fWorkDay(X111,Y111)-X111) - (Y111-X111)))</f>
        <v xml:space="preserve"> </v>
      </c>
      <c r="AA111" s="267" t="s">
        <v>3471</v>
      </c>
      <c r="AB111" s="268"/>
    </row>
    <row r="112" spans="2:28" s="269" customFormat="1">
      <c r="B112" s="188">
        <f t="shared" si="5"/>
        <v>88</v>
      </c>
      <c r="C112" s="96" t="s">
        <v>8922</v>
      </c>
      <c r="D112" s="24" t="s">
        <v>5977</v>
      </c>
      <c r="E112" s="257" t="s">
        <v>14978</v>
      </c>
      <c r="F112" s="257" t="s">
        <v>14978</v>
      </c>
      <c r="G112" s="257" t="s">
        <v>14988</v>
      </c>
      <c r="H112" s="258" t="s">
        <v>15033</v>
      </c>
      <c r="I112" s="258" t="s">
        <v>15039</v>
      </c>
      <c r="J112" s="258" t="s">
        <v>5979</v>
      </c>
      <c r="K112" s="258" t="s">
        <v>14951</v>
      </c>
      <c r="L112" s="259" t="s">
        <v>8379</v>
      </c>
      <c r="M112" s="190" t="s">
        <v>5942</v>
      </c>
      <c r="N112" s="188" t="s">
        <v>8282</v>
      </c>
      <c r="O112" s="271"/>
      <c r="P112" s="271" t="s">
        <v>8920</v>
      </c>
      <c r="Q112" s="281"/>
      <c r="R112" s="272"/>
      <c r="S112" s="256" t="s">
        <v>8916</v>
      </c>
      <c r="T112" s="265" t="s">
        <v>4936</v>
      </c>
      <c r="U112" s="266">
        <v>41569</v>
      </c>
      <c r="V112" s="266">
        <v>41569</v>
      </c>
      <c r="W112" s="194">
        <f>IF(OR(U112="",V112="")," ",( V112-U112 + 1) - ((fWorkDay(U112,V112)-U112) - (V112-U112)))</f>
        <v>1</v>
      </c>
      <c r="X112" s="266">
        <v>41569</v>
      </c>
      <c r="Y112" s="266">
        <v>41569</v>
      </c>
      <c r="Z112" s="194">
        <f>IF(OR(X112="",Y112="")," ",( Y112-X112 + 1) - ((fWorkDay(X112,Y112)-X112) - (Y112-X112)))</f>
        <v>1</v>
      </c>
      <c r="AA112" s="267" t="s">
        <v>5546</v>
      </c>
      <c r="AB112" s="268"/>
    </row>
    <row r="113" spans="2:28" s="269" customFormat="1">
      <c r="B113" s="188">
        <f t="shared" si="5"/>
        <v>87</v>
      </c>
      <c r="C113" s="96" t="s">
        <v>8922</v>
      </c>
      <c r="D113" s="24" t="s">
        <v>5977</v>
      </c>
      <c r="E113" s="257" t="s">
        <v>14978</v>
      </c>
      <c r="F113" s="257" t="s">
        <v>14978</v>
      </c>
      <c r="G113" s="257" t="s">
        <v>14988</v>
      </c>
      <c r="H113" s="258" t="s">
        <v>15033</v>
      </c>
      <c r="I113" s="258" t="s">
        <v>15039</v>
      </c>
      <c r="J113" s="258" t="s">
        <v>5979</v>
      </c>
      <c r="K113" s="258" t="s">
        <v>14951</v>
      </c>
      <c r="L113" s="259" t="s">
        <v>8379</v>
      </c>
      <c r="M113" s="190" t="s">
        <v>5942</v>
      </c>
      <c r="N113" s="188" t="s">
        <v>8282</v>
      </c>
      <c r="O113" s="271"/>
      <c r="P113" s="271" t="s">
        <v>8920</v>
      </c>
      <c r="Q113" s="281"/>
      <c r="R113" s="272"/>
      <c r="S113" s="256" t="s">
        <v>8917</v>
      </c>
      <c r="T113" s="265" t="s">
        <v>4936</v>
      </c>
      <c r="U113" s="266">
        <v>41569</v>
      </c>
      <c r="V113" s="266">
        <v>41569</v>
      </c>
      <c r="W113" s="194">
        <f>IF(OR(U113="",V113="")," ",( V113-U113 + 1) - ((fWorkDay(U113,V113)-U113) - (V113-U113)))</f>
        <v>1</v>
      </c>
      <c r="X113" s="266">
        <v>41569</v>
      </c>
      <c r="Y113" s="266">
        <v>41569</v>
      </c>
      <c r="Z113" s="194">
        <f>IF(OR(X113="",Y113="")," ",( Y113-X113 + 1) - ((fWorkDay(X113,Y113)-X113) - (Y113-X113)))</f>
        <v>1</v>
      </c>
      <c r="AA113" s="267" t="s">
        <v>5546</v>
      </c>
      <c r="AB113" s="268"/>
    </row>
    <row r="114" spans="2:28" s="269" customFormat="1">
      <c r="B114" s="188">
        <f t="shared" si="5"/>
        <v>86</v>
      </c>
      <c r="C114" s="96" t="s">
        <v>8390</v>
      </c>
      <c r="D114" s="24" t="s">
        <v>5977</v>
      </c>
      <c r="E114" s="257" t="s">
        <v>15024</v>
      </c>
      <c r="F114" s="257" t="s">
        <v>14986</v>
      </c>
      <c r="G114" s="257" t="s">
        <v>14977</v>
      </c>
      <c r="H114" s="257" t="s">
        <v>15049</v>
      </c>
      <c r="I114" s="257" t="s">
        <v>15053</v>
      </c>
      <c r="J114" s="257" t="s">
        <v>5979</v>
      </c>
      <c r="K114" s="257" t="s">
        <v>14952</v>
      </c>
      <c r="L114" s="259" t="s">
        <v>8379</v>
      </c>
      <c r="M114" s="260" t="s">
        <v>6016</v>
      </c>
      <c r="N114" s="260" t="s">
        <v>6016</v>
      </c>
      <c r="O114" s="191" t="s">
        <v>8911</v>
      </c>
      <c r="P114" s="271" t="s">
        <v>8912</v>
      </c>
      <c r="Q114" s="281"/>
      <c r="R114" s="272"/>
      <c r="S114" s="256"/>
      <c r="T114" s="265" t="s">
        <v>4936</v>
      </c>
      <c r="U114" s="266">
        <v>41571</v>
      </c>
      <c r="V114" s="266"/>
      <c r="W114" s="194" t="str">
        <f>IF(OR(U114="",V114="")," ",( V114-U114 + 1) - ((fWorkDay(U114,V114)-U114) - (V114-U114)))</f>
        <v xml:space="preserve"> </v>
      </c>
      <c r="X114" s="266">
        <v>41569</v>
      </c>
      <c r="Y114" s="266"/>
      <c r="Z114" s="194" t="str">
        <f>IF(OR(X114="",Y114="")," ",( Y114-X114 + 1) - ((fWorkDay(X114,Y114)-X114) - (Y114-X114)))</f>
        <v xml:space="preserve"> </v>
      </c>
      <c r="AA114" s="267" t="s">
        <v>3471</v>
      </c>
      <c r="AB114" s="268"/>
    </row>
    <row r="115" spans="2:28" s="269" customFormat="1">
      <c r="B115" s="188">
        <f t="shared" si="5"/>
        <v>85</v>
      </c>
      <c r="C115" s="96" t="s">
        <v>8390</v>
      </c>
      <c r="D115" s="24" t="s">
        <v>5977</v>
      </c>
      <c r="E115" s="257" t="s">
        <v>15024</v>
      </c>
      <c r="F115" s="257" t="s">
        <v>14983</v>
      </c>
      <c r="G115" s="257" t="s">
        <v>14981</v>
      </c>
      <c r="H115" s="257" t="s">
        <v>15049</v>
      </c>
      <c r="I115" s="257" t="s">
        <v>15036</v>
      </c>
      <c r="J115" s="257" t="s">
        <v>5979</v>
      </c>
      <c r="K115" s="257" t="s">
        <v>14954</v>
      </c>
      <c r="L115" s="259" t="s">
        <v>8379</v>
      </c>
      <c r="M115" s="190" t="s">
        <v>5942</v>
      </c>
      <c r="N115" s="188" t="s">
        <v>8918</v>
      </c>
      <c r="O115" s="191" t="s">
        <v>15010</v>
      </c>
      <c r="P115" s="271" t="s">
        <v>8912</v>
      </c>
      <c r="Q115" s="281"/>
      <c r="R115" s="272" t="s">
        <v>8926</v>
      </c>
      <c r="S115" s="256" t="s">
        <v>8921</v>
      </c>
      <c r="T115" s="265" t="s">
        <v>4936</v>
      </c>
      <c r="U115" s="266">
        <v>41571</v>
      </c>
      <c r="V115" s="266"/>
      <c r="W115" s="194" t="str">
        <f>IF(OR(U115="",V115="")," ",( V115-U115 + 1) - ((fWorkDay(U115,V115)-U115) - (V115-U115)))</f>
        <v xml:space="preserve"> </v>
      </c>
      <c r="X115" s="266">
        <v>41569</v>
      </c>
      <c r="Y115" s="266"/>
      <c r="Z115" s="194" t="str">
        <f>IF(OR(X115="",Y115="")," ",( Y115-X115 + 1) - ((fWorkDay(X115,Y115)-X115) - (Y115-X115)))</f>
        <v xml:space="preserve"> </v>
      </c>
      <c r="AA115" s="267" t="s">
        <v>3471</v>
      </c>
      <c r="AB115" s="268"/>
    </row>
    <row r="116" spans="2:28" s="269" customFormat="1" ht="27">
      <c r="B116" s="188">
        <f t="shared" si="5"/>
        <v>84</v>
      </c>
      <c r="C116" s="96" t="s">
        <v>8791</v>
      </c>
      <c r="D116" s="24" t="s">
        <v>5977</v>
      </c>
      <c r="E116" s="257" t="s">
        <v>15024</v>
      </c>
      <c r="F116" s="257" t="s">
        <v>14984</v>
      </c>
      <c r="G116" s="257" t="s">
        <v>14982</v>
      </c>
      <c r="H116" s="257" t="s">
        <v>15049</v>
      </c>
      <c r="I116" s="257" t="s">
        <v>15053</v>
      </c>
      <c r="J116" s="257" t="s">
        <v>5979</v>
      </c>
      <c r="K116" s="257" t="s">
        <v>14952</v>
      </c>
      <c r="L116" s="259" t="s">
        <v>8379</v>
      </c>
      <c r="M116" s="260" t="s">
        <v>6016</v>
      </c>
      <c r="N116" s="260" t="s">
        <v>8792</v>
      </c>
      <c r="O116" s="191" t="s">
        <v>15009</v>
      </c>
      <c r="P116" s="271" t="s">
        <v>15029</v>
      </c>
      <c r="Q116" s="263" t="s">
        <v>8793</v>
      </c>
      <c r="R116" s="272" t="s">
        <v>8401</v>
      </c>
      <c r="S116" s="272"/>
      <c r="T116" s="265" t="s">
        <v>4936</v>
      </c>
      <c r="U116" s="266">
        <v>41561</v>
      </c>
      <c r="V116" s="266">
        <v>41565</v>
      </c>
      <c r="W116" s="194">
        <f>IF(OR(U116="",V116="")," ",( V116-U116 + 1) - ((fWorkDay(U116,V116)-U116) - (V116-U116)))</f>
        <v>5</v>
      </c>
      <c r="X116" s="266">
        <v>41551</v>
      </c>
      <c r="Y116" s="266">
        <v>41568</v>
      </c>
      <c r="Z116" s="194">
        <f>IF(OR(X116="",Y116="")," ",( Y116-X116 + 1) - ((fWorkDay(X116,Y116)-X116) - (Y116-X116)))</f>
        <v>10</v>
      </c>
      <c r="AA116" s="267" t="s">
        <v>3471</v>
      </c>
      <c r="AB116" s="268"/>
    </row>
    <row r="117" spans="2:28" s="269" customFormat="1" ht="27">
      <c r="B117" s="188">
        <f t="shared" si="5"/>
        <v>83</v>
      </c>
      <c r="C117" s="96" t="s">
        <v>8791</v>
      </c>
      <c r="D117" s="24" t="s">
        <v>5977</v>
      </c>
      <c r="E117" s="257" t="s">
        <v>15023</v>
      </c>
      <c r="F117" s="257" t="s">
        <v>14986</v>
      </c>
      <c r="G117" s="257" t="s">
        <v>14980</v>
      </c>
      <c r="H117" s="257" t="s">
        <v>15041</v>
      </c>
      <c r="I117" s="257" t="s">
        <v>15053</v>
      </c>
      <c r="J117" s="257" t="s">
        <v>5979</v>
      </c>
      <c r="K117" s="257" t="s">
        <v>14953</v>
      </c>
      <c r="L117" s="259" t="s">
        <v>8379</v>
      </c>
      <c r="M117" s="260" t="s">
        <v>6016</v>
      </c>
      <c r="N117" s="260" t="s">
        <v>8792</v>
      </c>
      <c r="O117" s="191" t="s">
        <v>15015</v>
      </c>
      <c r="P117" s="271" t="s">
        <v>8906</v>
      </c>
      <c r="Q117" s="263" t="s">
        <v>8793</v>
      </c>
      <c r="R117" s="272" t="s">
        <v>8401</v>
      </c>
      <c r="S117" s="272"/>
      <c r="T117" s="265" t="s">
        <v>4936</v>
      </c>
      <c r="U117" s="266">
        <v>41561</v>
      </c>
      <c r="V117" s="266">
        <v>41565</v>
      </c>
      <c r="W117" s="194">
        <f>IF(OR(U117="",V117="")," ",( V117-U117 + 1) - ((fWorkDay(U117,V117)-U117) - (V117-U117)))</f>
        <v>5</v>
      </c>
      <c r="X117" s="266">
        <v>41551</v>
      </c>
      <c r="Y117" s="266">
        <v>41568</v>
      </c>
      <c r="Z117" s="194">
        <f>IF(OR(X117="",Y117="")," ",( Y117-X117 + 1) - ((fWorkDay(X117,Y117)-X117) - (Y117-X117)))</f>
        <v>10</v>
      </c>
      <c r="AA117" s="267" t="s">
        <v>3471</v>
      </c>
      <c r="AB117" s="268"/>
    </row>
    <row r="118" spans="2:28" s="269" customFormat="1">
      <c r="B118" s="188">
        <f t="shared" si="5"/>
        <v>82</v>
      </c>
      <c r="C118" s="96" t="s">
        <v>8791</v>
      </c>
      <c r="D118" s="24" t="s">
        <v>5977</v>
      </c>
      <c r="E118" s="257" t="s">
        <v>15023</v>
      </c>
      <c r="F118" s="257" t="s">
        <v>14985</v>
      </c>
      <c r="G118" s="257" t="s">
        <v>14987</v>
      </c>
      <c r="H118" s="257" t="s">
        <v>15047</v>
      </c>
      <c r="I118" s="257" t="s">
        <v>15054</v>
      </c>
      <c r="J118" s="257" t="s">
        <v>5979</v>
      </c>
      <c r="K118" s="257" t="s">
        <v>14954</v>
      </c>
      <c r="L118" s="267" t="s">
        <v>8379</v>
      </c>
      <c r="M118" s="190" t="s">
        <v>5942</v>
      </c>
      <c r="N118" s="188" t="s">
        <v>8282</v>
      </c>
      <c r="O118" s="191" t="s">
        <v>15015</v>
      </c>
      <c r="P118" s="256"/>
      <c r="Q118" s="276" t="s">
        <v>8876</v>
      </c>
      <c r="R118" s="272"/>
      <c r="S118" s="256" t="s">
        <v>8883</v>
      </c>
      <c r="T118" s="265" t="s">
        <v>4936</v>
      </c>
      <c r="U118" s="266">
        <v>41561</v>
      </c>
      <c r="V118" s="266">
        <v>41565</v>
      </c>
      <c r="W118" s="194">
        <f>IF(OR(U118="",V118="")," ",( V118-U118 + 1) - ((fWorkDay(U118,V118)-U118) - (V118-U118)))</f>
        <v>5</v>
      </c>
      <c r="X118" s="266">
        <v>41551</v>
      </c>
      <c r="Y118" s="266">
        <v>41568</v>
      </c>
      <c r="Z118" s="194">
        <f>IF(OR(X118="",Y118="")," ",( Y118-X118 + 1) - ((fWorkDay(X118,Y118)-X118) - (Y118-X118)))</f>
        <v>10</v>
      </c>
      <c r="AA118" s="267" t="s">
        <v>3471</v>
      </c>
      <c r="AB118" s="268"/>
    </row>
    <row r="119" spans="2:28" s="269" customFormat="1">
      <c r="B119" s="188">
        <f t="shared" si="5"/>
        <v>81</v>
      </c>
      <c r="C119" s="96" t="s">
        <v>8791</v>
      </c>
      <c r="D119" s="24" t="s">
        <v>5977</v>
      </c>
      <c r="E119" s="257" t="s">
        <v>15025</v>
      </c>
      <c r="F119" s="257" t="s">
        <v>14986</v>
      </c>
      <c r="G119" s="257" t="s">
        <v>14977</v>
      </c>
      <c r="H119" s="257" t="s">
        <v>15050</v>
      </c>
      <c r="I119" s="257" t="s">
        <v>15054</v>
      </c>
      <c r="J119" s="257" t="s">
        <v>5979</v>
      </c>
      <c r="K119" s="257" t="s">
        <v>14952</v>
      </c>
      <c r="L119" s="267" t="s">
        <v>8379</v>
      </c>
      <c r="M119" s="190" t="s">
        <v>5942</v>
      </c>
      <c r="N119" s="188" t="s">
        <v>8282</v>
      </c>
      <c r="O119" s="191" t="s">
        <v>15015</v>
      </c>
      <c r="P119" s="256"/>
      <c r="Q119" s="276" t="s">
        <v>8877</v>
      </c>
      <c r="R119" s="272"/>
      <c r="S119" s="256" t="s">
        <v>8913</v>
      </c>
      <c r="T119" s="265" t="s">
        <v>4936</v>
      </c>
      <c r="U119" s="266">
        <v>41561</v>
      </c>
      <c r="V119" s="266">
        <v>41565</v>
      </c>
      <c r="W119" s="194">
        <f>IF(OR(U119="",V119="")," ",( V119-U119 + 1) - ((fWorkDay(U119,V119)-U119) - (V119-U119)))</f>
        <v>5</v>
      </c>
      <c r="X119" s="266">
        <v>41551</v>
      </c>
      <c r="Y119" s="266">
        <v>41568</v>
      </c>
      <c r="Z119" s="194">
        <f>IF(OR(X119="",Y119="")," ",( Y119-X119 + 1) - ((fWorkDay(X119,Y119)-X119) - (Y119-X119)))</f>
        <v>10</v>
      </c>
      <c r="AA119" s="267" t="s">
        <v>3471</v>
      </c>
      <c r="AB119" s="268"/>
    </row>
    <row r="120" spans="2:28" s="269" customFormat="1" ht="27">
      <c r="B120" s="188">
        <f t="shared" si="5"/>
        <v>80</v>
      </c>
      <c r="C120" s="96" t="s">
        <v>8791</v>
      </c>
      <c r="D120" s="24" t="s">
        <v>5977</v>
      </c>
      <c r="E120" s="257" t="s">
        <v>15024</v>
      </c>
      <c r="F120" s="257" t="s">
        <v>14983</v>
      </c>
      <c r="G120" s="257" t="s">
        <v>14981</v>
      </c>
      <c r="H120" s="257" t="s">
        <v>15050</v>
      </c>
      <c r="I120" s="257" t="s">
        <v>15054</v>
      </c>
      <c r="J120" s="257" t="s">
        <v>5979</v>
      </c>
      <c r="K120" s="257" t="s">
        <v>14954</v>
      </c>
      <c r="L120" s="267" t="s">
        <v>8379</v>
      </c>
      <c r="M120" s="190" t="s">
        <v>5942</v>
      </c>
      <c r="N120" s="188" t="s">
        <v>8282</v>
      </c>
      <c r="O120" s="191" t="s">
        <v>15015</v>
      </c>
      <c r="P120" s="256"/>
      <c r="Q120" s="276" t="s">
        <v>8884</v>
      </c>
      <c r="R120" s="272"/>
      <c r="S120" s="256" t="s">
        <v>8914</v>
      </c>
      <c r="T120" s="265" t="s">
        <v>4936</v>
      </c>
      <c r="U120" s="266">
        <v>41561</v>
      </c>
      <c r="V120" s="266">
        <v>41565</v>
      </c>
      <c r="W120" s="194">
        <f>IF(OR(U120="",V120="")," ",( V120-U120 + 1) - ((fWorkDay(U120,V120)-U120) - (V120-U120)))</f>
        <v>5</v>
      </c>
      <c r="X120" s="266">
        <v>41551</v>
      </c>
      <c r="Y120" s="266">
        <v>41568</v>
      </c>
      <c r="Z120" s="194">
        <f>IF(OR(X120="",Y120="")," ",( Y120-X120 + 1) - ((fWorkDay(X120,Y120)-X120) - (Y120-X120)))</f>
        <v>10</v>
      </c>
      <c r="AA120" s="267" t="s">
        <v>3471</v>
      </c>
      <c r="AB120" s="268"/>
    </row>
    <row r="121" spans="2:28" s="269" customFormat="1" ht="81">
      <c r="B121" s="188">
        <f t="shared" si="5"/>
        <v>79</v>
      </c>
      <c r="C121" s="96" t="s">
        <v>8397</v>
      </c>
      <c r="D121" s="24" t="s">
        <v>5995</v>
      </c>
      <c r="E121" s="257" t="s">
        <v>15026</v>
      </c>
      <c r="F121" s="257" t="s">
        <v>14980</v>
      </c>
      <c r="G121" s="257" t="s">
        <v>14982</v>
      </c>
      <c r="H121" s="257" t="s">
        <v>15050</v>
      </c>
      <c r="I121" s="257" t="s">
        <v>15038</v>
      </c>
      <c r="J121" s="257" t="s">
        <v>5979</v>
      </c>
      <c r="K121" s="257" t="s">
        <v>14952</v>
      </c>
      <c r="L121" s="259" t="s">
        <v>8379</v>
      </c>
      <c r="M121" s="260" t="s">
        <v>6016</v>
      </c>
      <c r="N121" s="260" t="s">
        <v>8398</v>
      </c>
      <c r="O121" s="271" t="s">
        <v>15016</v>
      </c>
      <c r="P121" s="271" t="s">
        <v>8400</v>
      </c>
      <c r="Q121" s="263" t="s">
        <v>8399</v>
      </c>
      <c r="R121" s="272" t="s">
        <v>8401</v>
      </c>
      <c r="S121" s="272"/>
      <c r="T121" s="265" t="s">
        <v>4936</v>
      </c>
      <c r="U121" s="266">
        <v>41561</v>
      </c>
      <c r="V121" s="266">
        <v>41565</v>
      </c>
      <c r="W121" s="194">
        <f>IF(OR(U121="",V121="")," ",( V121-U121 + 1) - ((fWorkDay(U121,V121)-U121) - (V121-U121)))</f>
        <v>5</v>
      </c>
      <c r="X121" s="266"/>
      <c r="Y121" s="266"/>
      <c r="Z121" s="194" t="str">
        <f>IF(OR(X121="",Y121="")," ",( Y121-X121 + 1) - ((fWorkDay(X121,Y121)-X121) - (Y121-X121)))</f>
        <v xml:space="preserve"> </v>
      </c>
      <c r="AA121" s="267" t="s">
        <v>5546</v>
      </c>
      <c r="AB121" s="268"/>
    </row>
    <row r="122" spans="2:28" s="269" customFormat="1" ht="27">
      <c r="B122" s="188">
        <f t="shared" si="5"/>
        <v>78</v>
      </c>
      <c r="C122" s="96" t="s">
        <v>8375</v>
      </c>
      <c r="D122" s="24" t="s">
        <v>5977</v>
      </c>
      <c r="E122" s="257" t="s">
        <v>15024</v>
      </c>
      <c r="F122" s="257" t="s">
        <v>14986</v>
      </c>
      <c r="G122" s="257" t="s">
        <v>14980</v>
      </c>
      <c r="H122" s="257" t="s">
        <v>15049</v>
      </c>
      <c r="I122" s="257" t="s">
        <v>15053</v>
      </c>
      <c r="J122" s="257" t="s">
        <v>5979</v>
      </c>
      <c r="K122" s="257" t="s">
        <v>14953</v>
      </c>
      <c r="L122" s="259" t="s">
        <v>8379</v>
      </c>
      <c r="M122" s="260" t="s">
        <v>6016</v>
      </c>
      <c r="N122" s="260" t="s">
        <v>6016</v>
      </c>
      <c r="O122" s="261" t="s">
        <v>15014</v>
      </c>
      <c r="P122" s="262" t="s">
        <v>6383</v>
      </c>
      <c r="Q122" s="263" t="s">
        <v>8376</v>
      </c>
      <c r="R122" s="272" t="s">
        <v>8401</v>
      </c>
      <c r="S122" s="272"/>
      <c r="T122" s="265" t="s">
        <v>2297</v>
      </c>
      <c r="U122" s="266">
        <v>41526</v>
      </c>
      <c r="V122" s="266">
        <v>41528</v>
      </c>
      <c r="W122" s="194">
        <f>IF(OR(U122="",V122="")," ",( V122-U122 + 1) - ((fWorkDay(U122,V122)-U122) - (V122-U122)))</f>
        <v>3</v>
      </c>
      <c r="X122" s="266"/>
      <c r="Y122" s="266"/>
      <c r="Z122" s="194" t="str">
        <f>IF(OR(X122="",Y122="")," ",( Y122-X122 + 1) - ((fWorkDay(X122,Y122)-X122) - (Y122-X122)))</f>
        <v xml:space="preserve"> </v>
      </c>
      <c r="AA122" s="267" t="s">
        <v>5546</v>
      </c>
      <c r="AB122" s="268"/>
    </row>
    <row r="123" spans="2:28" ht="81">
      <c r="B123" s="188">
        <f t="shared" si="5"/>
        <v>77</v>
      </c>
      <c r="C123" s="96" t="s">
        <v>8535</v>
      </c>
      <c r="D123" s="24" t="s">
        <v>5977</v>
      </c>
      <c r="E123" s="87" t="s">
        <v>15027</v>
      </c>
      <c r="F123" s="87" t="s">
        <v>14981</v>
      </c>
      <c r="G123" s="87" t="s">
        <v>14987</v>
      </c>
      <c r="H123" s="87" t="s">
        <v>15042</v>
      </c>
      <c r="I123" s="87" t="s">
        <v>15054</v>
      </c>
      <c r="J123" s="87" t="s">
        <v>5979</v>
      </c>
      <c r="K123" s="87" t="s">
        <v>14954</v>
      </c>
      <c r="L123" s="190" t="s">
        <v>8379</v>
      </c>
      <c r="M123" s="122" t="s">
        <v>8532</v>
      </c>
      <c r="N123" s="122" t="s">
        <v>8532</v>
      </c>
      <c r="O123" s="248" t="s">
        <v>8795</v>
      </c>
      <c r="P123" s="147" t="s">
        <v>8796</v>
      </c>
      <c r="Q123" s="142" t="s">
        <v>8790</v>
      </c>
      <c r="R123" s="273" t="s">
        <v>8797</v>
      </c>
      <c r="S123" s="158"/>
      <c r="T123" s="192" t="s">
        <v>2297</v>
      </c>
      <c r="U123" s="193">
        <v>41542</v>
      </c>
      <c r="V123" s="193">
        <v>41548</v>
      </c>
      <c r="W123" s="194">
        <f>IF(OR(U123="",V123="")," ",( V123-U123 + 1) - ((fWorkDay(U123,V123)-U123) - (V123-U123)))</f>
        <v>5</v>
      </c>
      <c r="X123" s="193">
        <v>41533</v>
      </c>
      <c r="Y123" s="193">
        <v>41533</v>
      </c>
      <c r="Z123" s="194">
        <f>IF(OR(X123="",Y123="")," ",( Y123-X123 + 1) - ((fWorkDay(X123,Y123)-X123) - (Y123-X123)))</f>
        <v>1</v>
      </c>
      <c r="AA123" s="188" t="s">
        <v>5546</v>
      </c>
      <c r="AB123" s="195"/>
    </row>
    <row r="124" spans="2:28" ht="17.25" thickBot="1">
      <c r="B124" s="188">
        <f t="shared" ref="B124:B145" si="6">B125+1</f>
        <v>76</v>
      </c>
      <c r="C124" s="96" t="s">
        <v>8774</v>
      </c>
      <c r="D124" s="24" t="s">
        <v>5977</v>
      </c>
      <c r="E124" s="87" t="s">
        <v>15027</v>
      </c>
      <c r="F124" s="87" t="s">
        <v>14987</v>
      </c>
      <c r="G124" s="87" t="s">
        <v>14977</v>
      </c>
      <c r="H124" s="87" t="s">
        <v>15047</v>
      </c>
      <c r="I124" s="87" t="s">
        <v>15054</v>
      </c>
      <c r="J124" s="87" t="s">
        <v>5979</v>
      </c>
      <c r="K124" s="87" t="s">
        <v>14952</v>
      </c>
      <c r="L124" s="190" t="s">
        <v>5909</v>
      </c>
      <c r="M124" s="190" t="s">
        <v>5942</v>
      </c>
      <c r="N124" s="188" t="s">
        <v>8776</v>
      </c>
      <c r="O124" s="248" t="s">
        <v>8774</v>
      </c>
      <c r="P124" s="147" t="s">
        <v>8775</v>
      </c>
      <c r="Q124" s="147" t="s">
        <v>8777</v>
      </c>
      <c r="R124" s="256"/>
      <c r="S124" s="256" t="s">
        <v>8773</v>
      </c>
      <c r="T124" s="192" t="s">
        <v>2297</v>
      </c>
      <c r="U124" s="193">
        <v>41544</v>
      </c>
      <c r="V124" s="193">
        <v>41544</v>
      </c>
      <c r="W124" s="194">
        <f>IF(OR(U124="",V124="")," ",( V124-U124 + 1) - ((fWorkDay(U124,V124)-U124) - (V124-U124)))</f>
        <v>1</v>
      </c>
      <c r="X124" s="193">
        <v>41544</v>
      </c>
      <c r="Y124" s="193">
        <v>41544</v>
      </c>
      <c r="Z124" s="194">
        <f>IF(OR(X124="",Y124="")," ",( Y124-X124 + 1) - ((fWorkDay(X124,Y124)-X124) - (Y124-X124)))</f>
        <v>1</v>
      </c>
      <c r="AA124" s="188" t="s">
        <v>5546</v>
      </c>
      <c r="AB124" s="195"/>
    </row>
    <row r="125" spans="2:28" ht="297">
      <c r="B125" s="188">
        <f t="shared" si="6"/>
        <v>75</v>
      </c>
      <c r="C125" s="130" t="s">
        <v>8606</v>
      </c>
      <c r="D125" s="118" t="s">
        <v>5977</v>
      </c>
      <c r="E125" s="119" t="s">
        <v>15025</v>
      </c>
      <c r="F125" s="119" t="s">
        <v>14983</v>
      </c>
      <c r="G125" s="119" t="s">
        <v>14981</v>
      </c>
      <c r="H125" s="119" t="s">
        <v>15050</v>
      </c>
      <c r="I125" s="119" t="s">
        <v>15054</v>
      </c>
      <c r="J125" s="119" t="s">
        <v>5979</v>
      </c>
      <c r="K125" s="119" t="s">
        <v>14954</v>
      </c>
      <c r="L125" s="205" t="s">
        <v>8379</v>
      </c>
      <c r="M125" s="124" t="s">
        <v>8607</v>
      </c>
      <c r="N125" s="124" t="s">
        <v>8607</v>
      </c>
      <c r="O125" s="250" t="s">
        <v>7647</v>
      </c>
      <c r="P125" s="149" t="s">
        <v>8608</v>
      </c>
      <c r="Q125" s="252" t="s">
        <v>8613</v>
      </c>
      <c r="R125" s="253" t="s">
        <v>8789</v>
      </c>
      <c r="S125" s="173"/>
      <c r="T125" s="214" t="s">
        <v>2876</v>
      </c>
      <c r="U125" s="203">
        <v>41579</v>
      </c>
      <c r="V125" s="203">
        <v>41608</v>
      </c>
      <c r="W125" s="204">
        <f>IF(OR(U125="",V125="")," ",( V125-U125 + 1) - ((fWorkDay(U125,V125)-U125) - (V125-U125)))</f>
        <v>18</v>
      </c>
      <c r="X125" s="203">
        <v>41543</v>
      </c>
      <c r="Y125" s="203">
        <v>41548</v>
      </c>
      <c r="Z125" s="204">
        <f>IF(OR(X125="",Y125="")," ",( Y125-X125 + 1) - ((fWorkDay(X125,Y125)-X125) - (Y125-X125)))</f>
        <v>4</v>
      </c>
      <c r="AA125" s="205" t="s">
        <v>5546</v>
      </c>
      <c r="AB125" s="215"/>
    </row>
    <row r="126" spans="2:28" ht="100.5" customHeight="1">
      <c r="B126" s="188">
        <f t="shared" si="6"/>
        <v>74</v>
      </c>
      <c r="C126" s="96" t="s">
        <v>8606</v>
      </c>
      <c r="D126" s="24" t="s">
        <v>5977</v>
      </c>
      <c r="E126" s="87" t="s">
        <v>15024</v>
      </c>
      <c r="F126" s="87" t="s">
        <v>14984</v>
      </c>
      <c r="G126" s="87" t="s">
        <v>14982</v>
      </c>
      <c r="H126" s="87" t="s">
        <v>15050</v>
      </c>
      <c r="I126" s="87" t="s">
        <v>15054</v>
      </c>
      <c r="J126" s="87" t="s">
        <v>5979</v>
      </c>
      <c r="K126" s="87" t="s">
        <v>14952</v>
      </c>
      <c r="L126" s="188" t="s">
        <v>8379</v>
      </c>
      <c r="M126" s="113" t="s">
        <v>8607</v>
      </c>
      <c r="N126" s="113" t="s">
        <v>8607</v>
      </c>
      <c r="O126" s="248" t="s">
        <v>8609</v>
      </c>
      <c r="P126" s="147" t="s">
        <v>8772</v>
      </c>
      <c r="Q126" s="251" t="s">
        <v>8611</v>
      </c>
      <c r="R126" s="253" t="s">
        <v>8615</v>
      </c>
      <c r="S126" s="174"/>
      <c r="T126" s="225" t="s">
        <v>2876</v>
      </c>
      <c r="U126" s="193">
        <v>41579</v>
      </c>
      <c r="V126" s="193">
        <v>41608</v>
      </c>
      <c r="W126" s="194">
        <f>IF(OR(U126="",V126="")," ",( V126-U126 + 1) - ((fWorkDay(U126,V126)-U126) - (V126-U126)))</f>
        <v>18</v>
      </c>
      <c r="X126" s="193">
        <v>41543</v>
      </c>
      <c r="Y126" s="193">
        <v>41548</v>
      </c>
      <c r="Z126" s="194">
        <f>IF(OR(X126="",Y126="")," ",( Y126-X126 + 1) - ((fWorkDay(X126,Y126)-X126) - (Y126-X126)))</f>
        <v>4</v>
      </c>
      <c r="AA126" s="188" t="s">
        <v>3471</v>
      </c>
      <c r="AB126" s="226"/>
    </row>
    <row r="127" spans="2:28" ht="27.75" thickBot="1">
      <c r="B127" s="188">
        <f t="shared" si="6"/>
        <v>73</v>
      </c>
      <c r="C127" s="131" t="s">
        <v>8606</v>
      </c>
      <c r="D127" s="120" t="s">
        <v>8595</v>
      </c>
      <c r="E127" s="121" t="s">
        <v>15026</v>
      </c>
      <c r="F127" s="121" t="s">
        <v>14987</v>
      </c>
      <c r="G127" s="121" t="s">
        <v>14980</v>
      </c>
      <c r="H127" s="121" t="s">
        <v>15049</v>
      </c>
      <c r="I127" s="121" t="s">
        <v>15036</v>
      </c>
      <c r="J127" s="121" t="s">
        <v>5979</v>
      </c>
      <c r="K127" s="121" t="s">
        <v>14953</v>
      </c>
      <c r="L127" s="212" t="s">
        <v>8379</v>
      </c>
      <c r="M127" s="125" t="s">
        <v>8612</v>
      </c>
      <c r="N127" s="125" t="s">
        <v>8607</v>
      </c>
      <c r="O127" s="246" t="s">
        <v>7635</v>
      </c>
      <c r="P127" s="150" t="s">
        <v>7636</v>
      </c>
      <c r="Q127" s="249" t="s">
        <v>8610</v>
      </c>
      <c r="R127" s="162" t="s">
        <v>8614</v>
      </c>
      <c r="S127" s="171"/>
      <c r="T127" s="209" t="s">
        <v>2876</v>
      </c>
      <c r="U127" s="210">
        <v>41579</v>
      </c>
      <c r="V127" s="210">
        <v>41608</v>
      </c>
      <c r="W127" s="211">
        <f>IF(OR(U127="",V127="")," ",( V127-U127 + 1) - ((fWorkDay(U127,V127)-U127) - (V127-U127)))</f>
        <v>18</v>
      </c>
      <c r="X127" s="210">
        <v>41543</v>
      </c>
      <c r="Y127" s="210">
        <v>41545</v>
      </c>
      <c r="Z127" s="211">
        <f>IF(OR(X127="",Y127="")," ",( Y127-X127 + 1) - ((fWorkDay(X127,Y127)-X127) - (Y127-X127)))</f>
        <v>1</v>
      </c>
      <c r="AA127" s="212" t="s">
        <v>5546</v>
      </c>
      <c r="AB127" s="213"/>
    </row>
    <row r="128" spans="2:28" ht="33">
      <c r="B128" s="188">
        <f t="shared" si="6"/>
        <v>72</v>
      </c>
      <c r="C128" s="128" t="s">
        <v>5907</v>
      </c>
      <c r="D128" s="116" t="s">
        <v>5977</v>
      </c>
      <c r="E128" s="216" t="s">
        <v>8595</v>
      </c>
      <c r="F128" s="216" t="s">
        <v>8595</v>
      </c>
      <c r="G128" s="216" t="s">
        <v>8595</v>
      </c>
      <c r="H128" s="216" t="s">
        <v>8595</v>
      </c>
      <c r="I128" s="216" t="s">
        <v>8595</v>
      </c>
      <c r="J128" s="216" t="s">
        <v>8595</v>
      </c>
      <c r="K128" s="216" t="s">
        <v>8595</v>
      </c>
      <c r="L128" s="217" t="s">
        <v>5907</v>
      </c>
      <c r="M128" s="134" t="s">
        <v>5907</v>
      </c>
      <c r="N128" s="134" t="s">
        <v>5907</v>
      </c>
      <c r="O128" s="218"/>
      <c r="P128" s="180" t="s">
        <v>5907</v>
      </c>
      <c r="Q128" s="146" t="s">
        <v>8605</v>
      </c>
      <c r="R128" s="247" t="s">
        <v>8605</v>
      </c>
      <c r="S128" s="163"/>
      <c r="T128" s="219" t="s">
        <v>2297</v>
      </c>
      <c r="U128" s="220">
        <v>41543</v>
      </c>
      <c r="V128" s="220">
        <v>41543</v>
      </c>
      <c r="W128" s="221">
        <f>IF(OR(U128="",V128="")," ",( V128-U128 + 1) - ((fWorkDay(U128,V128)-U128) - (V128-U128)))</f>
        <v>1</v>
      </c>
      <c r="X128" s="220">
        <v>41543</v>
      </c>
      <c r="Y128" s="220">
        <v>41543</v>
      </c>
      <c r="Z128" s="221">
        <f>IF(OR(X128="",Y128="")," ",( Y128-X128 + 1) - ((fWorkDay(X128,Y128)-X128) - (Y128-X128)))</f>
        <v>1</v>
      </c>
      <c r="AA128" s="222" t="s">
        <v>5546</v>
      </c>
      <c r="AB128" s="227"/>
    </row>
    <row r="129" spans="2:28" ht="27">
      <c r="B129" s="188">
        <f t="shared" si="6"/>
        <v>71</v>
      </c>
      <c r="C129" s="96" t="s">
        <v>8596</v>
      </c>
      <c r="D129" s="24" t="s">
        <v>5977</v>
      </c>
      <c r="E129" s="189" t="s">
        <v>8595</v>
      </c>
      <c r="F129" s="189" t="s">
        <v>8595</v>
      </c>
      <c r="G129" s="189" t="s">
        <v>8595</v>
      </c>
      <c r="H129" s="189" t="s">
        <v>8595</v>
      </c>
      <c r="I129" s="189" t="s">
        <v>8595</v>
      </c>
      <c r="J129" s="189" t="s">
        <v>8595</v>
      </c>
      <c r="K129" s="189" t="s">
        <v>8595</v>
      </c>
      <c r="L129" s="190" t="s">
        <v>8597</v>
      </c>
      <c r="M129" s="122" t="s">
        <v>8596</v>
      </c>
      <c r="N129" s="122" t="s">
        <v>8596</v>
      </c>
      <c r="O129" s="191"/>
      <c r="P129" s="176" t="s">
        <v>8597</v>
      </c>
      <c r="Q129" s="142" t="s">
        <v>8598</v>
      </c>
      <c r="R129" s="158"/>
      <c r="S129" s="158"/>
      <c r="T129" s="192" t="s">
        <v>2297</v>
      </c>
      <c r="U129" s="193">
        <v>41541</v>
      </c>
      <c r="V129" s="193">
        <v>41542</v>
      </c>
      <c r="W129" s="194">
        <f>IF(OR(U129="",V129="")," ",( V129-U129 + 1) - ((fWorkDay(U129,V129)-U129) - (V129-U129)))</f>
        <v>2</v>
      </c>
      <c r="X129" s="193">
        <v>41541</v>
      </c>
      <c r="Y129" s="193">
        <v>41542</v>
      </c>
      <c r="Z129" s="194">
        <f>IF(OR(X129="",Y129="")," ",( Y129-X129 + 1) - ((fWorkDay(X129,Y129)-X129) - (Y129-X129)))</f>
        <v>2</v>
      </c>
      <c r="AA129" s="188" t="s">
        <v>5546</v>
      </c>
      <c r="AB129" s="195"/>
    </row>
    <row r="130" spans="2:28" ht="27">
      <c r="B130" s="188">
        <f t="shared" si="6"/>
        <v>70</v>
      </c>
      <c r="C130" s="96" t="s">
        <v>8535</v>
      </c>
      <c r="D130" s="24" t="s">
        <v>5977</v>
      </c>
      <c r="E130" s="87" t="s">
        <v>15024</v>
      </c>
      <c r="F130" s="87" t="s">
        <v>14985</v>
      </c>
      <c r="G130" s="87" t="s">
        <v>14987</v>
      </c>
      <c r="H130" s="87" t="s">
        <v>15049</v>
      </c>
      <c r="I130" s="87" t="s">
        <v>15053</v>
      </c>
      <c r="J130" s="87" t="s">
        <v>5979</v>
      </c>
      <c r="K130" s="87" t="s">
        <v>14954</v>
      </c>
      <c r="L130" s="190" t="s">
        <v>8379</v>
      </c>
      <c r="M130" s="122" t="s">
        <v>8532</v>
      </c>
      <c r="N130" s="122" t="s">
        <v>8532</v>
      </c>
      <c r="O130" s="191" t="s">
        <v>8547</v>
      </c>
      <c r="P130" s="176" t="s">
        <v>8548</v>
      </c>
      <c r="Q130" s="142" t="s">
        <v>8545</v>
      </c>
      <c r="R130" s="158" t="s">
        <v>8546</v>
      </c>
      <c r="S130" s="158"/>
      <c r="T130" s="192" t="s">
        <v>2297</v>
      </c>
      <c r="U130" s="193">
        <v>41542</v>
      </c>
      <c r="V130" s="193">
        <v>41548</v>
      </c>
      <c r="W130" s="194">
        <f>IF(OR(U130="",V130="")," ",( V130-U130 + 1) - ((fWorkDay(U130,V130)-U130) - (V130-U130)))</f>
        <v>5</v>
      </c>
      <c r="X130" s="193">
        <v>41533</v>
      </c>
      <c r="Y130" s="193">
        <v>41533</v>
      </c>
      <c r="Z130" s="194">
        <f>IF(OR(X130="",Y130="")," ",( Y130-X130 + 1) - ((fWorkDay(X130,Y130)-X130) - (Y130-X130)))</f>
        <v>1</v>
      </c>
      <c r="AA130" s="188" t="s">
        <v>5546</v>
      </c>
      <c r="AB130" s="195"/>
    </row>
    <row r="131" spans="2:28" ht="27.75" thickBot="1">
      <c r="B131" s="188">
        <f>B132+1</f>
        <v>69</v>
      </c>
      <c r="C131" s="126" t="s">
        <v>8535</v>
      </c>
      <c r="D131" s="114" t="s">
        <v>5977</v>
      </c>
      <c r="E131" s="115" t="s">
        <v>15025</v>
      </c>
      <c r="F131" s="115" t="s">
        <v>14984</v>
      </c>
      <c r="G131" s="115" t="s">
        <v>14982</v>
      </c>
      <c r="H131" s="115" t="s">
        <v>15049</v>
      </c>
      <c r="I131" s="115" t="s">
        <v>15053</v>
      </c>
      <c r="J131" s="115" t="s">
        <v>5979</v>
      </c>
      <c r="K131" s="115" t="s">
        <v>14952</v>
      </c>
      <c r="L131" s="197" t="s">
        <v>8379</v>
      </c>
      <c r="M131" s="127" t="s">
        <v>8532</v>
      </c>
      <c r="N131" s="127" t="s">
        <v>8532</v>
      </c>
      <c r="O131" s="195" t="s">
        <v>7618</v>
      </c>
      <c r="P131" s="177" t="s">
        <v>6383</v>
      </c>
      <c r="Q131" s="143" t="s">
        <v>8545</v>
      </c>
      <c r="R131" s="159" t="s">
        <v>8546</v>
      </c>
      <c r="S131" s="159"/>
      <c r="T131" s="192" t="s">
        <v>2297</v>
      </c>
      <c r="U131" s="198">
        <v>41542</v>
      </c>
      <c r="V131" s="198">
        <v>41548</v>
      </c>
      <c r="W131" s="199">
        <f>IF(OR(U131="",V131="")," ",( V131-U131 + 1) - ((fWorkDay(U131,V131)-U131) - (V131-U131)))</f>
        <v>5</v>
      </c>
      <c r="X131" s="198">
        <v>41533</v>
      </c>
      <c r="Y131" s="198">
        <v>41533</v>
      </c>
      <c r="Z131" s="199">
        <f>IF(OR(X131="",Y131="")," ",( Y131-X131 + 1) - ((fWorkDay(X131,Y131)-X131) - (Y131-X131)))</f>
        <v>1</v>
      </c>
      <c r="AA131" s="196" t="s">
        <v>5546</v>
      </c>
      <c r="AB131" s="195"/>
    </row>
    <row r="132" spans="2:28" ht="101.25" customHeight="1">
      <c r="B132" s="188">
        <f t="shared" si="6"/>
        <v>68</v>
      </c>
      <c r="C132" s="130" t="s">
        <v>8535</v>
      </c>
      <c r="D132" s="118" t="s">
        <v>5977</v>
      </c>
      <c r="E132" s="119" t="s">
        <v>15024</v>
      </c>
      <c r="F132" s="119" t="s">
        <v>14986</v>
      </c>
      <c r="G132" s="119" t="s">
        <v>14980</v>
      </c>
      <c r="H132" s="119" t="s">
        <v>15049</v>
      </c>
      <c r="I132" s="119" t="s">
        <v>15053</v>
      </c>
      <c r="J132" s="119" t="s">
        <v>5979</v>
      </c>
      <c r="K132" s="119" t="s">
        <v>14953</v>
      </c>
      <c r="L132" s="200" t="s">
        <v>8379</v>
      </c>
      <c r="M132" s="124" t="s">
        <v>8532</v>
      </c>
      <c r="N132" s="124" t="s">
        <v>8532</v>
      </c>
      <c r="O132" s="201" t="s">
        <v>7631</v>
      </c>
      <c r="P132" s="178" t="s">
        <v>7632</v>
      </c>
      <c r="Q132" s="144" t="s">
        <v>8549</v>
      </c>
      <c r="R132" s="140" t="s">
        <v>8541</v>
      </c>
      <c r="S132" s="139" t="s">
        <v>8603</v>
      </c>
      <c r="T132" s="202" t="s">
        <v>2876</v>
      </c>
      <c r="U132" s="203">
        <v>41554</v>
      </c>
      <c r="V132" s="203">
        <v>41555</v>
      </c>
      <c r="W132" s="204">
        <f>IF(OR(U132="",V132="")," ",( V132-U132 + 1) - ((fWorkDay(U132,V132)-U132) - (V132-U132)))</f>
        <v>2</v>
      </c>
      <c r="X132" s="203">
        <v>41540</v>
      </c>
      <c r="Y132" s="203">
        <v>41540</v>
      </c>
      <c r="Z132" s="204">
        <f>IF(OR(X132="",Y132="")," ",( Y132-X132 + 1) - ((fWorkDay(X132,Y132)-X132) - (Y132-X132)))</f>
        <v>1</v>
      </c>
      <c r="AA132" s="205" t="s">
        <v>3471</v>
      </c>
      <c r="AB132" s="206"/>
    </row>
    <row r="133" spans="2:28" ht="139.5" customHeight="1" thickBot="1">
      <c r="B133" s="188">
        <f t="shared" si="6"/>
        <v>67</v>
      </c>
      <c r="C133" s="131" t="s">
        <v>8535</v>
      </c>
      <c r="D133" s="120" t="s">
        <v>5977</v>
      </c>
      <c r="E133" s="121" t="s">
        <v>15024</v>
      </c>
      <c r="F133" s="121" t="s">
        <v>14986</v>
      </c>
      <c r="G133" s="121" t="s">
        <v>14977</v>
      </c>
      <c r="H133" s="121" t="s">
        <v>15049</v>
      </c>
      <c r="I133" s="121" t="s">
        <v>15036</v>
      </c>
      <c r="J133" s="121" t="s">
        <v>5979</v>
      </c>
      <c r="K133" s="121" t="s">
        <v>14952</v>
      </c>
      <c r="L133" s="207" t="s">
        <v>8379</v>
      </c>
      <c r="M133" s="244" t="s">
        <v>8532</v>
      </c>
      <c r="N133" s="244" t="s">
        <v>8532</v>
      </c>
      <c r="O133" s="208" t="s">
        <v>8588</v>
      </c>
      <c r="P133" s="179" t="s">
        <v>8593</v>
      </c>
      <c r="Q133" s="145" t="s">
        <v>8583</v>
      </c>
      <c r="R133" s="160" t="s">
        <v>8550</v>
      </c>
      <c r="S133" s="277" t="s">
        <v>8587</v>
      </c>
      <c r="T133" s="209" t="s">
        <v>2876</v>
      </c>
      <c r="U133" s="210">
        <v>41554</v>
      </c>
      <c r="V133" s="210">
        <v>41555</v>
      </c>
      <c r="W133" s="211">
        <f>IF(OR(U133="",V133="")," ",( V133-U133 + 1) - ((fWorkDay(U133,V133)-U133) - (V133-U133)))</f>
        <v>2</v>
      </c>
      <c r="X133" s="210">
        <v>41540</v>
      </c>
      <c r="Y133" s="210">
        <v>41540</v>
      </c>
      <c r="Z133" s="211">
        <f>IF(OR(X133="",Y133="")," ",( Y133-X133 + 1) - ((fWorkDay(X133,Y133)-X133) - (Y133-X133)))</f>
        <v>1</v>
      </c>
      <c r="AA133" s="212" t="s">
        <v>3471</v>
      </c>
      <c r="AB133" s="213"/>
    </row>
    <row r="134" spans="2:28" ht="75.75" customHeight="1">
      <c r="B134" s="188">
        <f t="shared" si="6"/>
        <v>66</v>
      </c>
      <c r="C134" s="130" t="s">
        <v>8529</v>
      </c>
      <c r="D134" s="118" t="s">
        <v>5977</v>
      </c>
      <c r="E134" s="119" t="s">
        <v>15023</v>
      </c>
      <c r="F134" s="119" t="s">
        <v>14983</v>
      </c>
      <c r="G134" s="119" t="s">
        <v>14981</v>
      </c>
      <c r="H134" s="119" t="s">
        <v>15041</v>
      </c>
      <c r="I134" s="119" t="s">
        <v>15053</v>
      </c>
      <c r="J134" s="119" t="s">
        <v>5979</v>
      </c>
      <c r="K134" s="119" t="s">
        <v>14954</v>
      </c>
      <c r="L134" s="200" t="s">
        <v>8379</v>
      </c>
      <c r="M134" s="137" t="s">
        <v>8532</v>
      </c>
      <c r="N134" s="137" t="s">
        <v>8532</v>
      </c>
      <c r="O134" s="201" t="s">
        <v>8601</v>
      </c>
      <c r="P134" s="178" t="s">
        <v>8531</v>
      </c>
      <c r="Q134" s="144" t="s">
        <v>8559</v>
      </c>
      <c r="R134" s="161" t="s">
        <v>8551</v>
      </c>
      <c r="S134" s="278" t="s">
        <v>8526</v>
      </c>
      <c r="T134" s="202" t="s">
        <v>2876</v>
      </c>
      <c r="U134" s="203">
        <v>41548</v>
      </c>
      <c r="V134" s="203">
        <v>41551</v>
      </c>
      <c r="W134" s="204">
        <f>IF(OR(U134="",V134="")," ",( V134-U134 + 1) - ((fWorkDay(U134,V134)-U134) - (V134-U134)))</f>
        <v>4</v>
      </c>
      <c r="X134" s="203">
        <v>41533</v>
      </c>
      <c r="Y134" s="203">
        <v>41534</v>
      </c>
      <c r="Z134" s="204">
        <f>IF(OR(X134="",Y134="")," ",( Y134-X134 + 1) - ((fWorkDay(X134,Y134)-X134) - (Y134-X134)))</f>
        <v>2</v>
      </c>
      <c r="AA134" s="205" t="s">
        <v>5546</v>
      </c>
      <c r="AB134" s="206"/>
    </row>
    <row r="135" spans="2:28" ht="62.25" customHeight="1" thickBot="1">
      <c r="B135" s="188">
        <f t="shared" si="6"/>
        <v>65</v>
      </c>
      <c r="C135" s="131" t="s">
        <v>8530</v>
      </c>
      <c r="D135" s="120" t="s">
        <v>5977</v>
      </c>
      <c r="E135" s="121" t="s">
        <v>15023</v>
      </c>
      <c r="F135" s="121" t="s">
        <v>14985</v>
      </c>
      <c r="G135" s="121" t="s">
        <v>14987</v>
      </c>
      <c r="H135" s="121" t="s">
        <v>15046</v>
      </c>
      <c r="I135" s="121" t="s">
        <v>15053</v>
      </c>
      <c r="J135" s="121" t="s">
        <v>5979</v>
      </c>
      <c r="K135" s="121" t="s">
        <v>14954</v>
      </c>
      <c r="L135" s="207" t="s">
        <v>8379</v>
      </c>
      <c r="M135" s="138" t="s">
        <v>8532</v>
      </c>
      <c r="N135" s="138" t="s">
        <v>8532</v>
      </c>
      <c r="O135" s="208" t="s">
        <v>8592</v>
      </c>
      <c r="P135" s="179" t="s">
        <v>8589</v>
      </c>
      <c r="Q135" s="145" t="s">
        <v>8602</v>
      </c>
      <c r="R135" s="162"/>
      <c r="S135" s="162"/>
      <c r="T135" s="209" t="s">
        <v>2876</v>
      </c>
      <c r="U135" s="210">
        <v>41548</v>
      </c>
      <c r="V135" s="210">
        <v>41551</v>
      </c>
      <c r="W135" s="211">
        <f>IF(OR(U135="",V135="")," ",( V135-U135 + 1) - ((fWorkDay(U135,V135)-U135) - (V135-U135)))</f>
        <v>4</v>
      </c>
      <c r="X135" s="210">
        <v>41533</v>
      </c>
      <c r="Y135" s="210">
        <v>41534</v>
      </c>
      <c r="Z135" s="211">
        <f>IF(OR(X135="",Y135="")," ",( Y135-X135 + 1) - ((fWorkDay(X135,Y135)-X135) - (Y135-X135)))</f>
        <v>2</v>
      </c>
      <c r="AA135" s="212" t="s">
        <v>3471</v>
      </c>
      <c r="AB135" s="213"/>
    </row>
    <row r="136" spans="2:28" ht="42" customHeight="1">
      <c r="B136" s="188">
        <f t="shared" si="6"/>
        <v>64</v>
      </c>
      <c r="C136" s="130" t="s">
        <v>8536</v>
      </c>
      <c r="D136" s="118" t="s">
        <v>5977</v>
      </c>
      <c r="E136" s="119" t="s">
        <v>15024</v>
      </c>
      <c r="F136" s="119" t="s">
        <v>14984</v>
      </c>
      <c r="G136" s="119" t="s">
        <v>14982</v>
      </c>
      <c r="H136" s="119" t="s">
        <v>15049</v>
      </c>
      <c r="I136" s="119" t="s">
        <v>15053</v>
      </c>
      <c r="J136" s="119" t="s">
        <v>5979</v>
      </c>
      <c r="K136" s="119" t="s">
        <v>14952</v>
      </c>
      <c r="L136" s="205" t="s">
        <v>8379</v>
      </c>
      <c r="M136" s="124" t="s">
        <v>8532</v>
      </c>
      <c r="N136" s="124" t="s">
        <v>8532</v>
      </c>
      <c r="O136" s="201" t="s">
        <v>7627</v>
      </c>
      <c r="P136" s="178" t="s">
        <v>7628</v>
      </c>
      <c r="Q136" s="144" t="s">
        <v>8537</v>
      </c>
      <c r="R136" s="140" t="s">
        <v>8542</v>
      </c>
      <c r="S136" s="140"/>
      <c r="T136" s="214" t="s">
        <v>2876</v>
      </c>
      <c r="U136" s="203">
        <v>41542</v>
      </c>
      <c r="V136" s="203">
        <v>41548</v>
      </c>
      <c r="W136" s="204">
        <f>IF(OR(U136="",V136="")," ",( V136-U136 + 1) - ((fWorkDay(U136,V136)-U136) - (V136-U136)))</f>
        <v>5</v>
      </c>
      <c r="X136" s="203">
        <v>41530</v>
      </c>
      <c r="Y136" s="203">
        <v>41530</v>
      </c>
      <c r="Z136" s="204">
        <f>IF(OR(X136="",Y136="")," ",( Y136-X136 + 1) - ((fWorkDay(X136,Y136)-X136) - (Y136-X136)))</f>
        <v>1</v>
      </c>
      <c r="AA136" s="205" t="s">
        <v>5546</v>
      </c>
      <c r="AB136" s="215"/>
    </row>
    <row r="137" spans="2:28" ht="27">
      <c r="B137" s="188">
        <f t="shared" si="6"/>
        <v>63</v>
      </c>
      <c r="C137" s="128" t="s">
        <v>8533</v>
      </c>
      <c r="D137" s="116" t="s">
        <v>5977</v>
      </c>
      <c r="E137" s="117" t="s">
        <v>15025</v>
      </c>
      <c r="F137" s="117" t="s">
        <v>14986</v>
      </c>
      <c r="G137" s="117" t="s">
        <v>14980</v>
      </c>
      <c r="H137" s="117" t="s">
        <v>15049</v>
      </c>
      <c r="I137" s="117" t="s">
        <v>15053</v>
      </c>
      <c r="J137" s="117" t="s">
        <v>5979</v>
      </c>
      <c r="K137" s="117" t="s">
        <v>14953</v>
      </c>
      <c r="L137" s="217" t="s">
        <v>8379</v>
      </c>
      <c r="M137" s="134" t="s">
        <v>8532</v>
      </c>
      <c r="N137" s="134" t="s">
        <v>8532</v>
      </c>
      <c r="O137" s="218" t="s">
        <v>14971</v>
      </c>
      <c r="P137" s="180" t="s">
        <v>8590</v>
      </c>
      <c r="Q137" s="146" t="s">
        <v>8534</v>
      </c>
      <c r="R137" s="163"/>
      <c r="S137" s="172"/>
      <c r="T137" s="219" t="s">
        <v>2876</v>
      </c>
      <c r="U137" s="220">
        <v>41542</v>
      </c>
      <c r="V137" s="220">
        <v>41548</v>
      </c>
      <c r="W137" s="221">
        <f>IF(OR(U137="",V137="")," ",( V137-U137 + 1) - ((fWorkDay(U137,V137)-U137) - (V137-U137)))</f>
        <v>5</v>
      </c>
      <c r="X137" s="220">
        <v>41530</v>
      </c>
      <c r="Y137" s="220">
        <v>41530</v>
      </c>
      <c r="Z137" s="221">
        <f>IF(OR(X137="",Y137="")," ",( Y137-X137 + 1) - ((fWorkDay(X137,Y137)-X137) - (Y137-X137)))</f>
        <v>1</v>
      </c>
      <c r="AA137" s="222" t="s">
        <v>3471</v>
      </c>
      <c r="AB137" s="223"/>
    </row>
    <row r="138" spans="2:28" ht="110.25" customHeight="1" thickBot="1">
      <c r="B138" s="188">
        <f t="shared" si="6"/>
        <v>62</v>
      </c>
      <c r="C138" s="126" t="s">
        <v>8538</v>
      </c>
      <c r="D138" s="114" t="s">
        <v>5977</v>
      </c>
      <c r="E138" s="115" t="s">
        <v>15024</v>
      </c>
      <c r="F138" s="115" t="s">
        <v>14986</v>
      </c>
      <c r="G138" s="115" t="s">
        <v>14977</v>
      </c>
      <c r="H138" s="115" t="s">
        <v>15049</v>
      </c>
      <c r="I138" s="115" t="s">
        <v>15053</v>
      </c>
      <c r="J138" s="115" t="s">
        <v>5979</v>
      </c>
      <c r="K138" s="115" t="s">
        <v>14952</v>
      </c>
      <c r="L138" s="197" t="s">
        <v>8379</v>
      </c>
      <c r="M138" s="127" t="s">
        <v>8532</v>
      </c>
      <c r="N138" s="127" t="s">
        <v>8532</v>
      </c>
      <c r="O138" s="195" t="s">
        <v>7612</v>
      </c>
      <c r="P138" s="177" t="s">
        <v>7613</v>
      </c>
      <c r="Q138" s="143" t="s">
        <v>8539</v>
      </c>
      <c r="R138" s="159" t="s">
        <v>8540</v>
      </c>
      <c r="S138" s="159" t="s">
        <v>8543</v>
      </c>
      <c r="T138" s="192" t="s">
        <v>2876</v>
      </c>
      <c r="U138" s="198">
        <v>41542</v>
      </c>
      <c r="V138" s="198">
        <v>41548</v>
      </c>
      <c r="W138" s="199">
        <f>IF(OR(U138="",V138="")," ",( V138-U138 + 1) - ((fWorkDay(U138,V138)-U138) - (V138-U138)))</f>
        <v>5</v>
      </c>
      <c r="X138" s="220">
        <v>41530</v>
      </c>
      <c r="Y138" s="220">
        <v>41533</v>
      </c>
      <c r="Z138" s="199">
        <f>IF(OR(X138="",Y138="")," ",( Y138-X138 + 1) - ((fWorkDay(X138,Y138)-X138) - (Y138-X138)))</f>
        <v>2</v>
      </c>
      <c r="AA138" s="196" t="s">
        <v>5546</v>
      </c>
      <c r="AB138" s="224"/>
    </row>
    <row r="139" spans="2:28" ht="48" customHeight="1">
      <c r="B139" s="188">
        <f t="shared" si="6"/>
        <v>61</v>
      </c>
      <c r="C139" s="130" t="s">
        <v>8380</v>
      </c>
      <c r="D139" s="118" t="s">
        <v>5977</v>
      </c>
      <c r="E139" s="119" t="s">
        <v>15024</v>
      </c>
      <c r="F139" s="119" t="s">
        <v>14983</v>
      </c>
      <c r="G139" s="119" t="s">
        <v>14981</v>
      </c>
      <c r="H139" s="119" t="s">
        <v>15049</v>
      </c>
      <c r="I139" s="119" t="s">
        <v>15036</v>
      </c>
      <c r="J139" s="119" t="s">
        <v>5979</v>
      </c>
      <c r="K139" s="119" t="s">
        <v>14954</v>
      </c>
      <c r="L139" s="205" t="s">
        <v>8379</v>
      </c>
      <c r="M139" s="124" t="s">
        <v>6016</v>
      </c>
      <c r="N139" s="124" t="s">
        <v>6016</v>
      </c>
      <c r="O139" s="191" t="s">
        <v>8557</v>
      </c>
      <c r="P139" s="176" t="s">
        <v>8558</v>
      </c>
      <c r="Q139" s="144" t="s">
        <v>8523</v>
      </c>
      <c r="R139" s="140" t="s">
        <v>8381</v>
      </c>
      <c r="S139" s="279" t="s">
        <v>8544</v>
      </c>
      <c r="T139" s="214" t="s">
        <v>4936</v>
      </c>
      <c r="U139" s="203">
        <v>41533</v>
      </c>
      <c r="V139" s="203">
        <v>41534</v>
      </c>
      <c r="W139" s="204">
        <f>IF(OR(U139="",V139="")," ",( V139-U139 + 1) - ((fWorkDay(U139,V139)-U139) - (V139-U139)))</f>
        <v>2</v>
      </c>
      <c r="X139" s="203">
        <v>41527</v>
      </c>
      <c r="Y139" s="203"/>
      <c r="Z139" s="204" t="str">
        <f>IF(OR(X139="",Y139="")," ",( Y139-X139 + 1) - ((fWorkDay(X139,Y139)-X139) - (Y139-X139)))</f>
        <v xml:space="preserve"> </v>
      </c>
      <c r="AA139" s="205" t="s">
        <v>5546</v>
      </c>
      <c r="AB139" s="215"/>
    </row>
    <row r="140" spans="2:28">
      <c r="B140" s="188">
        <f t="shared" si="6"/>
        <v>60</v>
      </c>
      <c r="C140" s="96" t="s">
        <v>8380</v>
      </c>
      <c r="D140" s="24" t="s">
        <v>5977</v>
      </c>
      <c r="E140" s="87" t="s">
        <v>15023</v>
      </c>
      <c r="F140" s="87" t="s">
        <v>14985</v>
      </c>
      <c r="G140" s="87" t="s">
        <v>14987</v>
      </c>
      <c r="H140" s="87" t="s">
        <v>15041</v>
      </c>
      <c r="I140" s="87" t="s">
        <v>15053</v>
      </c>
      <c r="J140" s="87" t="s">
        <v>5979</v>
      </c>
      <c r="K140" s="87" t="s">
        <v>14954</v>
      </c>
      <c r="L140" s="188" t="s">
        <v>8379</v>
      </c>
      <c r="M140" s="113" t="s">
        <v>6016</v>
      </c>
      <c r="N140" s="113" t="s">
        <v>6016</v>
      </c>
      <c r="O140" s="191" t="s">
        <v>8557</v>
      </c>
      <c r="P140" s="176" t="s">
        <v>8558</v>
      </c>
      <c r="Q140" s="142"/>
      <c r="R140" s="158"/>
      <c r="S140" s="174" t="s">
        <v>8527</v>
      </c>
      <c r="T140" s="225" t="s">
        <v>4936</v>
      </c>
      <c r="U140" s="193">
        <v>41533</v>
      </c>
      <c r="V140" s="193">
        <v>41534</v>
      </c>
      <c r="W140" s="194">
        <f>IF(OR(U140="",V140="")," ",( V140-U140 + 1) - ((fWorkDay(U140,V140)-U140) - (V140-U140)))</f>
        <v>2</v>
      </c>
      <c r="X140" s="193">
        <v>41527</v>
      </c>
      <c r="Y140" s="193"/>
      <c r="Z140" s="194" t="str">
        <f>IF(OR(X140="",Y140="")," ",( Y140-X140 + 1) - ((fWorkDay(X140,Y140)-X140) - (Y140-X140)))</f>
        <v xml:space="preserve"> </v>
      </c>
      <c r="AA140" s="188" t="s">
        <v>5546</v>
      </c>
      <c r="AB140" s="226"/>
    </row>
    <row r="141" spans="2:28" ht="33">
      <c r="B141" s="188">
        <f t="shared" si="6"/>
        <v>59</v>
      </c>
      <c r="C141" s="96" t="s">
        <v>8380</v>
      </c>
      <c r="D141" s="24" t="s">
        <v>5977</v>
      </c>
      <c r="E141" s="87" t="s">
        <v>15023</v>
      </c>
      <c r="F141" s="87" t="s">
        <v>14984</v>
      </c>
      <c r="G141" s="87" t="s">
        <v>14982</v>
      </c>
      <c r="H141" s="87" t="s">
        <v>15046</v>
      </c>
      <c r="I141" s="87" t="s">
        <v>15053</v>
      </c>
      <c r="J141" s="87" t="s">
        <v>5979</v>
      </c>
      <c r="K141" s="87" t="s">
        <v>14952</v>
      </c>
      <c r="L141" s="188" t="s">
        <v>8379</v>
      </c>
      <c r="M141" s="113" t="s">
        <v>6016</v>
      </c>
      <c r="N141" s="113" t="s">
        <v>6016</v>
      </c>
      <c r="O141" s="191" t="s">
        <v>8557</v>
      </c>
      <c r="P141" s="176" t="s">
        <v>8558</v>
      </c>
      <c r="Q141" s="142"/>
      <c r="R141" s="158"/>
      <c r="S141" s="280" t="s">
        <v>8552</v>
      </c>
      <c r="T141" s="225" t="s">
        <v>4936</v>
      </c>
      <c r="U141" s="193">
        <v>41533</v>
      </c>
      <c r="V141" s="193">
        <v>41534</v>
      </c>
      <c r="W141" s="194">
        <f>IF(OR(U141="",V141="")," ",( V141-U141 + 1) - ((fWorkDay(U141,V141)-U141) - (V141-U141)))</f>
        <v>2</v>
      </c>
      <c r="X141" s="193">
        <v>41527</v>
      </c>
      <c r="Y141" s="193"/>
      <c r="Z141" s="194" t="str">
        <f>IF(OR(X141="",Y141="")," ",( Y141-X141 + 1) - ((fWorkDay(X141,Y141)-X141) - (Y141-X141)))</f>
        <v xml:space="preserve"> </v>
      </c>
      <c r="AA141" s="188" t="s">
        <v>5546</v>
      </c>
      <c r="AB141" s="226"/>
    </row>
    <row r="142" spans="2:28">
      <c r="B142" s="188">
        <f t="shared" si="6"/>
        <v>58</v>
      </c>
      <c r="C142" s="96" t="s">
        <v>8380</v>
      </c>
      <c r="D142" s="24" t="s">
        <v>5977</v>
      </c>
      <c r="E142" s="87" t="s">
        <v>15024</v>
      </c>
      <c r="F142" s="87" t="s">
        <v>14986</v>
      </c>
      <c r="G142" s="87" t="s">
        <v>14980</v>
      </c>
      <c r="H142" s="87" t="s">
        <v>15049</v>
      </c>
      <c r="I142" s="87" t="s">
        <v>15053</v>
      </c>
      <c r="J142" s="87" t="s">
        <v>5979</v>
      </c>
      <c r="K142" s="87" t="s">
        <v>14953</v>
      </c>
      <c r="L142" s="188" t="s">
        <v>8379</v>
      </c>
      <c r="M142" s="113" t="s">
        <v>6016</v>
      </c>
      <c r="N142" s="113" t="s">
        <v>6016</v>
      </c>
      <c r="O142" s="191" t="s">
        <v>8557</v>
      </c>
      <c r="P142" s="176" t="s">
        <v>8558</v>
      </c>
      <c r="Q142" s="142"/>
      <c r="R142" s="158"/>
      <c r="S142" s="280" t="s">
        <v>8553</v>
      </c>
      <c r="T142" s="225" t="s">
        <v>4936</v>
      </c>
      <c r="U142" s="193">
        <v>41533</v>
      </c>
      <c r="V142" s="193">
        <v>41534</v>
      </c>
      <c r="W142" s="194">
        <f>IF(OR(U142="",V142="")," ",( V142-U142 + 1) - ((fWorkDay(U142,V142)-U142) - (V142-U142)))</f>
        <v>2</v>
      </c>
      <c r="X142" s="193">
        <v>41527</v>
      </c>
      <c r="Y142" s="193"/>
      <c r="Z142" s="194" t="str">
        <f>IF(OR(X142="",Y142="")," ",( Y142-X142 + 1) - ((fWorkDay(X142,Y142)-X142) - (Y142-X142)))</f>
        <v xml:space="preserve"> </v>
      </c>
      <c r="AA142" s="188" t="s">
        <v>5546</v>
      </c>
      <c r="AB142" s="226"/>
    </row>
    <row r="143" spans="2:28">
      <c r="B143" s="188">
        <f t="shared" si="6"/>
        <v>57</v>
      </c>
      <c r="C143" s="96" t="s">
        <v>8380</v>
      </c>
      <c r="D143" s="24" t="s">
        <v>5977</v>
      </c>
      <c r="E143" s="87" t="s">
        <v>15025</v>
      </c>
      <c r="F143" s="87" t="s">
        <v>14986</v>
      </c>
      <c r="G143" s="87" t="s">
        <v>14977</v>
      </c>
      <c r="H143" s="87" t="s">
        <v>15049</v>
      </c>
      <c r="I143" s="87" t="s">
        <v>15053</v>
      </c>
      <c r="J143" s="87" t="s">
        <v>5979</v>
      </c>
      <c r="K143" s="87" t="s">
        <v>14952</v>
      </c>
      <c r="L143" s="188" t="s">
        <v>8379</v>
      </c>
      <c r="M143" s="113" t="s">
        <v>6016</v>
      </c>
      <c r="N143" s="113" t="s">
        <v>6016</v>
      </c>
      <c r="O143" s="191" t="s">
        <v>8557</v>
      </c>
      <c r="P143" s="176" t="s">
        <v>8558</v>
      </c>
      <c r="Q143" s="142"/>
      <c r="R143" s="158"/>
      <c r="S143" s="280" t="s">
        <v>8554</v>
      </c>
      <c r="T143" s="225" t="s">
        <v>4936</v>
      </c>
      <c r="U143" s="193">
        <v>41533</v>
      </c>
      <c r="V143" s="193">
        <v>41534</v>
      </c>
      <c r="W143" s="194">
        <f>IF(OR(U143="",V143="")," ",( V143-U143 + 1) - ((fWorkDay(U143,V143)-U143) - (V143-U143)))</f>
        <v>2</v>
      </c>
      <c r="X143" s="193">
        <v>41527</v>
      </c>
      <c r="Y143" s="193"/>
      <c r="Z143" s="194" t="str">
        <f>IF(OR(X143="",Y143="")," ",( Y143-X143 + 1) - ((fWorkDay(X143,Y143)-X143) - (Y143-X143)))</f>
        <v xml:space="preserve"> </v>
      </c>
      <c r="AA143" s="188" t="s">
        <v>5546</v>
      </c>
      <c r="AB143" s="226"/>
    </row>
    <row r="144" spans="2:28">
      <c r="B144" s="188">
        <f t="shared" si="6"/>
        <v>56</v>
      </c>
      <c r="C144" s="96" t="s">
        <v>8380</v>
      </c>
      <c r="D144" s="24" t="s">
        <v>5977</v>
      </c>
      <c r="E144" s="87" t="s">
        <v>15024</v>
      </c>
      <c r="F144" s="87" t="s">
        <v>14983</v>
      </c>
      <c r="G144" s="87" t="s">
        <v>14981</v>
      </c>
      <c r="H144" s="87" t="s">
        <v>15049</v>
      </c>
      <c r="I144" s="87" t="s">
        <v>15053</v>
      </c>
      <c r="J144" s="87" t="s">
        <v>5979</v>
      </c>
      <c r="K144" s="87" t="s">
        <v>14954</v>
      </c>
      <c r="L144" s="188" t="s">
        <v>8379</v>
      </c>
      <c r="M144" s="113" t="s">
        <v>6016</v>
      </c>
      <c r="N144" s="113" t="s">
        <v>6016</v>
      </c>
      <c r="O144" s="191" t="s">
        <v>8557</v>
      </c>
      <c r="P144" s="176" t="s">
        <v>8558</v>
      </c>
      <c r="Q144" s="142"/>
      <c r="R144" s="158"/>
      <c r="S144" s="280" t="s">
        <v>8555</v>
      </c>
      <c r="T144" s="225" t="s">
        <v>4936</v>
      </c>
      <c r="U144" s="193">
        <v>41533</v>
      </c>
      <c r="V144" s="193">
        <v>41534</v>
      </c>
      <c r="W144" s="194">
        <f>IF(OR(U144="",V144="")," ",( V144-U144 + 1) - ((fWorkDay(U144,V144)-U144) - (V144-U144)))</f>
        <v>2</v>
      </c>
      <c r="X144" s="193">
        <v>41527</v>
      </c>
      <c r="Y144" s="193"/>
      <c r="Z144" s="194" t="str">
        <f>IF(OR(X144="",Y144="")," ",( Y144-X144 + 1) - ((fWorkDay(X144,Y144)-X144) - (Y144-X144)))</f>
        <v xml:space="preserve"> </v>
      </c>
      <c r="AA144" s="188" t="s">
        <v>5546</v>
      </c>
      <c r="AB144" s="226"/>
    </row>
    <row r="145" spans="2:28">
      <c r="B145" s="188">
        <f t="shared" si="6"/>
        <v>55</v>
      </c>
      <c r="C145" s="96" t="s">
        <v>8380</v>
      </c>
      <c r="D145" s="24" t="s">
        <v>5977</v>
      </c>
      <c r="E145" s="87" t="s">
        <v>15024</v>
      </c>
      <c r="F145" s="87" t="s">
        <v>14985</v>
      </c>
      <c r="G145" s="87" t="s">
        <v>14987</v>
      </c>
      <c r="H145" s="87" t="s">
        <v>15049</v>
      </c>
      <c r="I145" s="87" t="s">
        <v>15036</v>
      </c>
      <c r="J145" s="87" t="s">
        <v>5979</v>
      </c>
      <c r="K145" s="87" t="s">
        <v>14954</v>
      </c>
      <c r="L145" s="188" t="s">
        <v>8379</v>
      </c>
      <c r="M145" s="113" t="s">
        <v>6016</v>
      </c>
      <c r="N145" s="113" t="s">
        <v>6016</v>
      </c>
      <c r="O145" s="218" t="s">
        <v>8557</v>
      </c>
      <c r="P145" s="180" t="s">
        <v>8558</v>
      </c>
      <c r="Q145" s="142"/>
      <c r="R145" s="158"/>
      <c r="S145" s="280" t="s">
        <v>8556</v>
      </c>
      <c r="T145" s="225" t="s">
        <v>4936</v>
      </c>
      <c r="U145" s="193">
        <v>41533</v>
      </c>
      <c r="V145" s="193">
        <v>41534</v>
      </c>
      <c r="W145" s="194">
        <f>IF(OR(U145="",V145="")," ",( V145-U145 + 1) - ((fWorkDay(U145,V145)-U145) - (V145-U145)))</f>
        <v>2</v>
      </c>
      <c r="X145" s="193">
        <v>41527</v>
      </c>
      <c r="Y145" s="193"/>
      <c r="Z145" s="194" t="str">
        <f>IF(OR(X145="",Y145="")," ",( Y145-X145 + 1) - ((fWorkDay(X145,Y145)-X145) - (Y145-X145)))</f>
        <v xml:space="preserve"> </v>
      </c>
      <c r="AA145" s="188" t="s">
        <v>5546</v>
      </c>
      <c r="AB145" s="226"/>
    </row>
    <row r="146" spans="2:28" ht="40.5">
      <c r="B146" s="188">
        <f t="shared" ref="B146:B197" si="7">B147+1</f>
        <v>54</v>
      </c>
      <c r="C146" s="96" t="s">
        <v>8382</v>
      </c>
      <c r="D146" s="24" t="s">
        <v>5977</v>
      </c>
      <c r="E146" s="87" t="s">
        <v>15023</v>
      </c>
      <c r="F146" s="87" t="s">
        <v>14984</v>
      </c>
      <c r="G146" s="87" t="s">
        <v>14982</v>
      </c>
      <c r="H146" s="87" t="s">
        <v>15041</v>
      </c>
      <c r="I146" s="87" t="s">
        <v>15053</v>
      </c>
      <c r="J146" s="87" t="s">
        <v>5979</v>
      </c>
      <c r="K146" s="87" t="s">
        <v>14952</v>
      </c>
      <c r="L146" s="190" t="s">
        <v>8379</v>
      </c>
      <c r="M146" s="113" t="s">
        <v>6016</v>
      </c>
      <c r="N146" s="113" t="s">
        <v>6016</v>
      </c>
      <c r="O146" s="191" t="s">
        <v>6024</v>
      </c>
      <c r="P146" s="176" t="s">
        <v>8061</v>
      </c>
      <c r="Q146" s="142" t="s">
        <v>8383</v>
      </c>
      <c r="R146" s="158"/>
      <c r="S146" s="158"/>
      <c r="T146" s="192" t="s">
        <v>2297</v>
      </c>
      <c r="U146" s="193">
        <v>41540</v>
      </c>
      <c r="V146" s="193">
        <v>41541</v>
      </c>
      <c r="W146" s="194">
        <f>IF(OR(U146="",V146="")," ",( V146-U146 + 1) - ((fWorkDay(U146,V146)-U146) - (V146-U146)))</f>
        <v>2</v>
      </c>
      <c r="X146" s="193">
        <v>41521</v>
      </c>
      <c r="Y146" s="193">
        <v>41521</v>
      </c>
      <c r="Z146" s="194">
        <f>IF(OR(X146="",Y146="")," ",( Y146-X146 + 1) - ((fWorkDay(X146,Y146)-X146) - (Y146-X146)))</f>
        <v>1</v>
      </c>
      <c r="AA146" s="188" t="s">
        <v>5546</v>
      </c>
      <c r="AB146" s="224"/>
    </row>
    <row r="147" spans="2:28" ht="95.25" customHeight="1">
      <c r="B147" s="188">
        <f t="shared" si="7"/>
        <v>53</v>
      </c>
      <c r="C147" s="96" t="s">
        <v>8373</v>
      </c>
      <c r="D147" s="24" t="s">
        <v>5977</v>
      </c>
      <c r="E147" s="87" t="s">
        <v>15023</v>
      </c>
      <c r="F147" s="87" t="s">
        <v>14986</v>
      </c>
      <c r="G147" s="87" t="s">
        <v>14980</v>
      </c>
      <c r="H147" s="87" t="s">
        <v>15046</v>
      </c>
      <c r="I147" s="87" t="s">
        <v>15053</v>
      </c>
      <c r="J147" s="87" t="s">
        <v>5979</v>
      </c>
      <c r="K147" s="87" t="s">
        <v>14953</v>
      </c>
      <c r="L147" s="190" t="s">
        <v>8379</v>
      </c>
      <c r="M147" s="113" t="s">
        <v>6016</v>
      </c>
      <c r="N147" s="113" t="s">
        <v>6016</v>
      </c>
      <c r="O147" s="191" t="s">
        <v>6026</v>
      </c>
      <c r="P147" s="176" t="s">
        <v>8062</v>
      </c>
      <c r="Q147" s="142" t="s">
        <v>8386</v>
      </c>
      <c r="R147" s="164" t="s">
        <v>15030</v>
      </c>
      <c r="S147" s="164"/>
      <c r="T147" s="192" t="s">
        <v>2876</v>
      </c>
      <c r="U147" s="193">
        <v>41519</v>
      </c>
      <c r="V147" s="193">
        <v>41521</v>
      </c>
      <c r="W147" s="194">
        <f>IF(OR(U147="",V147="")," ",( V147-U147 + 1) - ((fWorkDay(U147,V147)-U147) - (V147-U147)))</f>
        <v>3</v>
      </c>
      <c r="X147" s="193">
        <v>41522</v>
      </c>
      <c r="Y147" s="193">
        <v>41523</v>
      </c>
      <c r="Z147" s="194">
        <f>IF(OR(X147="",Y147="")," ",( Y147-X147 + 1) - ((fWorkDay(X147,Y147)-X147) - (Y147-X147)))</f>
        <v>2</v>
      </c>
      <c r="AA147" s="188" t="s">
        <v>5546</v>
      </c>
      <c r="AB147" s="224"/>
    </row>
    <row r="148" spans="2:28" ht="67.5">
      <c r="B148" s="188">
        <f t="shared" si="7"/>
        <v>52</v>
      </c>
      <c r="C148" s="96" t="s">
        <v>8374</v>
      </c>
      <c r="D148" s="24" t="s">
        <v>5977</v>
      </c>
      <c r="E148" s="87" t="s">
        <v>15024</v>
      </c>
      <c r="F148" s="87" t="s">
        <v>14986</v>
      </c>
      <c r="G148" s="87" t="s">
        <v>14977</v>
      </c>
      <c r="H148" s="87" t="s">
        <v>15049</v>
      </c>
      <c r="I148" s="87" t="s">
        <v>15053</v>
      </c>
      <c r="J148" s="87" t="s">
        <v>5979</v>
      </c>
      <c r="K148" s="87" t="s">
        <v>14952</v>
      </c>
      <c r="L148" s="190" t="s">
        <v>8379</v>
      </c>
      <c r="M148" s="113" t="s">
        <v>6016</v>
      </c>
      <c r="N148" s="113" t="s">
        <v>6016</v>
      </c>
      <c r="O148" s="191" t="s">
        <v>8518</v>
      </c>
      <c r="P148" s="176" t="s">
        <v>8061</v>
      </c>
      <c r="Q148" s="142" t="s">
        <v>8384</v>
      </c>
      <c r="R148" s="164" t="s">
        <v>8385</v>
      </c>
      <c r="S148" s="164"/>
      <c r="T148" s="192" t="s">
        <v>2297</v>
      </c>
      <c r="U148" s="193">
        <v>41521</v>
      </c>
      <c r="V148" s="193">
        <v>41523</v>
      </c>
      <c r="W148" s="194">
        <f>IF(OR(U148="",V148="")," ",( V148-U148 + 1) - ((fWorkDay(U148,V148)-U148) - (V148-U148)))</f>
        <v>3</v>
      </c>
      <c r="X148" s="193">
        <v>41521</v>
      </c>
      <c r="Y148" s="193">
        <v>41521</v>
      </c>
      <c r="Z148" s="194">
        <f>IF(OR(X148="",Y148="")," ",( Y148-X148 + 1) - ((fWorkDay(X148,Y148)-X148) - (Y148-X148)))</f>
        <v>1</v>
      </c>
      <c r="AA148" s="188" t="s">
        <v>5546</v>
      </c>
      <c r="AB148" s="224"/>
    </row>
    <row r="149" spans="2:28" ht="108">
      <c r="B149" s="188">
        <f t="shared" si="7"/>
        <v>51</v>
      </c>
      <c r="C149" s="96" t="s">
        <v>8387</v>
      </c>
      <c r="D149" s="24" t="s">
        <v>5977</v>
      </c>
      <c r="E149" s="87" t="s">
        <v>15025</v>
      </c>
      <c r="F149" s="87" t="s">
        <v>14983</v>
      </c>
      <c r="G149" s="87" t="s">
        <v>14981</v>
      </c>
      <c r="H149" s="87" t="s">
        <v>15049</v>
      </c>
      <c r="I149" s="87" t="s">
        <v>15053</v>
      </c>
      <c r="J149" s="87" t="s">
        <v>5979</v>
      </c>
      <c r="K149" s="87" t="s">
        <v>14954</v>
      </c>
      <c r="L149" s="190" t="s">
        <v>8379</v>
      </c>
      <c r="M149" s="113" t="s">
        <v>8431</v>
      </c>
      <c r="N149" s="113" t="s">
        <v>6016</v>
      </c>
      <c r="O149" s="191" t="s">
        <v>7614</v>
      </c>
      <c r="P149" s="176" t="s">
        <v>6380</v>
      </c>
      <c r="Q149" s="142" t="s">
        <v>8388</v>
      </c>
      <c r="R149" s="164" t="s">
        <v>8599</v>
      </c>
      <c r="S149" s="280" t="s">
        <v>8525</v>
      </c>
      <c r="T149" s="192" t="s">
        <v>2876</v>
      </c>
      <c r="U149" s="193">
        <v>41528</v>
      </c>
      <c r="V149" s="193">
        <v>41530</v>
      </c>
      <c r="W149" s="194">
        <f>IF(OR(U149="",V149="")," ",( V149-U149 + 1) - ((fWorkDay(U149,V149)-U149) - (V149-U149)))</f>
        <v>3</v>
      </c>
      <c r="X149" s="193">
        <v>41526</v>
      </c>
      <c r="Y149" s="193">
        <v>41526</v>
      </c>
      <c r="Z149" s="194">
        <f>IF(OR(X149="",Y149="")," ",( Y149-X149 + 1) - ((fWorkDay(X149,Y149)-X149) - (Y149-X149)))</f>
        <v>1</v>
      </c>
      <c r="AA149" s="188" t="s">
        <v>5546</v>
      </c>
      <c r="AB149" s="224"/>
    </row>
    <row r="150" spans="2:28" ht="94.5">
      <c r="B150" s="188">
        <f t="shared" si="7"/>
        <v>50</v>
      </c>
      <c r="C150" s="96" t="s">
        <v>8389</v>
      </c>
      <c r="D150" s="24" t="s">
        <v>5977</v>
      </c>
      <c r="E150" s="87" t="s">
        <v>15024</v>
      </c>
      <c r="F150" s="87" t="s">
        <v>14985</v>
      </c>
      <c r="G150" s="87" t="s">
        <v>14987</v>
      </c>
      <c r="H150" s="87" t="s">
        <v>15049</v>
      </c>
      <c r="I150" s="87" t="s">
        <v>15053</v>
      </c>
      <c r="J150" s="87" t="s">
        <v>5979</v>
      </c>
      <c r="K150" s="87" t="s">
        <v>14954</v>
      </c>
      <c r="L150" s="190" t="s">
        <v>8379</v>
      </c>
      <c r="M150" s="113" t="s">
        <v>6016</v>
      </c>
      <c r="N150" s="113" t="s">
        <v>6016</v>
      </c>
      <c r="O150" s="191" t="s">
        <v>7614</v>
      </c>
      <c r="P150" s="176" t="s">
        <v>6380</v>
      </c>
      <c r="Q150" s="142" t="s">
        <v>8528</v>
      </c>
      <c r="R150" s="164" t="s">
        <v>8551</v>
      </c>
      <c r="S150" s="278" t="s">
        <v>8526</v>
      </c>
      <c r="T150" s="192" t="s">
        <v>2876</v>
      </c>
      <c r="U150" s="193">
        <v>41548</v>
      </c>
      <c r="V150" s="193">
        <v>41551</v>
      </c>
      <c r="W150" s="194">
        <f>IF(OR(U150="",V150="")," ",( V150-U150 + 1) - ((fWorkDay(U150,V150)-U150) - (V150-U150)))</f>
        <v>4</v>
      </c>
      <c r="X150" s="193">
        <v>41528</v>
      </c>
      <c r="Y150" s="193">
        <v>41528</v>
      </c>
      <c r="Z150" s="194">
        <f>IF(OR(X150="",Y150="")," ",( Y150-X150 + 1) - ((fWorkDay(X150,Y150)-X150) - (Y150-X150)))</f>
        <v>1</v>
      </c>
      <c r="AA150" s="188" t="s">
        <v>5546</v>
      </c>
      <c r="AB150" s="224"/>
    </row>
    <row r="151" spans="2:28" s="269" customFormat="1" ht="27">
      <c r="B151" s="188">
        <f t="shared" si="7"/>
        <v>49</v>
      </c>
      <c r="C151" s="96" t="s">
        <v>8390</v>
      </c>
      <c r="D151" s="24" t="s">
        <v>5977</v>
      </c>
      <c r="E151" s="257" t="s">
        <v>15024</v>
      </c>
      <c r="F151" s="257" t="s">
        <v>14984</v>
      </c>
      <c r="G151" s="257" t="s">
        <v>14982</v>
      </c>
      <c r="H151" s="257" t="s">
        <v>15049</v>
      </c>
      <c r="I151" s="257" t="s">
        <v>15036</v>
      </c>
      <c r="J151" s="257" t="s">
        <v>5979</v>
      </c>
      <c r="K151" s="257" t="s">
        <v>14952</v>
      </c>
      <c r="L151" s="259" t="s">
        <v>8379</v>
      </c>
      <c r="M151" s="260" t="s">
        <v>6016</v>
      </c>
      <c r="N151" s="260" t="s">
        <v>6016</v>
      </c>
      <c r="O151" s="261" t="s">
        <v>7618</v>
      </c>
      <c r="P151" s="262" t="s">
        <v>6383</v>
      </c>
      <c r="Q151" s="263" t="s">
        <v>8391</v>
      </c>
      <c r="R151" s="264" t="s">
        <v>8600</v>
      </c>
      <c r="S151" s="264"/>
      <c r="T151" s="265" t="s">
        <v>4936</v>
      </c>
      <c r="U151" s="266">
        <v>41540</v>
      </c>
      <c r="V151" s="266">
        <v>41544</v>
      </c>
      <c r="W151" s="194">
        <f>IF(OR(U151="",V151="")," ",( V151-U151 + 1) - ((fWorkDay(U151,V151)-U151) - (V151-U151)))</f>
        <v>5</v>
      </c>
      <c r="X151" s="266"/>
      <c r="Y151" s="266"/>
      <c r="Z151" s="194" t="str">
        <f>IF(OR(X151="",Y151="")," ",( Y151-X151 + 1) - ((fWorkDay(X151,Y151)-X151) - (Y151-X151)))</f>
        <v xml:space="preserve"> </v>
      </c>
      <c r="AA151" s="267" t="s">
        <v>5546</v>
      </c>
      <c r="AB151" s="268"/>
    </row>
    <row r="152" spans="2:28" ht="54">
      <c r="B152" s="188">
        <f t="shared" si="7"/>
        <v>48</v>
      </c>
      <c r="C152" s="96" t="s">
        <v>8392</v>
      </c>
      <c r="D152" s="24" t="s">
        <v>5977</v>
      </c>
      <c r="E152" s="87" t="s">
        <v>15023</v>
      </c>
      <c r="F152" s="87" t="s">
        <v>14986</v>
      </c>
      <c r="G152" s="87" t="s">
        <v>14980</v>
      </c>
      <c r="H152" s="87" t="s">
        <v>15041</v>
      </c>
      <c r="I152" s="87" t="s">
        <v>15053</v>
      </c>
      <c r="J152" s="87" t="s">
        <v>5979</v>
      </c>
      <c r="K152" s="87" t="s">
        <v>14953</v>
      </c>
      <c r="L152" s="190" t="s">
        <v>8379</v>
      </c>
      <c r="M152" s="113" t="s">
        <v>6016</v>
      </c>
      <c r="N152" s="113" t="s">
        <v>8393</v>
      </c>
      <c r="O152" s="191" t="s">
        <v>8394</v>
      </c>
      <c r="P152" s="176" t="s">
        <v>8395</v>
      </c>
      <c r="Q152" s="142" t="s">
        <v>8396</v>
      </c>
      <c r="R152" s="164" t="s">
        <v>15031</v>
      </c>
      <c r="S152" s="164"/>
      <c r="T152" s="192" t="s">
        <v>2876</v>
      </c>
      <c r="U152" s="193">
        <v>41557</v>
      </c>
      <c r="V152" s="193">
        <v>41558</v>
      </c>
      <c r="W152" s="194">
        <f>IF(OR(U152="",V152="")," ",( V152-U152 + 1) - ((fWorkDay(U152,V152)-U152) - (V152-U152)))</f>
        <v>2</v>
      </c>
      <c r="Y152" s="193"/>
      <c r="Z152" s="194" t="str">
        <f>IF(OR(X152="",Y152="")," ",( Y152-X152 + 1) - ((fWorkDay(X152,Y152)-X152) - (Y152-X152)))</f>
        <v xml:space="preserve"> </v>
      </c>
      <c r="AA152" s="188" t="s">
        <v>5546</v>
      </c>
      <c r="AB152" s="224"/>
    </row>
    <row r="153" spans="2:28" ht="68.25" thickBot="1">
      <c r="B153" s="188">
        <f t="shared" si="7"/>
        <v>47</v>
      </c>
      <c r="C153" s="131" t="s">
        <v>8402</v>
      </c>
      <c r="D153" s="120" t="s">
        <v>8595</v>
      </c>
      <c r="E153" s="121" t="s">
        <v>15027</v>
      </c>
      <c r="F153" s="121" t="s">
        <v>14987</v>
      </c>
      <c r="G153" s="121" t="s">
        <v>14977</v>
      </c>
      <c r="H153" s="121" t="s">
        <v>15047</v>
      </c>
      <c r="I153" s="121" t="s">
        <v>15054</v>
      </c>
      <c r="J153" s="121" t="s">
        <v>5979</v>
      </c>
      <c r="K153" s="121" t="s">
        <v>14952</v>
      </c>
      <c r="L153" s="207" t="s">
        <v>8379</v>
      </c>
      <c r="M153" s="125" t="s">
        <v>6016</v>
      </c>
      <c r="N153" s="125" t="s">
        <v>8406</v>
      </c>
      <c r="O153" s="133" t="s">
        <v>8404</v>
      </c>
      <c r="P153" s="133" t="s">
        <v>14930</v>
      </c>
      <c r="Q153" s="145" t="s">
        <v>8403</v>
      </c>
      <c r="R153" s="270" t="s">
        <v>15032</v>
      </c>
      <c r="S153" s="270"/>
      <c r="T153" s="209" t="s">
        <v>4936</v>
      </c>
      <c r="U153" s="210">
        <v>41528</v>
      </c>
      <c r="V153" s="210">
        <v>41534</v>
      </c>
      <c r="W153" s="211">
        <f>IF(OR(U153="",V153="")," ",( V153-U153 + 1) - ((fWorkDay(U153,V153)-U153) - (V153-U153)))</f>
        <v>5</v>
      </c>
      <c r="X153" s="210"/>
      <c r="Y153" s="210"/>
      <c r="Z153" s="211" t="str">
        <f>IF(OR(X153="",Y153="")," ",( Y153-X153 + 1) - ((fWorkDay(X153,Y153)-X153) - (Y153-X153)))</f>
        <v xml:space="preserve"> </v>
      </c>
      <c r="AA153" s="212" t="s">
        <v>5546</v>
      </c>
      <c r="AB153" s="213"/>
    </row>
    <row r="154" spans="2:28" ht="30" customHeight="1">
      <c r="B154" s="188">
        <f t="shared" si="7"/>
        <v>46</v>
      </c>
      <c r="C154" s="97" t="s">
        <v>8366</v>
      </c>
      <c r="D154" s="116" t="str">
        <f ca="1">IF(AND(Y154&lt;&gt;"",TODAY()&gt;Y154),"Yes","No")</f>
        <v>Yes</v>
      </c>
      <c r="E154" s="117" t="s">
        <v>15024</v>
      </c>
      <c r="F154" s="117" t="s">
        <v>14983</v>
      </c>
      <c r="G154" s="117" t="s">
        <v>14981</v>
      </c>
      <c r="H154" s="117" t="s">
        <v>15049</v>
      </c>
      <c r="I154" s="117" t="s">
        <v>15053</v>
      </c>
      <c r="J154" s="117" t="s">
        <v>5979</v>
      </c>
      <c r="K154" s="117" t="s">
        <v>14954</v>
      </c>
      <c r="L154" s="217" t="s">
        <v>5909</v>
      </c>
      <c r="M154" s="129" t="s">
        <v>8367</v>
      </c>
      <c r="N154" s="132" t="s">
        <v>8368</v>
      </c>
      <c r="O154" s="218" t="s">
        <v>8369</v>
      </c>
      <c r="P154" s="180" t="s">
        <v>8370</v>
      </c>
      <c r="Q154" s="146" t="s">
        <v>8371</v>
      </c>
      <c r="R154" s="165"/>
      <c r="S154" s="165"/>
      <c r="T154" s="219" t="s">
        <v>4936</v>
      </c>
      <c r="U154" s="220">
        <v>41575</v>
      </c>
      <c r="V154" s="220">
        <v>41579</v>
      </c>
      <c r="W154" s="221">
        <f>IF(OR(U154="",V154="")," ",( V154-U154 + 1) - ((fWorkDay(U154,V154)-U154) - (V154-U154)))</f>
        <v>5</v>
      </c>
      <c r="X154" s="220">
        <v>41513</v>
      </c>
      <c r="Y154" s="220">
        <v>41520</v>
      </c>
      <c r="Z154" s="221">
        <f>IF(OR(X154="",Y154="")," ",( Y154-X154 + 1) - ((fWorkDay(X154,Y154)-X154) - (Y154-X154)))</f>
        <v>6</v>
      </c>
      <c r="AA154" s="222" t="s">
        <v>5546</v>
      </c>
      <c r="AB154" s="227"/>
    </row>
    <row r="155" spans="2:28" ht="27">
      <c r="B155" s="188">
        <f t="shared" si="7"/>
        <v>45</v>
      </c>
      <c r="C155" s="102" t="s">
        <v>5907</v>
      </c>
      <c r="D155" s="24" t="s">
        <v>5977</v>
      </c>
      <c r="E155" s="87" t="s">
        <v>15025</v>
      </c>
      <c r="F155" s="87" t="s">
        <v>14985</v>
      </c>
      <c r="G155" s="87" t="s">
        <v>14987</v>
      </c>
      <c r="H155" s="87" t="s">
        <v>15050</v>
      </c>
      <c r="I155" s="87" t="s">
        <v>15054</v>
      </c>
      <c r="J155" s="87" t="s">
        <v>5979</v>
      </c>
      <c r="K155" s="87" t="s">
        <v>14954</v>
      </c>
      <c r="L155" s="217" t="s">
        <v>5909</v>
      </c>
      <c r="M155" s="190" t="s">
        <v>5942</v>
      </c>
      <c r="N155" s="188" t="s">
        <v>8776</v>
      </c>
      <c r="O155" s="191" t="s">
        <v>7299</v>
      </c>
      <c r="P155" s="147" t="s">
        <v>8779</v>
      </c>
      <c r="Q155" s="147" t="s">
        <v>8778</v>
      </c>
      <c r="R155" s="256"/>
      <c r="S155" s="256" t="s">
        <v>8964</v>
      </c>
      <c r="T155" s="192" t="s">
        <v>5991</v>
      </c>
      <c r="U155" s="193">
        <v>41512</v>
      </c>
      <c r="V155" s="193">
        <v>41512</v>
      </c>
      <c r="W155" s="194">
        <f>IF(OR(U155="",V155="")," ",( V155-U155 + 1) - ((fWorkDay(U155,V155)-U155) - (V155-U155)))</f>
        <v>1</v>
      </c>
      <c r="X155" s="193">
        <v>41512</v>
      </c>
      <c r="Y155" s="193">
        <v>41512</v>
      </c>
      <c r="Z155" s="194">
        <f>IF(OR(X155="",Y155="")," ",( Y155-X155 + 1) - ((fWorkDay(X155,Y155)-X155) - (Y155-X155)))</f>
        <v>1</v>
      </c>
      <c r="AA155" s="188" t="s">
        <v>5981</v>
      </c>
      <c r="AB155" s="195"/>
    </row>
    <row r="156" spans="2:28" ht="30" customHeight="1">
      <c r="B156" s="188">
        <f t="shared" si="7"/>
        <v>44</v>
      </c>
      <c r="C156" s="98" t="s">
        <v>7298</v>
      </c>
      <c r="D156" s="24" t="str">
        <f ca="1">IF(AND(Y156&lt;&gt;"",TODAY()&gt;Y156),"Yes","No")</f>
        <v>Yes</v>
      </c>
      <c r="E156" s="87" t="s">
        <v>15024</v>
      </c>
      <c r="F156" s="87" t="s">
        <v>14984</v>
      </c>
      <c r="G156" s="87" t="s">
        <v>14982</v>
      </c>
      <c r="H156" s="87" t="s">
        <v>15049</v>
      </c>
      <c r="I156" s="87" t="s">
        <v>15053</v>
      </c>
      <c r="J156" s="87" t="s">
        <v>5979</v>
      </c>
      <c r="K156" s="87" t="s">
        <v>14952</v>
      </c>
      <c r="L156" s="190" t="s">
        <v>5909</v>
      </c>
      <c r="M156" s="228" t="s">
        <v>7301</v>
      </c>
      <c r="N156" s="113" t="s">
        <v>5972</v>
      </c>
      <c r="O156" s="191" t="s">
        <v>7299</v>
      </c>
      <c r="P156" s="176" t="s">
        <v>7300</v>
      </c>
      <c r="Q156" s="142" t="s">
        <v>8283</v>
      </c>
      <c r="R156" s="166"/>
      <c r="S156" s="166"/>
      <c r="T156" s="192" t="s">
        <v>8268</v>
      </c>
      <c r="U156" s="193">
        <v>41519</v>
      </c>
      <c r="V156" s="193">
        <v>41523</v>
      </c>
      <c r="W156" s="194">
        <f>IF(OR(U156="",V156="")," ",( V156-U156 + 1) - ((fWorkDay(U156,V156)-U156) - (V156-U156)))</f>
        <v>5</v>
      </c>
      <c r="X156" s="193">
        <v>41507</v>
      </c>
      <c r="Y156" s="193">
        <v>41507</v>
      </c>
      <c r="Z156" s="194">
        <f>IF(OR(X156="",Y156="")," ",( Y156-X156 + 1) - ((fWorkDay(X156,Y156)-X156) - (Y156-X156)))</f>
        <v>1</v>
      </c>
      <c r="AA156" s="188" t="s">
        <v>7341</v>
      </c>
      <c r="AB156" s="195"/>
    </row>
    <row r="157" spans="2:28" ht="27">
      <c r="B157" s="188">
        <f t="shared" si="7"/>
        <v>43</v>
      </c>
      <c r="C157" s="98" t="s">
        <v>7298</v>
      </c>
      <c r="D157" s="24" t="s">
        <v>5977</v>
      </c>
      <c r="E157" s="87" t="s">
        <v>15024</v>
      </c>
      <c r="F157" s="87" t="s">
        <v>14986</v>
      </c>
      <c r="G157" s="87" t="s">
        <v>14980</v>
      </c>
      <c r="H157" s="87" t="s">
        <v>15050</v>
      </c>
      <c r="I157" s="87" t="s">
        <v>15038</v>
      </c>
      <c r="J157" s="87" t="s">
        <v>5979</v>
      </c>
      <c r="K157" s="87" t="s">
        <v>14953</v>
      </c>
      <c r="L157" s="190" t="s">
        <v>5909</v>
      </c>
      <c r="M157" s="190" t="s">
        <v>5942</v>
      </c>
      <c r="N157" s="188" t="s">
        <v>8282</v>
      </c>
      <c r="O157" s="191" t="s">
        <v>7299</v>
      </c>
      <c r="P157" s="181"/>
      <c r="Q157" s="142" t="s">
        <v>8284</v>
      </c>
      <c r="R157" s="166"/>
      <c r="S157" s="278" t="s">
        <v>8915</v>
      </c>
      <c r="T157" s="192" t="s">
        <v>2297</v>
      </c>
      <c r="U157" s="193">
        <v>41513</v>
      </c>
      <c r="V157" s="193">
        <v>41513</v>
      </c>
      <c r="W157" s="194">
        <f>IF(OR(U157="",V157="")," ",( V157-U157 + 1) - ((fWorkDay(U157,V157)-U157) - (V157-U157)))</f>
        <v>1</v>
      </c>
      <c r="X157" s="193">
        <v>41513</v>
      </c>
      <c r="Y157" s="193">
        <v>41513</v>
      </c>
      <c r="Z157" s="194">
        <f>IF(OR(X157="",Y157="")," ",( Y157-X157 + 1) - ((fWorkDay(X157,Y157)-X157) - (Y157-X157)))</f>
        <v>1</v>
      </c>
      <c r="AA157" s="188" t="s">
        <v>5981</v>
      </c>
      <c r="AB157" s="195"/>
    </row>
    <row r="158" spans="2:28" ht="38.25" customHeight="1">
      <c r="B158" s="188">
        <f t="shared" si="7"/>
        <v>42</v>
      </c>
      <c r="C158" s="98" t="s">
        <v>7296</v>
      </c>
      <c r="D158" s="24" t="str">
        <f t="shared" ref="D158:D199" ca="1" si="8">IF(AND(Y158&lt;&gt;"",TODAY()&gt;Y158),"Yes","No")</f>
        <v>Yes</v>
      </c>
      <c r="E158" s="87" t="s">
        <v>15023</v>
      </c>
      <c r="F158" s="87" t="s">
        <v>14986</v>
      </c>
      <c r="G158" s="87" t="s">
        <v>14977</v>
      </c>
      <c r="H158" s="87" t="s">
        <v>15041</v>
      </c>
      <c r="I158" s="87" t="s">
        <v>15053</v>
      </c>
      <c r="J158" s="87" t="s">
        <v>5979</v>
      </c>
      <c r="K158" s="87" t="s">
        <v>14952</v>
      </c>
      <c r="L158" s="190" t="s">
        <v>7301</v>
      </c>
      <c r="M158" s="228" t="s">
        <v>7301</v>
      </c>
      <c r="N158" s="113" t="s">
        <v>5972</v>
      </c>
      <c r="O158" s="191" t="s">
        <v>7299</v>
      </c>
      <c r="P158" s="176" t="s">
        <v>7300</v>
      </c>
      <c r="Q158" s="142" t="s">
        <v>8275</v>
      </c>
      <c r="R158" s="166"/>
      <c r="S158" s="166"/>
      <c r="T158" s="192" t="s">
        <v>8268</v>
      </c>
      <c r="U158" s="193">
        <v>41512</v>
      </c>
      <c r="V158" s="193">
        <v>41514</v>
      </c>
      <c r="W158" s="194">
        <f>IF(OR(U158="",V158="")," ",( V158-U158 + 1) - ((fWorkDay(U158,V158)-U158) - (V158-U158)))</f>
        <v>3</v>
      </c>
      <c r="X158" s="193">
        <v>41507</v>
      </c>
      <c r="Y158" s="193">
        <v>41507</v>
      </c>
      <c r="Z158" s="194">
        <f>IF(OR(X158="",Y158="")," ",( Y158-X158 + 1) - ((fWorkDay(X158,Y158)-X158) - (Y158-X158)))</f>
        <v>1</v>
      </c>
      <c r="AA158" s="188" t="s">
        <v>5981</v>
      </c>
      <c r="AB158" s="195"/>
    </row>
    <row r="159" spans="2:28" ht="51.75" customHeight="1">
      <c r="B159" s="188">
        <f t="shared" si="7"/>
        <v>41</v>
      </c>
      <c r="C159" s="98" t="s">
        <v>8923</v>
      </c>
      <c r="D159" s="24" t="str">
        <f t="shared" ca="1" si="8"/>
        <v>Yes</v>
      </c>
      <c r="E159" s="87" t="s">
        <v>15023</v>
      </c>
      <c r="F159" s="87" t="s">
        <v>14983</v>
      </c>
      <c r="G159" s="87" t="s">
        <v>14981</v>
      </c>
      <c r="H159" s="87" t="s">
        <v>15046</v>
      </c>
      <c r="I159" s="87" t="s">
        <v>15053</v>
      </c>
      <c r="J159" s="87" t="s">
        <v>5979</v>
      </c>
      <c r="K159" s="87" t="s">
        <v>14954</v>
      </c>
      <c r="L159" s="190" t="s">
        <v>7301</v>
      </c>
      <c r="M159" s="157" t="s">
        <v>7301</v>
      </c>
      <c r="N159" s="113" t="s">
        <v>5972</v>
      </c>
      <c r="O159" s="191" t="s">
        <v>8279</v>
      </c>
      <c r="P159" s="176" t="s">
        <v>9056</v>
      </c>
      <c r="Q159" s="148" t="s">
        <v>9055</v>
      </c>
      <c r="R159" s="285" t="s">
        <v>8924</v>
      </c>
      <c r="S159" s="166"/>
      <c r="T159" s="192" t="s">
        <v>8268</v>
      </c>
      <c r="U159" s="193">
        <v>41514</v>
      </c>
      <c r="V159" s="193">
        <v>41516</v>
      </c>
      <c r="W159" s="194">
        <f>IF(OR(U159="",V159="")," ",( V159-U159 + 1) - ((fWorkDay(U159,V159)-U159) - (V159-U159)))</f>
        <v>3</v>
      </c>
      <c r="X159" s="193">
        <v>41508</v>
      </c>
      <c r="Y159" s="193">
        <v>41510</v>
      </c>
      <c r="Z159" s="194">
        <f>IF(OR(X159="",Y159="")," ",( Y159-X159 + 1) - ((fWorkDay(X159,Y159)-X159) - (Y159-X159)))</f>
        <v>1</v>
      </c>
      <c r="AA159" s="188" t="s">
        <v>5981</v>
      </c>
      <c r="AB159" s="195"/>
    </row>
    <row r="160" spans="2:28" ht="39" customHeight="1">
      <c r="B160" s="188">
        <f t="shared" si="7"/>
        <v>40</v>
      </c>
      <c r="C160" s="98" t="s">
        <v>8280</v>
      </c>
      <c r="D160" s="24" t="str">
        <f t="shared" ca="1" si="8"/>
        <v>Yes</v>
      </c>
      <c r="E160" s="87" t="s">
        <v>15024</v>
      </c>
      <c r="F160" s="87" t="s">
        <v>14985</v>
      </c>
      <c r="G160" s="87" t="s">
        <v>14987</v>
      </c>
      <c r="H160" s="87" t="s">
        <v>15049</v>
      </c>
      <c r="I160" s="87" t="s">
        <v>15053</v>
      </c>
      <c r="J160" s="87" t="s">
        <v>5979</v>
      </c>
      <c r="K160" s="87" t="s">
        <v>14954</v>
      </c>
      <c r="L160" s="190" t="s">
        <v>5909</v>
      </c>
      <c r="M160" s="228" t="s">
        <v>5909</v>
      </c>
      <c r="N160" s="113" t="s">
        <v>5972</v>
      </c>
      <c r="O160" s="191" t="s">
        <v>8132</v>
      </c>
      <c r="P160" s="176" t="s">
        <v>8133</v>
      </c>
      <c r="Q160" s="148" t="s">
        <v>8285</v>
      </c>
      <c r="R160" s="166"/>
      <c r="S160" s="166"/>
      <c r="T160" s="192" t="s">
        <v>8268</v>
      </c>
      <c r="U160" s="193">
        <v>41514</v>
      </c>
      <c r="V160" s="193">
        <v>41516</v>
      </c>
      <c r="W160" s="194">
        <f>IF(OR(U160="",V160="")," ",( V160-U160 + 1) - ((fWorkDay(U160,V160)-U160) - (V160-U160)))</f>
        <v>3</v>
      </c>
      <c r="X160" s="193">
        <v>41508</v>
      </c>
      <c r="Y160" s="193">
        <v>41509</v>
      </c>
      <c r="Z160" s="194">
        <f>IF(OR(X160="",Y160="")," ",( Y160-X160 + 1) - ((fWorkDay(X160,Y160)-X160) - (Y160-X160)))</f>
        <v>2</v>
      </c>
      <c r="AA160" s="188" t="s">
        <v>5981</v>
      </c>
      <c r="AB160" s="195"/>
    </row>
    <row r="161" spans="2:28" ht="27" customHeight="1" thickBot="1">
      <c r="B161" s="188">
        <f t="shared" si="7"/>
        <v>39</v>
      </c>
      <c r="C161" s="99" t="s">
        <v>7297</v>
      </c>
      <c r="D161" s="114" t="str">
        <f t="shared" ca="1" si="8"/>
        <v>Yes</v>
      </c>
      <c r="E161" s="115" t="s">
        <v>15025</v>
      </c>
      <c r="F161" s="115" t="s">
        <v>14984</v>
      </c>
      <c r="G161" s="115" t="s">
        <v>14982</v>
      </c>
      <c r="H161" s="115" t="s">
        <v>15049</v>
      </c>
      <c r="I161" s="115" t="s">
        <v>15053</v>
      </c>
      <c r="J161" s="115" t="s">
        <v>5979</v>
      </c>
      <c r="K161" s="115" t="s">
        <v>14952</v>
      </c>
      <c r="L161" s="197" t="s">
        <v>5909</v>
      </c>
      <c r="M161" s="229" t="s">
        <v>8372</v>
      </c>
      <c r="N161" s="123" t="s">
        <v>5972</v>
      </c>
      <c r="O161" s="195" t="s">
        <v>7299</v>
      </c>
      <c r="P161" s="177" t="s">
        <v>7300</v>
      </c>
      <c r="Q161" s="143" t="s">
        <v>8276</v>
      </c>
      <c r="R161" s="166"/>
      <c r="S161" s="166"/>
      <c r="T161" s="192" t="s">
        <v>8268</v>
      </c>
      <c r="U161" s="193">
        <v>41512</v>
      </c>
      <c r="V161" s="193">
        <v>41516</v>
      </c>
      <c r="W161" s="194">
        <f>IF(OR(U161="",V161="")," ",( V161-U161 + 1) - ((fWorkDay(U161,V161)-U161) - (V161-U161)))</f>
        <v>5</v>
      </c>
      <c r="X161" s="193">
        <v>41507</v>
      </c>
      <c r="Y161" s="193">
        <v>41508</v>
      </c>
      <c r="Z161" s="194">
        <f>IF(OR(X161="",Y161="")," ",( Y161-X161 + 1) - ((fWorkDay(X161,Y161)-X161) - (Y161-X161)))</f>
        <v>2</v>
      </c>
      <c r="AA161" s="188" t="s">
        <v>5981</v>
      </c>
      <c r="AB161" s="195"/>
    </row>
    <row r="162" spans="2:28" ht="24" customHeight="1">
      <c r="B162" s="188">
        <f t="shared" si="7"/>
        <v>38</v>
      </c>
      <c r="C162" s="401" t="s">
        <v>6013</v>
      </c>
      <c r="D162" s="118" t="str">
        <f t="shared" ca="1" si="8"/>
        <v>Yes</v>
      </c>
      <c r="E162" s="119" t="s">
        <v>15026</v>
      </c>
      <c r="F162" s="119" t="s">
        <v>14987</v>
      </c>
      <c r="G162" s="282" t="s">
        <v>14980</v>
      </c>
      <c r="H162" s="282" t="s">
        <v>15050</v>
      </c>
      <c r="I162" s="282" t="s">
        <v>15054</v>
      </c>
      <c r="J162" s="282" t="s">
        <v>5979</v>
      </c>
      <c r="K162" s="282" t="s">
        <v>14953</v>
      </c>
      <c r="L162" s="200" t="s">
        <v>8594</v>
      </c>
      <c r="M162" s="230" t="s">
        <v>6011</v>
      </c>
      <c r="N162" s="124" t="s">
        <v>6016</v>
      </c>
      <c r="O162" s="201" t="s">
        <v>6017</v>
      </c>
      <c r="P162" s="178" t="s">
        <v>15005</v>
      </c>
      <c r="Q162" s="149" t="s">
        <v>6014</v>
      </c>
      <c r="R162" s="167"/>
      <c r="S162" s="167"/>
      <c r="T162" s="231" t="s">
        <v>5988</v>
      </c>
      <c r="U162" s="232">
        <v>41499</v>
      </c>
      <c r="V162" s="193">
        <v>41499</v>
      </c>
      <c r="W162" s="194">
        <f>IF(OR(U162="",V162="")," ",( V162-U162 + 1) - ((fWorkDay(U162,V162)-U162) - (V162-U162)))</f>
        <v>1</v>
      </c>
      <c r="X162" s="232">
        <v>41499</v>
      </c>
      <c r="Y162" s="193">
        <v>41499</v>
      </c>
      <c r="Z162" s="194">
        <f>IF(OR(X162="",Y162="")," ",( Y162-X162 + 1) - ((fWorkDay(X162,Y162)-X162) - (Y162-X162)))</f>
        <v>1</v>
      </c>
      <c r="AA162" s="188" t="s">
        <v>5981</v>
      </c>
      <c r="AB162" s="195"/>
    </row>
    <row r="163" spans="2:28" ht="24" customHeight="1">
      <c r="B163" s="188">
        <f t="shared" si="7"/>
        <v>37</v>
      </c>
      <c r="C163" s="402"/>
      <c r="D163" s="24" t="str">
        <f t="shared" ca="1" si="8"/>
        <v>Yes</v>
      </c>
      <c r="E163" s="87" t="s">
        <v>15026</v>
      </c>
      <c r="F163" s="87" t="s">
        <v>14987</v>
      </c>
      <c r="G163" s="283" t="s">
        <v>14977</v>
      </c>
      <c r="H163" s="283" t="s">
        <v>15049</v>
      </c>
      <c r="I163" s="283" t="s">
        <v>15036</v>
      </c>
      <c r="J163" s="283" t="s">
        <v>5979</v>
      </c>
      <c r="K163" s="283" t="s">
        <v>14952</v>
      </c>
      <c r="L163" s="190" t="s">
        <v>3841</v>
      </c>
      <c r="M163" s="157" t="s">
        <v>6011</v>
      </c>
      <c r="N163" s="113" t="s">
        <v>6016</v>
      </c>
      <c r="O163" s="191" t="s">
        <v>6015</v>
      </c>
      <c r="P163" s="176" t="s">
        <v>14991</v>
      </c>
      <c r="Q163" s="147" t="s">
        <v>6014</v>
      </c>
      <c r="R163" s="166"/>
      <c r="S163" s="166"/>
      <c r="T163" s="233" t="s">
        <v>5988</v>
      </c>
      <c r="U163" s="232">
        <v>41499</v>
      </c>
      <c r="V163" s="193">
        <v>41499</v>
      </c>
      <c r="W163" s="194">
        <f>IF(OR(U163="",V163="")," ",( V163-U163 + 1) - ((fWorkDay(U163,V163)-U163) - (V163-U163)))</f>
        <v>1</v>
      </c>
      <c r="X163" s="232">
        <v>41499</v>
      </c>
      <c r="Y163" s="193">
        <v>41499</v>
      </c>
      <c r="Z163" s="194">
        <f>IF(OR(X163="",Y163="")," ",( Y163-X163 + 1) - ((fWorkDay(X163,Y163)-X163) - (Y163-X163)))</f>
        <v>1</v>
      </c>
      <c r="AA163" s="188" t="s">
        <v>5981</v>
      </c>
      <c r="AB163" s="195"/>
    </row>
    <row r="164" spans="2:28" ht="24" customHeight="1">
      <c r="B164" s="188">
        <f t="shared" si="7"/>
        <v>36</v>
      </c>
      <c r="C164" s="402"/>
      <c r="D164" s="24" t="str">
        <f t="shared" ca="1" si="8"/>
        <v>Yes</v>
      </c>
      <c r="E164" s="87" t="s">
        <v>15027</v>
      </c>
      <c r="F164" s="87" t="s">
        <v>14977</v>
      </c>
      <c r="G164" s="283" t="s">
        <v>14981</v>
      </c>
      <c r="H164" s="283" t="s">
        <v>15042</v>
      </c>
      <c r="I164" s="283" t="s">
        <v>15054</v>
      </c>
      <c r="J164" s="283" t="s">
        <v>5979</v>
      </c>
      <c r="K164" s="283" t="s">
        <v>14954</v>
      </c>
      <c r="L164" s="190" t="s">
        <v>3841</v>
      </c>
      <c r="M164" s="157" t="s">
        <v>6011</v>
      </c>
      <c r="N164" s="113" t="s">
        <v>6016</v>
      </c>
      <c r="O164" s="191" t="s">
        <v>6018</v>
      </c>
      <c r="P164" s="176" t="s">
        <v>14992</v>
      </c>
      <c r="Q164" s="147" t="s">
        <v>6014</v>
      </c>
      <c r="R164" s="166"/>
      <c r="S164" s="166"/>
      <c r="T164" s="233" t="s">
        <v>5988</v>
      </c>
      <c r="U164" s="232">
        <v>41499</v>
      </c>
      <c r="V164" s="193">
        <v>41499</v>
      </c>
      <c r="W164" s="194">
        <f>IF(OR(U164="",V164="")," ",( V164-U164 + 1) - ((fWorkDay(U164,V164)-U164) - (V164-U164)))</f>
        <v>1</v>
      </c>
      <c r="X164" s="232">
        <v>41499</v>
      </c>
      <c r="Y164" s="193">
        <v>41499</v>
      </c>
      <c r="Z164" s="194">
        <f>IF(OR(X164="",Y164="")," ",( Y164-X164 + 1) - ((fWorkDay(X164,Y164)-X164) - (Y164-X164)))</f>
        <v>1</v>
      </c>
      <c r="AA164" s="188" t="s">
        <v>5981</v>
      </c>
      <c r="AB164" s="195"/>
    </row>
    <row r="165" spans="2:28" ht="24" customHeight="1">
      <c r="B165" s="188">
        <f t="shared" si="7"/>
        <v>35</v>
      </c>
      <c r="C165" s="402"/>
      <c r="D165" s="24" t="str">
        <f t="shared" ca="1" si="8"/>
        <v>Yes</v>
      </c>
      <c r="E165" s="87" t="s">
        <v>15027</v>
      </c>
      <c r="F165" s="87" t="s">
        <v>14981</v>
      </c>
      <c r="G165" s="283" t="s">
        <v>14987</v>
      </c>
      <c r="H165" s="283" t="s">
        <v>15047</v>
      </c>
      <c r="I165" s="283" t="s">
        <v>15054</v>
      </c>
      <c r="J165" s="283" t="s">
        <v>5979</v>
      </c>
      <c r="K165" s="283" t="s">
        <v>14954</v>
      </c>
      <c r="L165" s="190" t="s">
        <v>3841</v>
      </c>
      <c r="M165" s="157" t="s">
        <v>6011</v>
      </c>
      <c r="N165" s="113" t="s">
        <v>6016</v>
      </c>
      <c r="O165" s="191" t="s">
        <v>6019</v>
      </c>
      <c r="P165" s="176" t="s">
        <v>14993</v>
      </c>
      <c r="Q165" s="147" t="s">
        <v>8278</v>
      </c>
      <c r="R165" s="166"/>
      <c r="S165" s="166"/>
      <c r="T165" s="233" t="s">
        <v>5988</v>
      </c>
      <c r="U165" s="232">
        <v>41499</v>
      </c>
      <c r="V165" s="193">
        <v>41499</v>
      </c>
      <c r="W165" s="194">
        <f>IF(OR(U165="",V165="")," ",( V165-U165 + 1) - ((fWorkDay(U165,V165)-U165) - (V165-U165)))</f>
        <v>1</v>
      </c>
      <c r="X165" s="232">
        <v>41499</v>
      </c>
      <c r="Y165" s="193">
        <v>41499</v>
      </c>
      <c r="Z165" s="194">
        <f>IF(OR(X165="",Y165="")," ",( Y165-X165 + 1) - ((fWorkDay(X165,Y165)-X165) - (Y165-X165)))</f>
        <v>1</v>
      </c>
      <c r="AA165" s="188" t="s">
        <v>5981</v>
      </c>
      <c r="AB165" s="195"/>
    </row>
    <row r="166" spans="2:28" ht="24" customHeight="1">
      <c r="B166" s="188">
        <f t="shared" si="7"/>
        <v>34</v>
      </c>
      <c r="C166" s="402"/>
      <c r="D166" s="24" t="str">
        <f t="shared" ca="1" si="8"/>
        <v>Yes</v>
      </c>
      <c r="E166" s="87" t="s">
        <v>15026</v>
      </c>
      <c r="F166" s="87" t="s">
        <v>14980</v>
      </c>
      <c r="G166" s="283" t="s">
        <v>14982</v>
      </c>
      <c r="H166" s="283" t="s">
        <v>15050</v>
      </c>
      <c r="I166" s="283" t="s">
        <v>15054</v>
      </c>
      <c r="J166" s="283" t="s">
        <v>5979</v>
      </c>
      <c r="K166" s="283" t="s">
        <v>14952</v>
      </c>
      <c r="L166" s="190" t="s">
        <v>3841</v>
      </c>
      <c r="M166" s="157" t="s">
        <v>6011</v>
      </c>
      <c r="N166" s="113" t="s">
        <v>6016</v>
      </c>
      <c r="O166" s="191" t="s">
        <v>6020</v>
      </c>
      <c r="P166" s="176" t="s">
        <v>14994</v>
      </c>
      <c r="Q166" s="147" t="s">
        <v>6014</v>
      </c>
      <c r="R166" s="166"/>
      <c r="S166" s="166"/>
      <c r="T166" s="233" t="s">
        <v>5988</v>
      </c>
      <c r="U166" s="232">
        <v>41499</v>
      </c>
      <c r="V166" s="193">
        <v>41499</v>
      </c>
      <c r="W166" s="194">
        <f>IF(OR(U166="",V166="")," ",( V166-U166 + 1) - ((fWorkDay(U166,V166)-U166) - (V166-U166)))</f>
        <v>1</v>
      </c>
      <c r="X166" s="232">
        <v>41499</v>
      </c>
      <c r="Y166" s="193">
        <v>41499</v>
      </c>
      <c r="Z166" s="194">
        <f>IF(OR(X166="",Y166="")," ",( Y166-X166 + 1) - ((fWorkDay(X166,Y166)-X166) - (Y166-X166)))</f>
        <v>1</v>
      </c>
      <c r="AA166" s="188" t="s">
        <v>5981</v>
      </c>
      <c r="AB166" s="195"/>
    </row>
    <row r="167" spans="2:28" ht="24" customHeight="1">
      <c r="B167" s="188">
        <f t="shared" si="7"/>
        <v>33</v>
      </c>
      <c r="C167" s="402"/>
      <c r="D167" s="24" t="str">
        <f t="shared" ca="1" si="8"/>
        <v>Yes</v>
      </c>
      <c r="E167" s="87" t="s">
        <v>15028</v>
      </c>
      <c r="F167" s="87" t="s">
        <v>14987</v>
      </c>
      <c r="G167" s="283" t="s">
        <v>14980</v>
      </c>
      <c r="H167" s="283" t="s">
        <v>15050</v>
      </c>
      <c r="I167" s="283" t="s">
        <v>15054</v>
      </c>
      <c r="J167" s="283" t="s">
        <v>5979</v>
      </c>
      <c r="K167" s="283" t="s">
        <v>14953</v>
      </c>
      <c r="L167" s="190" t="s">
        <v>3841</v>
      </c>
      <c r="M167" s="157" t="s">
        <v>6011</v>
      </c>
      <c r="N167" s="113" t="s">
        <v>6016</v>
      </c>
      <c r="O167" s="191" t="s">
        <v>6021</v>
      </c>
      <c r="P167" s="176" t="s">
        <v>14995</v>
      </c>
      <c r="Q167" s="147" t="s">
        <v>8281</v>
      </c>
      <c r="R167" s="166"/>
      <c r="S167" s="166"/>
      <c r="T167" s="233" t="s">
        <v>5988</v>
      </c>
      <c r="U167" s="232">
        <v>41499</v>
      </c>
      <c r="V167" s="193">
        <v>41499</v>
      </c>
      <c r="W167" s="194">
        <f>IF(OR(U167="",V167="")," ",( V167-U167 + 1) - ((fWorkDay(U167,V167)-U167) - (V167-U167)))</f>
        <v>1</v>
      </c>
      <c r="X167" s="232">
        <v>41499</v>
      </c>
      <c r="Y167" s="193">
        <v>41499</v>
      </c>
      <c r="Z167" s="194">
        <f>IF(OR(X167="",Y167="")," ",( Y167-X167 + 1) - ((fWorkDay(X167,Y167)-X167) - (Y167-X167)))</f>
        <v>1</v>
      </c>
      <c r="AA167" s="188" t="s">
        <v>5981</v>
      </c>
      <c r="AB167" s="195"/>
    </row>
    <row r="168" spans="2:28" ht="24" customHeight="1">
      <c r="B168" s="188">
        <f t="shared" si="7"/>
        <v>32</v>
      </c>
      <c r="C168" s="402"/>
      <c r="D168" s="24" t="str">
        <f t="shared" ca="1" si="8"/>
        <v>Yes</v>
      </c>
      <c r="E168" s="87" t="s">
        <v>15026</v>
      </c>
      <c r="F168" s="87" t="s">
        <v>14987</v>
      </c>
      <c r="G168" s="283" t="s">
        <v>14977</v>
      </c>
      <c r="H168" s="283" t="s">
        <v>15050</v>
      </c>
      <c r="I168" s="283" t="s">
        <v>15054</v>
      </c>
      <c r="J168" s="283" t="s">
        <v>5979</v>
      </c>
      <c r="K168" s="283" t="s">
        <v>14952</v>
      </c>
      <c r="L168" s="190" t="s">
        <v>3841</v>
      </c>
      <c r="M168" s="157" t="s">
        <v>6011</v>
      </c>
      <c r="N168" s="113" t="s">
        <v>6016</v>
      </c>
      <c r="O168" s="191" t="s">
        <v>6022</v>
      </c>
      <c r="P168" s="176" t="s">
        <v>14996</v>
      </c>
      <c r="Q168" s="147" t="s">
        <v>6014</v>
      </c>
      <c r="R168" s="166"/>
      <c r="S168" s="166"/>
      <c r="T168" s="233" t="s">
        <v>5988</v>
      </c>
      <c r="U168" s="232">
        <v>41499</v>
      </c>
      <c r="V168" s="193">
        <v>41499</v>
      </c>
      <c r="W168" s="194">
        <f>IF(OR(U168="",V168="")," ",( V168-U168 + 1) - ((fWorkDay(U168,V168)-U168) - (V168-U168)))</f>
        <v>1</v>
      </c>
      <c r="X168" s="232">
        <v>41499</v>
      </c>
      <c r="Y168" s="193">
        <v>41499</v>
      </c>
      <c r="Z168" s="194">
        <f>IF(OR(X168="",Y168="")," ",( Y168-X168 + 1) - ((fWorkDay(X168,Y168)-X168) - (Y168-X168)))</f>
        <v>1</v>
      </c>
      <c r="AA168" s="188" t="s">
        <v>5981</v>
      </c>
      <c r="AB168" s="195"/>
    </row>
    <row r="169" spans="2:28" ht="24" customHeight="1">
      <c r="B169" s="188">
        <f t="shared" si="7"/>
        <v>31</v>
      </c>
      <c r="C169" s="402"/>
      <c r="D169" s="24" t="str">
        <f t="shared" ca="1" si="8"/>
        <v>Yes</v>
      </c>
      <c r="E169" s="87" t="s">
        <v>15026</v>
      </c>
      <c r="F169" s="87" t="s">
        <v>14977</v>
      </c>
      <c r="G169" s="283" t="s">
        <v>14981</v>
      </c>
      <c r="H169" s="283" t="s">
        <v>15050</v>
      </c>
      <c r="I169" s="283" t="s">
        <v>15038</v>
      </c>
      <c r="J169" s="283" t="s">
        <v>5979</v>
      </c>
      <c r="K169" s="283" t="s">
        <v>14954</v>
      </c>
      <c r="L169" s="190" t="s">
        <v>3841</v>
      </c>
      <c r="M169" s="157" t="s">
        <v>6011</v>
      </c>
      <c r="N169" s="113" t="s">
        <v>6016</v>
      </c>
      <c r="O169" s="191" t="s">
        <v>6022</v>
      </c>
      <c r="P169" s="176" t="s">
        <v>14996</v>
      </c>
      <c r="Q169" s="147" t="s">
        <v>6014</v>
      </c>
      <c r="R169" s="166"/>
      <c r="S169" s="166"/>
      <c r="T169" s="233" t="s">
        <v>5988</v>
      </c>
      <c r="U169" s="232">
        <v>41499</v>
      </c>
      <c r="V169" s="193">
        <v>41499</v>
      </c>
      <c r="W169" s="194">
        <f>IF(OR(U169="",V169="")," ",( V169-U169 + 1) - ((fWorkDay(U169,V169)-U169) - (V169-U169)))</f>
        <v>1</v>
      </c>
      <c r="X169" s="232">
        <v>41499</v>
      </c>
      <c r="Y169" s="193">
        <v>41499</v>
      </c>
      <c r="Z169" s="194">
        <f>IF(OR(X169="",Y169="")," ",( Y169-X169 + 1) - ((fWorkDay(X169,Y169)-X169) - (Y169-X169)))</f>
        <v>1</v>
      </c>
      <c r="AA169" s="188" t="s">
        <v>5981</v>
      </c>
      <c r="AB169" s="195"/>
    </row>
    <row r="170" spans="2:28" ht="24" customHeight="1">
      <c r="B170" s="188">
        <f t="shared" si="7"/>
        <v>30</v>
      </c>
      <c r="C170" s="402"/>
      <c r="D170" s="24" t="str">
        <f t="shared" ca="1" si="8"/>
        <v>Yes</v>
      </c>
      <c r="E170" s="87" t="s">
        <v>15027</v>
      </c>
      <c r="F170" s="87" t="s">
        <v>14981</v>
      </c>
      <c r="G170" s="283" t="s">
        <v>14987</v>
      </c>
      <c r="H170" s="283" t="s">
        <v>15042</v>
      </c>
      <c r="I170" s="283" t="s">
        <v>15054</v>
      </c>
      <c r="J170" s="283" t="s">
        <v>5979</v>
      </c>
      <c r="K170" s="283" t="s">
        <v>14954</v>
      </c>
      <c r="L170" s="190" t="s">
        <v>3841</v>
      </c>
      <c r="M170" s="157" t="s">
        <v>6011</v>
      </c>
      <c r="N170" s="113" t="s">
        <v>6016</v>
      </c>
      <c r="O170" s="191" t="s">
        <v>6023</v>
      </c>
      <c r="P170" s="176" t="s">
        <v>14997</v>
      </c>
      <c r="Q170" s="147" t="s">
        <v>6014</v>
      </c>
      <c r="R170" s="166"/>
      <c r="S170" s="166"/>
      <c r="T170" s="233" t="s">
        <v>5988</v>
      </c>
      <c r="U170" s="232">
        <v>41499</v>
      </c>
      <c r="V170" s="193">
        <v>41499</v>
      </c>
      <c r="W170" s="194">
        <f>IF(OR(U170="",V170="")," ",( V170-U170 + 1) - ((fWorkDay(U170,V170)-U170) - (V170-U170)))</f>
        <v>1</v>
      </c>
      <c r="X170" s="232">
        <v>41499</v>
      </c>
      <c r="Y170" s="193">
        <v>41499</v>
      </c>
      <c r="Z170" s="194">
        <f>IF(OR(X170="",Y170="")," ",( Y170-X170 + 1) - ((fWorkDay(X170,Y170)-X170) - (Y170-X170)))</f>
        <v>1</v>
      </c>
      <c r="AA170" s="188" t="s">
        <v>5981</v>
      </c>
      <c r="AB170" s="195"/>
    </row>
    <row r="171" spans="2:28" ht="24" customHeight="1">
      <c r="B171" s="188">
        <f t="shared" si="7"/>
        <v>29</v>
      </c>
      <c r="C171" s="402"/>
      <c r="D171" s="24" t="str">
        <f t="shared" ca="1" si="8"/>
        <v>Yes</v>
      </c>
      <c r="E171" s="87" t="s">
        <v>15023</v>
      </c>
      <c r="F171" s="87" t="s">
        <v>14984</v>
      </c>
      <c r="G171" s="283" t="s">
        <v>14982</v>
      </c>
      <c r="H171" s="283" t="s">
        <v>15046</v>
      </c>
      <c r="I171" s="283" t="s">
        <v>15053</v>
      </c>
      <c r="J171" s="283" t="s">
        <v>5979</v>
      </c>
      <c r="K171" s="283" t="s">
        <v>14952</v>
      </c>
      <c r="L171" s="190" t="s">
        <v>3841</v>
      </c>
      <c r="M171" s="157" t="s">
        <v>6011</v>
      </c>
      <c r="N171" s="113" t="s">
        <v>6016</v>
      </c>
      <c r="O171" s="191" t="s">
        <v>6024</v>
      </c>
      <c r="P171" s="176" t="s">
        <v>14998</v>
      </c>
      <c r="Q171" s="147" t="s">
        <v>6014</v>
      </c>
      <c r="R171" s="166"/>
      <c r="S171" s="166"/>
      <c r="T171" s="233" t="s">
        <v>5988</v>
      </c>
      <c r="U171" s="232">
        <v>41499</v>
      </c>
      <c r="V171" s="193">
        <v>41499</v>
      </c>
      <c r="W171" s="194">
        <f>IF(OR(U171="",V171="")," ",( V171-U171 + 1) - ((fWorkDay(U171,V171)-U171) - (V171-U171)))</f>
        <v>1</v>
      </c>
      <c r="X171" s="232">
        <v>41499</v>
      </c>
      <c r="Y171" s="193">
        <v>41499</v>
      </c>
      <c r="Z171" s="194">
        <f>IF(OR(X171="",Y171="")," ",( Y171-X171 + 1) - ((fWorkDay(X171,Y171)-X171) - (Y171-X171)))</f>
        <v>1</v>
      </c>
      <c r="AA171" s="188" t="s">
        <v>5981</v>
      </c>
      <c r="AB171" s="195"/>
    </row>
    <row r="172" spans="2:28" ht="24" customHeight="1">
      <c r="B172" s="188">
        <f t="shared" si="7"/>
        <v>28</v>
      </c>
      <c r="C172" s="402"/>
      <c r="D172" s="24" t="str">
        <f t="shared" ca="1" si="8"/>
        <v>Yes</v>
      </c>
      <c r="E172" s="87" t="s">
        <v>15026</v>
      </c>
      <c r="F172" s="87" t="s">
        <v>14987</v>
      </c>
      <c r="G172" s="283" t="s">
        <v>14980</v>
      </c>
      <c r="H172" s="283" t="s">
        <v>15050</v>
      </c>
      <c r="I172" s="283" t="s">
        <v>15054</v>
      </c>
      <c r="J172" s="283" t="s">
        <v>5979</v>
      </c>
      <c r="K172" s="283" t="s">
        <v>14953</v>
      </c>
      <c r="L172" s="190" t="s">
        <v>3841</v>
      </c>
      <c r="M172" s="157" t="s">
        <v>6011</v>
      </c>
      <c r="N172" s="113" t="s">
        <v>6016</v>
      </c>
      <c r="O172" s="191" t="s">
        <v>6025</v>
      </c>
      <c r="P172" s="176" t="s">
        <v>14999</v>
      </c>
      <c r="Q172" s="147" t="s">
        <v>6014</v>
      </c>
      <c r="R172" s="166"/>
      <c r="S172" s="166"/>
      <c r="T172" s="233" t="s">
        <v>5988</v>
      </c>
      <c r="U172" s="232">
        <v>41499</v>
      </c>
      <c r="V172" s="193">
        <v>41499</v>
      </c>
      <c r="W172" s="194">
        <f>IF(OR(U172="",V172="")," ",( V172-U172 + 1) - ((fWorkDay(U172,V172)-U172) - (V172-U172)))</f>
        <v>1</v>
      </c>
      <c r="X172" s="232">
        <v>41499</v>
      </c>
      <c r="Y172" s="193">
        <v>41499</v>
      </c>
      <c r="Z172" s="194">
        <f>IF(OR(X172="",Y172="")," ",( Y172-X172 + 1) - ((fWorkDay(X172,Y172)-X172) - (Y172-X172)))</f>
        <v>1</v>
      </c>
      <c r="AA172" s="188" t="s">
        <v>5981</v>
      </c>
      <c r="AB172" s="195"/>
    </row>
    <row r="173" spans="2:28" ht="24" customHeight="1">
      <c r="B173" s="188">
        <f t="shared" si="7"/>
        <v>27</v>
      </c>
      <c r="C173" s="402"/>
      <c r="D173" s="24" t="str">
        <f t="shared" ca="1" si="8"/>
        <v>Yes</v>
      </c>
      <c r="E173" s="87" t="s">
        <v>15025</v>
      </c>
      <c r="F173" s="87" t="s">
        <v>14986</v>
      </c>
      <c r="G173" s="283" t="s">
        <v>14977</v>
      </c>
      <c r="H173" s="283" t="s">
        <v>15049</v>
      </c>
      <c r="I173" s="283" t="s">
        <v>15053</v>
      </c>
      <c r="J173" s="283" t="s">
        <v>5979</v>
      </c>
      <c r="K173" s="283" t="s">
        <v>14952</v>
      </c>
      <c r="L173" s="190" t="s">
        <v>3841</v>
      </c>
      <c r="M173" s="157" t="s">
        <v>6011</v>
      </c>
      <c r="N173" s="113" t="s">
        <v>6016</v>
      </c>
      <c r="O173" s="191" t="s">
        <v>6026</v>
      </c>
      <c r="P173" s="176" t="s">
        <v>15000</v>
      </c>
      <c r="Q173" s="147" t="s">
        <v>6014</v>
      </c>
      <c r="R173" s="166"/>
      <c r="S173" s="166"/>
      <c r="T173" s="233" t="s">
        <v>5988</v>
      </c>
      <c r="U173" s="232">
        <v>41499</v>
      </c>
      <c r="V173" s="193">
        <v>41499</v>
      </c>
      <c r="W173" s="194">
        <f>IF(OR(U173="",V173="")," ",( V173-U173 + 1) - ((fWorkDay(U173,V173)-U173) - (V173-U173)))</f>
        <v>1</v>
      </c>
      <c r="X173" s="232">
        <v>41499</v>
      </c>
      <c r="Y173" s="193">
        <v>41499</v>
      </c>
      <c r="Z173" s="194">
        <f>IF(OR(X173="",Y173="")," ",( Y173-X173 + 1) - ((fWorkDay(X173,Y173)-X173) - (Y173-X173)))</f>
        <v>1</v>
      </c>
      <c r="AA173" s="188" t="s">
        <v>5981</v>
      </c>
      <c r="AB173" s="195"/>
    </row>
    <row r="174" spans="2:28" ht="24" customHeight="1" thickBot="1">
      <c r="B174" s="188">
        <f t="shared" si="7"/>
        <v>26</v>
      </c>
      <c r="C174" s="403"/>
      <c r="D174" s="120" t="str">
        <f t="shared" ca="1" si="8"/>
        <v>Yes</v>
      </c>
      <c r="E174" s="121" t="s">
        <v>15026</v>
      </c>
      <c r="F174" s="121" t="s">
        <v>14977</v>
      </c>
      <c r="G174" s="284" t="s">
        <v>14981</v>
      </c>
      <c r="H174" s="284" t="s">
        <v>15050</v>
      </c>
      <c r="I174" s="284" t="s">
        <v>15054</v>
      </c>
      <c r="J174" s="284" t="s">
        <v>5979</v>
      </c>
      <c r="K174" s="284" t="s">
        <v>14954</v>
      </c>
      <c r="L174" s="207" t="s">
        <v>3841</v>
      </c>
      <c r="M174" s="234" t="s">
        <v>6011</v>
      </c>
      <c r="N174" s="125" t="s">
        <v>6016</v>
      </c>
      <c r="O174" s="208" t="s">
        <v>6027</v>
      </c>
      <c r="P174" s="179" t="s">
        <v>15001</v>
      </c>
      <c r="Q174" s="150" t="s">
        <v>6014</v>
      </c>
      <c r="R174" s="168"/>
      <c r="S174" s="168"/>
      <c r="T174" s="235" t="s">
        <v>5988</v>
      </c>
      <c r="U174" s="232">
        <v>41499</v>
      </c>
      <c r="V174" s="193">
        <v>41499</v>
      </c>
      <c r="W174" s="194">
        <f>IF(OR(U174="",V174="")," ",( V174-U174 + 1) - ((fWorkDay(U174,V174)-U174) - (V174-U174)))</f>
        <v>1</v>
      </c>
      <c r="X174" s="232">
        <v>41499</v>
      </c>
      <c r="Y174" s="193">
        <v>41499</v>
      </c>
      <c r="Z174" s="194">
        <f>IF(OR(X174="",Y174="")," ",( Y174-X174 + 1) - ((fWorkDay(X174,Y174)-X174) - (Y174-X174)))</f>
        <v>1</v>
      </c>
      <c r="AA174" s="188" t="s">
        <v>5981</v>
      </c>
      <c r="AB174" s="195"/>
    </row>
    <row r="175" spans="2:28" ht="27">
      <c r="B175" s="188">
        <f t="shared" si="7"/>
        <v>25</v>
      </c>
      <c r="C175" s="100" t="s">
        <v>6007</v>
      </c>
      <c r="D175" s="116" t="str">
        <f t="shared" ca="1" si="8"/>
        <v>Yes</v>
      </c>
      <c r="E175" s="117" t="s">
        <v>15024</v>
      </c>
      <c r="F175" s="117" t="s">
        <v>14985</v>
      </c>
      <c r="G175" s="117" t="s">
        <v>14987</v>
      </c>
      <c r="H175" s="117" t="s">
        <v>15049</v>
      </c>
      <c r="I175" s="117" t="s">
        <v>15036</v>
      </c>
      <c r="J175" s="117" t="s">
        <v>5979</v>
      </c>
      <c r="K175" s="117" t="s">
        <v>14954</v>
      </c>
      <c r="L175" s="217" t="s">
        <v>3841</v>
      </c>
      <c r="M175" s="236" t="s">
        <v>6011</v>
      </c>
      <c r="N175" s="222" t="s">
        <v>6009</v>
      </c>
      <c r="O175" s="218" t="s">
        <v>6010</v>
      </c>
      <c r="P175" s="180" t="s">
        <v>15048</v>
      </c>
      <c r="Q175" s="151" t="s">
        <v>6008</v>
      </c>
      <c r="R175" s="165"/>
      <c r="S175" s="165"/>
      <c r="T175" s="219" t="s">
        <v>5988</v>
      </c>
      <c r="U175" s="193">
        <v>41499</v>
      </c>
      <c r="V175" s="193">
        <v>41499</v>
      </c>
      <c r="W175" s="194">
        <f>IF(OR(U175="",V175="")," ",( V175-U175 + 1) - ((fWorkDay(U175,V175)-U175) - (V175-U175)))</f>
        <v>1</v>
      </c>
      <c r="X175" s="193">
        <v>41499</v>
      </c>
      <c r="Y175" s="193">
        <v>41499</v>
      </c>
      <c r="Z175" s="194">
        <f>IF(OR(X175="",Y175="")," ",( Y175-X175 + 1) - ((fWorkDay(X175,Y175)-X175) - (Y175-X175)))</f>
        <v>1</v>
      </c>
      <c r="AA175" s="188" t="s">
        <v>5981</v>
      </c>
      <c r="AB175" s="195"/>
    </row>
    <row r="176" spans="2:28" ht="36.75" customHeight="1">
      <c r="B176" s="188">
        <f t="shared" si="7"/>
        <v>24</v>
      </c>
      <c r="C176" s="98" t="s">
        <v>6004</v>
      </c>
      <c r="D176" s="24" t="str">
        <f t="shared" ca="1" si="8"/>
        <v>Yes</v>
      </c>
      <c r="E176" s="87" t="s">
        <v>15023</v>
      </c>
      <c r="F176" s="87" t="s">
        <v>14984</v>
      </c>
      <c r="G176" s="87" t="s">
        <v>14982</v>
      </c>
      <c r="H176" s="87" t="s">
        <v>15041</v>
      </c>
      <c r="I176" s="87" t="s">
        <v>15053</v>
      </c>
      <c r="J176" s="87" t="s">
        <v>5979</v>
      </c>
      <c r="K176" s="87" t="s">
        <v>14952</v>
      </c>
      <c r="L176" s="190" t="s">
        <v>5909</v>
      </c>
      <c r="M176" s="157" t="s">
        <v>5951</v>
      </c>
      <c r="N176" s="113" t="s">
        <v>6005</v>
      </c>
      <c r="O176" s="191" t="s">
        <v>6002</v>
      </c>
      <c r="P176" s="176" t="s">
        <v>6003</v>
      </c>
      <c r="Q176" s="147" t="s">
        <v>6006</v>
      </c>
      <c r="R176" s="166"/>
      <c r="S176" s="166"/>
      <c r="T176" s="192" t="s">
        <v>5988</v>
      </c>
      <c r="U176" s="193">
        <v>41498</v>
      </c>
      <c r="V176" s="193">
        <v>41498</v>
      </c>
      <c r="W176" s="194">
        <f>IF(OR(U176="",V176="")," ",( V176-U176 + 1) - ((fWorkDay(U176,V176)-U176) - (V176-U176)))</f>
        <v>1</v>
      </c>
      <c r="X176" s="193">
        <v>41498</v>
      </c>
      <c r="Y176" s="193">
        <v>41498</v>
      </c>
      <c r="Z176" s="194">
        <f>IF(OR(X176="",Y176="")," ",( Y176-X176 + 1) - ((fWorkDay(X176,Y176)-X176) - (Y176-X176)))</f>
        <v>1</v>
      </c>
      <c r="AA176" s="188" t="s">
        <v>5981</v>
      </c>
      <c r="AB176" s="195"/>
    </row>
    <row r="177" spans="2:28" ht="40.5">
      <c r="B177" s="188">
        <f t="shared" si="7"/>
        <v>23</v>
      </c>
      <c r="C177" s="98" t="s">
        <v>5987</v>
      </c>
      <c r="D177" s="24" t="str">
        <f t="shared" ca="1" si="8"/>
        <v>Yes</v>
      </c>
      <c r="E177" s="87" t="s">
        <v>15023</v>
      </c>
      <c r="F177" s="87" t="s">
        <v>14986</v>
      </c>
      <c r="G177" s="87" t="s">
        <v>14980</v>
      </c>
      <c r="H177" s="87" t="s">
        <v>15046</v>
      </c>
      <c r="I177" s="87" t="s">
        <v>15053</v>
      </c>
      <c r="J177" s="87" t="s">
        <v>5979</v>
      </c>
      <c r="K177" s="87" t="s">
        <v>14953</v>
      </c>
      <c r="L177" s="190" t="s">
        <v>5909</v>
      </c>
      <c r="M177" s="157" t="s">
        <v>5951</v>
      </c>
      <c r="N177" s="188" t="s">
        <v>5986</v>
      </c>
      <c r="O177" s="191" t="s">
        <v>5985</v>
      </c>
      <c r="P177" s="176" t="s">
        <v>15045</v>
      </c>
      <c r="Q177" s="147" t="s">
        <v>5990</v>
      </c>
      <c r="R177" s="166"/>
      <c r="S177" s="166"/>
      <c r="T177" s="192" t="s">
        <v>5991</v>
      </c>
      <c r="U177" s="193">
        <v>41498</v>
      </c>
      <c r="V177" s="193">
        <v>41498</v>
      </c>
      <c r="W177" s="194">
        <f>IF(OR(U177="",V177="")," ",( V177-U177 + 1) - ((fWorkDay(U177,V177)-U177) - (V177-U177)))</f>
        <v>1</v>
      </c>
      <c r="X177" s="193">
        <v>41498</v>
      </c>
      <c r="Y177" s="193">
        <v>41498</v>
      </c>
      <c r="Z177" s="194">
        <f>IF(OR(X177="",Y177="")," ",( Y177-X177 + 1) - ((fWorkDay(X177,Y177)-X177) - (Y177-X177)))</f>
        <v>1</v>
      </c>
      <c r="AA177" s="188" t="s">
        <v>5981</v>
      </c>
      <c r="AB177" s="195"/>
    </row>
    <row r="178" spans="2:28" ht="27">
      <c r="B178" s="188">
        <f t="shared" si="7"/>
        <v>22</v>
      </c>
      <c r="C178" s="98" t="s">
        <v>5999</v>
      </c>
      <c r="D178" s="24" t="str">
        <f t="shared" ca="1" si="8"/>
        <v>Yes</v>
      </c>
      <c r="E178" s="87" t="s">
        <v>15024</v>
      </c>
      <c r="F178" s="87" t="s">
        <v>14986</v>
      </c>
      <c r="G178" s="87" t="s">
        <v>14977</v>
      </c>
      <c r="H178" s="87" t="s">
        <v>15049</v>
      </c>
      <c r="I178" s="87" t="s">
        <v>15053</v>
      </c>
      <c r="J178" s="87" t="s">
        <v>5979</v>
      </c>
      <c r="K178" s="87" t="s">
        <v>14952</v>
      </c>
      <c r="L178" s="190" t="s">
        <v>5909</v>
      </c>
      <c r="M178" s="157" t="s">
        <v>5951</v>
      </c>
      <c r="N178" s="188" t="s">
        <v>5972</v>
      </c>
      <c r="O178" s="191" t="s">
        <v>5953</v>
      </c>
      <c r="P178" s="176" t="s">
        <v>15043</v>
      </c>
      <c r="Q178" s="147" t="s">
        <v>6000</v>
      </c>
      <c r="R178" s="166"/>
      <c r="S178" s="166"/>
      <c r="T178" s="192" t="s">
        <v>2876</v>
      </c>
      <c r="U178" s="193">
        <v>41498</v>
      </c>
      <c r="V178" s="193">
        <v>41498</v>
      </c>
      <c r="W178" s="194">
        <f>IF(OR(U178="",V178="")," ",( V178-U178 + 1) - ((fWorkDay(U178,V178)-U178) - (V178-U178)))</f>
        <v>1</v>
      </c>
      <c r="X178" s="193">
        <v>41498</v>
      </c>
      <c r="Y178" s="193">
        <v>41498</v>
      </c>
      <c r="Z178" s="194">
        <f>IF(OR(X178="",Y178="")," ",( Y178-X178 + 1) - ((fWorkDay(X178,Y178)-X178) - (Y178-X178)))</f>
        <v>1</v>
      </c>
      <c r="AA178" s="188" t="s">
        <v>5981</v>
      </c>
      <c r="AB178" s="195"/>
    </row>
    <row r="179" spans="2:28" ht="27">
      <c r="B179" s="188">
        <f t="shared" si="7"/>
        <v>21</v>
      </c>
      <c r="C179" s="98" t="s">
        <v>5998</v>
      </c>
      <c r="D179" s="24" t="str">
        <f t="shared" ca="1" si="8"/>
        <v>Yes</v>
      </c>
      <c r="E179" s="87" t="s">
        <v>15025</v>
      </c>
      <c r="F179" s="87" t="s">
        <v>14983</v>
      </c>
      <c r="G179" s="87" t="s">
        <v>14981</v>
      </c>
      <c r="H179" s="87" t="s">
        <v>15049</v>
      </c>
      <c r="I179" s="87" t="s">
        <v>15053</v>
      </c>
      <c r="J179" s="87" t="s">
        <v>5979</v>
      </c>
      <c r="K179" s="87" t="s">
        <v>14954</v>
      </c>
      <c r="L179" s="190" t="s">
        <v>5909</v>
      </c>
      <c r="M179" s="157" t="s">
        <v>5951</v>
      </c>
      <c r="N179" s="188" t="s">
        <v>5972</v>
      </c>
      <c r="O179" s="191" t="s">
        <v>5954</v>
      </c>
      <c r="P179" s="176" t="s">
        <v>15044</v>
      </c>
      <c r="Q179" s="147" t="s">
        <v>5984</v>
      </c>
      <c r="R179" s="166"/>
      <c r="S179" s="166"/>
      <c r="T179" s="192" t="s">
        <v>5992</v>
      </c>
      <c r="U179" s="193">
        <v>41498</v>
      </c>
      <c r="V179" s="193">
        <v>41498</v>
      </c>
      <c r="W179" s="194">
        <f>IF(OR(U179="",V179="")," ",( V179-U179 + 1) - ((fWorkDay(U179,V179)-U179) - (V179-U179)))</f>
        <v>1</v>
      </c>
      <c r="X179" s="193">
        <v>41498</v>
      </c>
      <c r="Y179" s="193">
        <v>41498</v>
      </c>
      <c r="Z179" s="194">
        <f>IF(OR(X179="",Y179="")," ",( Y179-X179 + 1) - ((fWorkDay(X179,Y179)-X179) - (Y179-X179)))</f>
        <v>1</v>
      </c>
      <c r="AA179" s="188" t="s">
        <v>5981</v>
      </c>
      <c r="AB179" s="195"/>
    </row>
    <row r="180" spans="2:28" ht="27">
      <c r="B180" s="188">
        <f t="shared" si="7"/>
        <v>20</v>
      </c>
      <c r="C180" s="98" t="s">
        <v>5976</v>
      </c>
      <c r="D180" s="24" t="str">
        <f t="shared" ca="1" si="8"/>
        <v>Yes</v>
      </c>
      <c r="E180" s="87" t="s">
        <v>15024</v>
      </c>
      <c r="F180" s="87" t="s">
        <v>14985</v>
      </c>
      <c r="G180" s="87" t="s">
        <v>14987</v>
      </c>
      <c r="H180" s="87" t="s">
        <v>15049</v>
      </c>
      <c r="I180" s="87" t="s">
        <v>15053</v>
      </c>
      <c r="J180" s="87" t="s">
        <v>5979</v>
      </c>
      <c r="K180" s="87" t="s">
        <v>14954</v>
      </c>
      <c r="L180" s="190" t="s">
        <v>5909</v>
      </c>
      <c r="M180" s="157" t="s">
        <v>5951</v>
      </c>
      <c r="N180" s="188" t="s">
        <v>5972</v>
      </c>
      <c r="O180" s="191" t="s">
        <v>5952</v>
      </c>
      <c r="P180" s="176" t="s">
        <v>5957</v>
      </c>
      <c r="Q180" s="147" t="s">
        <v>5983</v>
      </c>
      <c r="R180" s="166"/>
      <c r="S180" s="166"/>
      <c r="T180" s="192" t="s">
        <v>5992</v>
      </c>
      <c r="U180" s="193">
        <v>41495</v>
      </c>
      <c r="V180" s="193">
        <v>41495</v>
      </c>
      <c r="W180" s="194">
        <f>IF(OR(U180="",V180="")," ",( V180-U180 + 1) - ((fWorkDay(U180,V180)-U180) - (V180-U180)))</f>
        <v>1</v>
      </c>
      <c r="X180" s="193">
        <v>41495</v>
      </c>
      <c r="Y180" s="193">
        <v>41495</v>
      </c>
      <c r="Z180" s="194">
        <f>IF(OR(X180="",Y180="")," ",( Y180-X180 + 1) - ((fWorkDay(X180,Y180)-X180) - (Y180-X180)))</f>
        <v>1</v>
      </c>
      <c r="AA180" s="188" t="s">
        <v>5981</v>
      </c>
      <c r="AB180" s="195"/>
    </row>
    <row r="181" spans="2:28" ht="15" customHeight="1">
      <c r="B181" s="188">
        <f t="shared" si="7"/>
        <v>19</v>
      </c>
      <c r="C181" s="98" t="s">
        <v>5976</v>
      </c>
      <c r="D181" s="24" t="s">
        <v>8595</v>
      </c>
      <c r="E181" s="87" t="s">
        <v>15024</v>
      </c>
      <c r="F181" s="87" t="s">
        <v>14984</v>
      </c>
      <c r="G181" s="87" t="s">
        <v>14982</v>
      </c>
      <c r="H181" s="87" t="s">
        <v>15049</v>
      </c>
      <c r="I181" s="87" t="s">
        <v>15036</v>
      </c>
      <c r="J181" s="87" t="s">
        <v>5979</v>
      </c>
      <c r="K181" s="87" t="s">
        <v>14952</v>
      </c>
      <c r="L181" s="190" t="s">
        <v>5909</v>
      </c>
      <c r="M181" s="157" t="s">
        <v>5909</v>
      </c>
      <c r="N181" s="188" t="s">
        <v>5972</v>
      </c>
      <c r="O181" s="191" t="s">
        <v>5952</v>
      </c>
      <c r="P181" s="176" t="s">
        <v>5957</v>
      </c>
      <c r="Q181" s="147" t="s">
        <v>5994</v>
      </c>
      <c r="R181" s="166"/>
      <c r="S181" s="166"/>
      <c r="T181" s="192" t="s">
        <v>5992</v>
      </c>
      <c r="V181" s="193"/>
      <c r="W181" s="194" t="str">
        <f>IF(OR(U181="",V181="")," ",( V181-U181 + 1) - ((fWorkDay(U181,V181)-U181) - (V181-U181)))</f>
        <v xml:space="preserve"> </v>
      </c>
      <c r="Y181" s="193"/>
      <c r="Z181" s="194" t="str">
        <f>IF(OR(X181="",Y181="")," ",( Y181-X181 + 1) - ((fWorkDay(X181,Y181)-X181) - (Y181-X181)))</f>
        <v xml:space="preserve"> </v>
      </c>
      <c r="AA181" s="188" t="s">
        <v>5981</v>
      </c>
      <c r="AB181" s="195"/>
    </row>
    <row r="182" spans="2:28" ht="15" customHeight="1" thickBot="1">
      <c r="B182" s="188">
        <f t="shared" si="7"/>
        <v>18</v>
      </c>
      <c r="C182" s="98" t="s">
        <v>5997</v>
      </c>
      <c r="D182" s="24" t="str">
        <f t="shared" ca="1" si="8"/>
        <v>Yes</v>
      </c>
      <c r="E182" s="87" t="s">
        <v>15023</v>
      </c>
      <c r="F182" s="87" t="s">
        <v>14986</v>
      </c>
      <c r="G182" s="87" t="s">
        <v>14980</v>
      </c>
      <c r="H182" s="87" t="s">
        <v>15041</v>
      </c>
      <c r="I182" s="87" t="s">
        <v>15053</v>
      </c>
      <c r="J182" s="87" t="s">
        <v>5979</v>
      </c>
      <c r="K182" s="87" t="s">
        <v>14953</v>
      </c>
      <c r="L182" s="207" t="s">
        <v>3841</v>
      </c>
      <c r="M182" s="157" t="s">
        <v>5950</v>
      </c>
      <c r="N182" s="188" t="s">
        <v>5950</v>
      </c>
      <c r="O182" s="191" t="s">
        <v>5949</v>
      </c>
      <c r="P182" s="176" t="s">
        <v>5974</v>
      </c>
      <c r="Q182" s="147" t="s">
        <v>14912</v>
      </c>
      <c r="R182" s="166"/>
      <c r="S182" s="166"/>
      <c r="T182" s="192" t="s">
        <v>5993</v>
      </c>
      <c r="U182" s="193">
        <v>41494</v>
      </c>
      <c r="V182" s="193">
        <v>41494</v>
      </c>
      <c r="W182" s="194">
        <f>IF(OR(U182="",V182="")," ",( V182-U182 + 1) - ((fWorkDay(U182,V182)-U182) - (V182-U182)))</f>
        <v>1</v>
      </c>
      <c r="X182" s="193">
        <v>41494</v>
      </c>
      <c r="Y182" s="193">
        <v>41494</v>
      </c>
      <c r="Z182" s="194">
        <f>IF(OR(X182="",Y182="")," ",( Y182-X182 + 1) - ((fWorkDay(X182,Y182)-X182) - (Y182-X182)))</f>
        <v>1</v>
      </c>
      <c r="AA182" s="188" t="s">
        <v>5981</v>
      </c>
      <c r="AB182" s="195"/>
    </row>
    <row r="183" spans="2:28" ht="72" customHeight="1" thickBot="1">
      <c r="B183" s="188">
        <f t="shared" si="7"/>
        <v>17</v>
      </c>
      <c r="C183" s="98" t="s">
        <v>5996</v>
      </c>
      <c r="D183" s="24" t="str">
        <f t="shared" ca="1" si="8"/>
        <v>Yes</v>
      </c>
      <c r="E183" s="87" t="s">
        <v>15023</v>
      </c>
      <c r="F183" s="87" t="s">
        <v>14986</v>
      </c>
      <c r="G183" s="87" t="s">
        <v>14977</v>
      </c>
      <c r="H183" s="87" t="s">
        <v>15046</v>
      </c>
      <c r="I183" s="87" t="s">
        <v>15053</v>
      </c>
      <c r="J183" s="87" t="s">
        <v>5979</v>
      </c>
      <c r="K183" s="87" t="s">
        <v>14952</v>
      </c>
      <c r="L183" s="207" t="s">
        <v>3841</v>
      </c>
      <c r="M183" s="157" t="s">
        <v>5971</v>
      </c>
      <c r="N183" s="188" t="s">
        <v>5950</v>
      </c>
      <c r="O183" s="191" t="s">
        <v>5968</v>
      </c>
      <c r="P183" s="176" t="s">
        <v>5969</v>
      </c>
      <c r="Q183" s="147" t="s">
        <v>5975</v>
      </c>
      <c r="R183" s="166"/>
      <c r="S183" s="166"/>
      <c r="T183" s="192" t="s">
        <v>5993</v>
      </c>
      <c r="U183" s="193">
        <v>41493</v>
      </c>
      <c r="V183" s="193">
        <v>41494</v>
      </c>
      <c r="W183" s="194">
        <f>IF(OR(U183="",V183="")," ",( V183-U183 + 1) - ((fWorkDay(U183,V183)-U183) - (V183-U183)))</f>
        <v>2</v>
      </c>
      <c r="X183" s="193">
        <v>41493</v>
      </c>
      <c r="Y183" s="193">
        <v>41494</v>
      </c>
      <c r="Z183" s="194">
        <f>IF(OR(X183="",Y183="")," ",( Y183-X183 + 1) - ((fWorkDay(X183,Y183)-X183) - (Y183-X183)))</f>
        <v>2</v>
      </c>
      <c r="AA183" s="188" t="s">
        <v>5981</v>
      </c>
      <c r="AB183" s="195"/>
    </row>
    <row r="184" spans="2:28" ht="39" customHeight="1">
      <c r="B184" s="188">
        <f t="shared" si="7"/>
        <v>16</v>
      </c>
      <c r="C184" s="102"/>
      <c r="D184" s="24" t="str">
        <f t="shared" ca="1" si="8"/>
        <v>Yes</v>
      </c>
      <c r="E184" s="188" t="s">
        <v>14988</v>
      </c>
      <c r="F184" s="188" t="s">
        <v>14988</v>
      </c>
      <c r="G184" s="87" t="s">
        <v>14988</v>
      </c>
      <c r="H184" s="188" t="s">
        <v>15033</v>
      </c>
      <c r="I184" s="188" t="s">
        <v>15033</v>
      </c>
      <c r="J184" s="188" t="s">
        <v>5979</v>
      </c>
      <c r="K184" s="188" t="s">
        <v>14951</v>
      </c>
      <c r="L184" s="190" t="s">
        <v>5907</v>
      </c>
      <c r="M184" s="228" t="s">
        <v>5947</v>
      </c>
      <c r="N184" s="188" t="s">
        <v>5947</v>
      </c>
      <c r="O184" s="191"/>
      <c r="P184" s="176"/>
      <c r="Q184" s="147" t="s">
        <v>5948</v>
      </c>
      <c r="R184" s="166"/>
      <c r="S184" s="166"/>
      <c r="T184" s="192" t="s">
        <v>5992</v>
      </c>
      <c r="U184" s="193">
        <v>41493</v>
      </c>
      <c r="V184" s="193">
        <v>41493</v>
      </c>
      <c r="W184" s="194">
        <f>IF(OR(U184="",V184="")," ",( V184-U184 + 1) - ((fWorkDay(U184,V184)-U184) - (V184-U184)))</f>
        <v>1</v>
      </c>
      <c r="X184" s="193">
        <v>41493</v>
      </c>
      <c r="Y184" s="193">
        <v>41493</v>
      </c>
      <c r="Z184" s="194">
        <f>IF(OR(X184="",Y184="")," ",( Y184-X184 + 1) - ((fWorkDay(X184,Y184)-X184) - (Y184-X184)))</f>
        <v>1</v>
      </c>
      <c r="AA184" s="188" t="s">
        <v>5981</v>
      </c>
      <c r="AB184" s="195"/>
    </row>
    <row r="185" spans="2:28" ht="27.75" thickBot="1">
      <c r="B185" s="188">
        <f t="shared" si="7"/>
        <v>15</v>
      </c>
      <c r="C185" s="102" t="s">
        <v>5962</v>
      </c>
      <c r="D185" s="24" t="str">
        <f t="shared" ca="1" si="8"/>
        <v>Yes</v>
      </c>
      <c r="E185" s="87" t="s">
        <v>15026</v>
      </c>
      <c r="F185" s="87" t="s">
        <v>14977</v>
      </c>
      <c r="G185" s="87" t="s">
        <v>14981</v>
      </c>
      <c r="H185" s="87" t="s">
        <v>15033</v>
      </c>
      <c r="I185" s="87" t="s">
        <v>15054</v>
      </c>
      <c r="J185" s="87" t="s">
        <v>5979</v>
      </c>
      <c r="K185" s="87" t="s">
        <v>14954</v>
      </c>
      <c r="L185" s="207" t="s">
        <v>3841</v>
      </c>
      <c r="M185" s="190" t="s">
        <v>5942</v>
      </c>
      <c r="N185" s="188" t="s">
        <v>5943</v>
      </c>
      <c r="O185" s="191" t="s">
        <v>8604</v>
      </c>
      <c r="P185" s="176"/>
      <c r="Q185" s="147" t="s">
        <v>5944</v>
      </c>
      <c r="R185" s="166"/>
      <c r="S185" s="166"/>
      <c r="T185" s="192" t="s">
        <v>5991</v>
      </c>
      <c r="U185" s="193">
        <v>41492</v>
      </c>
      <c r="V185" s="193">
        <v>41492</v>
      </c>
      <c r="W185" s="194">
        <f>IF(OR(U185="",V185="")," ",( V185-U185 + 1) - ((fWorkDay(U185,V185)-U185) - (V185-U185)))</f>
        <v>1</v>
      </c>
      <c r="X185" s="193">
        <v>41492</v>
      </c>
      <c r="Y185" s="193">
        <v>41492</v>
      </c>
      <c r="Z185" s="194">
        <f>IF(OR(X185="",Y185="")," ",( Y185-X185 + 1) - ((fWorkDay(X185,Y185)-X185) - (Y185-X185)))</f>
        <v>1</v>
      </c>
      <c r="AA185" s="188" t="s">
        <v>5981</v>
      </c>
      <c r="AB185" s="195"/>
    </row>
    <row r="186" spans="2:28" ht="94.5">
      <c r="B186" s="188">
        <f t="shared" si="7"/>
        <v>14</v>
      </c>
      <c r="C186" s="102" t="s">
        <v>5958</v>
      </c>
      <c r="D186" s="24" t="str">
        <f t="shared" ca="1" si="8"/>
        <v>Yes</v>
      </c>
      <c r="E186" s="87" t="s">
        <v>15024</v>
      </c>
      <c r="F186" s="87" t="s">
        <v>14984</v>
      </c>
      <c r="G186" s="87" t="s">
        <v>14982</v>
      </c>
      <c r="H186" s="87" t="s">
        <v>15034</v>
      </c>
      <c r="I186" s="87" t="s">
        <v>15053</v>
      </c>
      <c r="J186" s="87" t="s">
        <v>5979</v>
      </c>
      <c r="K186" s="87" t="s">
        <v>14952</v>
      </c>
      <c r="L186" s="190" t="s">
        <v>5909</v>
      </c>
      <c r="M186" s="157" t="s">
        <v>5940</v>
      </c>
      <c r="N186" s="188" t="s">
        <v>5940</v>
      </c>
      <c r="O186" s="191" t="s">
        <v>5946</v>
      </c>
      <c r="P186" s="176" t="s">
        <v>5939</v>
      </c>
      <c r="Q186" s="147" t="s">
        <v>5941</v>
      </c>
      <c r="R186" s="166"/>
      <c r="S186" s="166"/>
      <c r="T186" s="192" t="s">
        <v>5992</v>
      </c>
      <c r="U186" s="193">
        <v>41492</v>
      </c>
      <c r="V186" s="193">
        <v>41492</v>
      </c>
      <c r="W186" s="194">
        <f>IF(OR(U186="",V186="")," ",( V186-U186 + 1) - ((fWorkDay(U186,V186)-U186) - (V186-U186)))</f>
        <v>1</v>
      </c>
      <c r="X186" s="193">
        <v>41492</v>
      </c>
      <c r="Y186" s="193">
        <v>41492</v>
      </c>
      <c r="Z186" s="194">
        <f>IF(OR(X186="",Y186="")," ",( Y186-X186 + 1) - ((fWorkDay(X186,Y186)-X186) - (Y186-X186)))</f>
        <v>1</v>
      </c>
      <c r="AA186" s="188" t="s">
        <v>5981</v>
      </c>
      <c r="AB186" s="191"/>
    </row>
    <row r="187" spans="2:28" ht="108">
      <c r="B187" s="188">
        <f t="shared" si="7"/>
        <v>13</v>
      </c>
      <c r="C187" s="102" t="s">
        <v>5959</v>
      </c>
      <c r="D187" s="24" t="str">
        <f t="shared" ca="1" si="8"/>
        <v>Yes</v>
      </c>
      <c r="E187" s="87" t="s">
        <v>15024</v>
      </c>
      <c r="F187" s="87" t="s">
        <v>14986</v>
      </c>
      <c r="G187" s="87" t="s">
        <v>14980</v>
      </c>
      <c r="H187" s="87" t="s">
        <v>15034</v>
      </c>
      <c r="I187" s="87" t="s">
        <v>15036</v>
      </c>
      <c r="J187" s="87" t="s">
        <v>5979</v>
      </c>
      <c r="K187" s="87" t="s">
        <v>14953</v>
      </c>
      <c r="L187" s="190" t="s">
        <v>5909</v>
      </c>
      <c r="M187" s="157" t="s">
        <v>5911</v>
      </c>
      <c r="N187" s="188" t="s">
        <v>5911</v>
      </c>
      <c r="O187" s="191" t="s">
        <v>5910</v>
      </c>
      <c r="P187" s="176" t="s">
        <v>5911</v>
      </c>
      <c r="Q187" s="152" t="s">
        <v>5935</v>
      </c>
      <c r="R187" s="166"/>
      <c r="S187" s="166"/>
      <c r="T187" s="192" t="s">
        <v>5991</v>
      </c>
      <c r="U187" s="193">
        <v>41492</v>
      </c>
      <c r="V187" s="193">
        <v>41492</v>
      </c>
      <c r="W187" s="194">
        <f>IF(OR(U187="",V187="")," ",( V187-U187 + 1) - ((fWorkDay(U187,V187)-U187) - (V187-U187)))</f>
        <v>1</v>
      </c>
      <c r="X187" s="193">
        <v>41492</v>
      </c>
      <c r="Y187" s="193">
        <v>41492</v>
      </c>
      <c r="Z187" s="194">
        <f>IF(OR(X187="",Y187="")," ",( Y187-X187 + 1) - ((fWorkDay(X187,Y187)-X187) - (Y187-X187)))</f>
        <v>1</v>
      </c>
      <c r="AA187" s="188" t="s">
        <v>5981</v>
      </c>
      <c r="AB187" s="191"/>
    </row>
    <row r="188" spans="2:28" ht="17.25" thickBot="1">
      <c r="B188" s="188">
        <f t="shared" si="7"/>
        <v>12</v>
      </c>
      <c r="C188" s="238" t="s">
        <v>5961</v>
      </c>
      <c r="D188" s="24" t="str">
        <f t="shared" ca="1" si="8"/>
        <v>Yes</v>
      </c>
      <c r="E188" s="87" t="s">
        <v>15027</v>
      </c>
      <c r="F188" s="87" t="s">
        <v>14987</v>
      </c>
      <c r="G188" s="87" t="s">
        <v>14977</v>
      </c>
      <c r="H188" s="87" t="s">
        <v>15033</v>
      </c>
      <c r="I188" s="87" t="s">
        <v>15054</v>
      </c>
      <c r="J188" s="87" t="s">
        <v>5979</v>
      </c>
      <c r="K188" s="87" t="s">
        <v>14952</v>
      </c>
      <c r="L188" s="239" t="s">
        <v>5909</v>
      </c>
      <c r="M188" s="240" t="s">
        <v>5928</v>
      </c>
      <c r="N188" s="237" t="s">
        <v>5928</v>
      </c>
      <c r="O188" s="227" t="s">
        <v>5929</v>
      </c>
      <c r="P188" s="182" t="s">
        <v>5928</v>
      </c>
      <c r="Q188" s="153" t="s">
        <v>5930</v>
      </c>
      <c r="R188" s="166"/>
      <c r="S188" s="166"/>
      <c r="T188" s="209" t="s">
        <v>5991</v>
      </c>
      <c r="U188" s="210">
        <v>41487</v>
      </c>
      <c r="V188" s="241">
        <v>41487</v>
      </c>
      <c r="W188" s="194">
        <f>IF(OR(U188="",V188="")," ",( V188-U188 + 1) - ((fWorkDay(U188,V188)-U188) - (V188-U188)))</f>
        <v>1</v>
      </c>
      <c r="X188" s="210">
        <v>41487</v>
      </c>
      <c r="Y188" s="241">
        <v>41487</v>
      </c>
      <c r="Z188" s="194">
        <f>IF(OR(X188="",Y188="")," ",( Y188-X188 + 1) - ((fWorkDay(X188,Y188)-X188) - (Y188-X188)))</f>
        <v>1</v>
      </c>
      <c r="AA188" s="212" t="s">
        <v>5981</v>
      </c>
      <c r="AB188" s="227"/>
    </row>
    <row r="189" spans="2:28">
      <c r="B189" s="188">
        <f t="shared" si="7"/>
        <v>11</v>
      </c>
      <c r="C189" s="101" t="s">
        <v>5967</v>
      </c>
      <c r="D189" s="24" t="str">
        <f t="shared" ca="1" si="8"/>
        <v>Yes</v>
      </c>
      <c r="E189" s="188" t="s">
        <v>14988</v>
      </c>
      <c r="F189" s="188" t="s">
        <v>14978</v>
      </c>
      <c r="G189" s="87" t="s">
        <v>14988</v>
      </c>
      <c r="H189" s="188" t="s">
        <v>15033</v>
      </c>
      <c r="I189" s="188" t="s">
        <v>15033</v>
      </c>
      <c r="J189" s="188" t="s">
        <v>5979</v>
      </c>
      <c r="K189" s="188" t="s">
        <v>14951</v>
      </c>
      <c r="L189" s="200" t="s">
        <v>5902</v>
      </c>
      <c r="M189" s="230" t="s">
        <v>5914</v>
      </c>
      <c r="N189" s="205" t="s">
        <v>5914</v>
      </c>
      <c r="O189" s="201"/>
      <c r="P189" s="178"/>
      <c r="Q189" s="154" t="s">
        <v>5916</v>
      </c>
      <c r="R189" s="166"/>
      <c r="S189" s="166"/>
      <c r="T189" s="219" t="s">
        <v>5991</v>
      </c>
      <c r="U189" s="220">
        <v>41484</v>
      </c>
      <c r="V189" s="203">
        <v>41484</v>
      </c>
      <c r="W189" s="194">
        <f>IF(OR(U189="",V189="")," ",( V189-U189 + 1) - ((fWorkDay(U189,V189)-U189) - (V189-U189)))</f>
        <v>1</v>
      </c>
      <c r="X189" s="220">
        <v>41484</v>
      </c>
      <c r="Y189" s="203">
        <v>41484</v>
      </c>
      <c r="Z189" s="194">
        <f>IF(OR(X189="",Y189="")," ",( Y189-X189 + 1) - ((fWorkDay(X189,Y189)-X189) - (Y189-X189)))</f>
        <v>1</v>
      </c>
      <c r="AA189" s="222" t="s">
        <v>5981</v>
      </c>
      <c r="AB189" s="215"/>
    </row>
    <row r="190" spans="2:28" ht="27">
      <c r="B190" s="188">
        <f t="shared" si="7"/>
        <v>10</v>
      </c>
      <c r="C190" s="102" t="s">
        <v>5966</v>
      </c>
      <c r="D190" s="24" t="str">
        <f t="shared" ca="1" si="8"/>
        <v>Yes</v>
      </c>
      <c r="E190" s="87" t="s">
        <v>15023</v>
      </c>
      <c r="F190" s="87" t="s">
        <v>14985</v>
      </c>
      <c r="G190" s="87" t="s">
        <v>14987</v>
      </c>
      <c r="H190" s="87" t="s">
        <v>15034</v>
      </c>
      <c r="I190" s="87" t="s">
        <v>15053</v>
      </c>
      <c r="J190" s="87" t="s">
        <v>5979</v>
      </c>
      <c r="K190" s="87" t="s">
        <v>14954</v>
      </c>
      <c r="L190" s="190" t="s">
        <v>5902</v>
      </c>
      <c r="M190" s="240" t="s">
        <v>5914</v>
      </c>
      <c r="N190" s="188" t="s">
        <v>5914</v>
      </c>
      <c r="O190" s="191" t="s">
        <v>5924</v>
      </c>
      <c r="P190" s="176" t="s">
        <v>15002</v>
      </c>
      <c r="Q190" s="155" t="s">
        <v>5927</v>
      </c>
      <c r="R190" s="166"/>
      <c r="S190" s="166"/>
      <c r="T190" s="192" t="s">
        <v>5991</v>
      </c>
      <c r="U190" s="193">
        <v>41491</v>
      </c>
      <c r="V190" s="193">
        <v>41491</v>
      </c>
      <c r="W190" s="194">
        <f>IF(OR(U190="",V190="")," ",( V190-U190 + 1) - ((fWorkDay(U190,V190)-U190) - (V190-U190)))</f>
        <v>1</v>
      </c>
      <c r="X190" s="193">
        <v>41491</v>
      </c>
      <c r="Y190" s="193">
        <v>41491</v>
      </c>
      <c r="Z190" s="194">
        <f>IF(OR(X190="",Y190="")," ",( Y190-X190 + 1) - ((fWorkDay(X190,Y190)-X190) - (Y190-X190)))</f>
        <v>1</v>
      </c>
      <c r="AA190" s="188" t="s">
        <v>5981</v>
      </c>
      <c r="AB190" s="226"/>
    </row>
    <row r="191" spans="2:28" ht="27">
      <c r="B191" s="188">
        <f t="shared" si="7"/>
        <v>9</v>
      </c>
      <c r="C191" s="102" t="s">
        <v>5965</v>
      </c>
      <c r="D191" s="24" t="str">
        <f t="shared" ca="1" si="8"/>
        <v>Yes</v>
      </c>
      <c r="E191" s="87" t="s">
        <v>15024</v>
      </c>
      <c r="F191" s="87" t="s">
        <v>14984</v>
      </c>
      <c r="G191" s="87" t="s">
        <v>14982</v>
      </c>
      <c r="H191" s="87" t="s">
        <v>15034</v>
      </c>
      <c r="I191" s="87" t="s">
        <v>15054</v>
      </c>
      <c r="J191" s="87" t="s">
        <v>5979</v>
      </c>
      <c r="K191" s="87" t="s">
        <v>14952</v>
      </c>
      <c r="L191" s="190" t="s">
        <v>5902</v>
      </c>
      <c r="M191" s="240" t="s">
        <v>5914</v>
      </c>
      <c r="N191" s="188" t="s">
        <v>5914</v>
      </c>
      <c r="O191" s="191" t="s">
        <v>5923</v>
      </c>
      <c r="P191" s="176" t="s">
        <v>15052</v>
      </c>
      <c r="Q191" s="155" t="s">
        <v>5926</v>
      </c>
      <c r="R191" s="166"/>
      <c r="S191" s="166"/>
      <c r="T191" s="192" t="s">
        <v>5991</v>
      </c>
      <c r="U191" s="193">
        <v>41490</v>
      </c>
      <c r="V191" s="193">
        <v>41490</v>
      </c>
      <c r="W191" s="194">
        <f>IF(OR(U191="",V191="")," ",( V191-U191 + 1) - ((fWorkDay(U191,V191)-U191) - (V191-U191)))</f>
        <v>1</v>
      </c>
      <c r="X191" s="193">
        <v>41490</v>
      </c>
      <c r="Y191" s="193">
        <v>41490</v>
      </c>
      <c r="Z191" s="194">
        <f>IF(OR(X191="",Y191="")," ",( Y191-X191 + 1) - ((fWorkDay(X191,Y191)-X191) - (Y191-X191)))</f>
        <v>1</v>
      </c>
      <c r="AA191" s="188" t="s">
        <v>5981</v>
      </c>
      <c r="AB191" s="226"/>
    </row>
    <row r="192" spans="2:28" ht="27">
      <c r="B192" s="188">
        <f t="shared" si="7"/>
        <v>8</v>
      </c>
      <c r="C192" s="102" t="s">
        <v>5970</v>
      </c>
      <c r="D192" s="24" t="str">
        <f t="shared" ca="1" si="8"/>
        <v>Yes</v>
      </c>
      <c r="E192" s="87" t="s">
        <v>15024</v>
      </c>
      <c r="F192" s="87" t="s">
        <v>14986</v>
      </c>
      <c r="G192" s="87" t="s">
        <v>14980</v>
      </c>
      <c r="H192" s="87" t="s">
        <v>15034</v>
      </c>
      <c r="I192" s="87" t="s">
        <v>15053</v>
      </c>
      <c r="J192" s="87" t="s">
        <v>5979</v>
      </c>
      <c r="K192" s="87" t="s">
        <v>14953</v>
      </c>
      <c r="L192" s="190" t="s">
        <v>5902</v>
      </c>
      <c r="M192" s="240" t="s">
        <v>5914</v>
      </c>
      <c r="N192" s="188" t="s">
        <v>5914</v>
      </c>
      <c r="O192" s="191" t="s">
        <v>5922</v>
      </c>
      <c r="P192" s="176" t="s">
        <v>15003</v>
      </c>
      <c r="Q192" s="155" t="s">
        <v>5925</v>
      </c>
      <c r="R192" s="166"/>
      <c r="S192" s="166"/>
      <c r="T192" s="192" t="s">
        <v>5991</v>
      </c>
      <c r="U192" s="193">
        <v>41490</v>
      </c>
      <c r="V192" s="193">
        <v>41490</v>
      </c>
      <c r="W192" s="194">
        <f>IF(OR(U192="",V192="")," ",( V192-U192 + 1) - ((fWorkDay(U192,V192)-U192) - (V192-U192)))</f>
        <v>1</v>
      </c>
      <c r="X192" s="193">
        <v>41490</v>
      </c>
      <c r="Y192" s="193">
        <v>41490</v>
      </c>
      <c r="Z192" s="194">
        <f>IF(OR(X192="",Y192="")," ",( Y192-X192 + 1) - ((fWorkDay(X192,Y192)-X192) - (Y192-X192)))</f>
        <v>1</v>
      </c>
      <c r="AA192" s="188" t="s">
        <v>5981</v>
      </c>
      <c r="AB192" s="226"/>
    </row>
    <row r="193" spans="2:28" ht="149.25" thickBot="1">
      <c r="B193" s="188">
        <f t="shared" si="7"/>
        <v>7</v>
      </c>
      <c r="C193" s="103" t="s">
        <v>5964</v>
      </c>
      <c r="D193" s="24" t="str">
        <f t="shared" ca="1" si="8"/>
        <v>Yes</v>
      </c>
      <c r="E193" s="87" t="s">
        <v>15024</v>
      </c>
      <c r="F193" s="87" t="s">
        <v>14986</v>
      </c>
      <c r="G193" s="87" t="s">
        <v>14977</v>
      </c>
      <c r="H193" s="87" t="s">
        <v>15034</v>
      </c>
      <c r="I193" s="87" t="s">
        <v>15036</v>
      </c>
      <c r="J193" s="87" t="s">
        <v>5979</v>
      </c>
      <c r="K193" s="87" t="s">
        <v>14952</v>
      </c>
      <c r="L193" s="207" t="s">
        <v>5902</v>
      </c>
      <c r="M193" s="240" t="s">
        <v>5938</v>
      </c>
      <c r="N193" s="212" t="s">
        <v>5938</v>
      </c>
      <c r="O193" s="208" t="s">
        <v>5915</v>
      </c>
      <c r="P193" s="179" t="s">
        <v>15004</v>
      </c>
      <c r="Q193" s="156" t="s">
        <v>5936</v>
      </c>
      <c r="R193" s="166"/>
      <c r="S193" s="166"/>
      <c r="T193" s="209" t="s">
        <v>5991</v>
      </c>
      <c r="U193" s="210">
        <v>41485</v>
      </c>
      <c r="V193" s="210">
        <v>41485</v>
      </c>
      <c r="W193" s="194">
        <f>IF(OR(U193="",V193="")," ",( V193-U193 + 1) - ((fWorkDay(U193,V193)-U193) - (V193-U193)))</f>
        <v>1</v>
      </c>
      <c r="X193" s="210">
        <v>41485</v>
      </c>
      <c r="Y193" s="210">
        <v>41485</v>
      </c>
      <c r="Z193" s="194">
        <f>IF(OR(X193="",Y193="")," ",( Y193-X193 + 1) - ((fWorkDay(X193,Y193)-X193) - (Y193-X193)))</f>
        <v>1</v>
      </c>
      <c r="AA193" s="212" t="s">
        <v>5981</v>
      </c>
      <c r="AB193" s="213"/>
    </row>
    <row r="194" spans="2:28" ht="128.25" customHeight="1">
      <c r="B194" s="188">
        <f t="shared" si="7"/>
        <v>6</v>
      </c>
      <c r="C194" s="101" t="s">
        <v>5960</v>
      </c>
      <c r="D194" s="24" t="str">
        <f t="shared" ca="1" si="8"/>
        <v>Yes</v>
      </c>
      <c r="E194" s="87" t="s">
        <v>15023</v>
      </c>
      <c r="F194" s="87" t="s">
        <v>14983</v>
      </c>
      <c r="G194" s="87" t="s">
        <v>14981</v>
      </c>
      <c r="H194" s="87" t="s">
        <v>15034</v>
      </c>
      <c r="I194" s="87" t="s">
        <v>15053</v>
      </c>
      <c r="J194" s="87" t="s">
        <v>5979</v>
      </c>
      <c r="K194" s="87" t="s">
        <v>14954</v>
      </c>
      <c r="L194" s="217" t="s">
        <v>5909</v>
      </c>
      <c r="M194" s="228" t="s">
        <v>5909</v>
      </c>
      <c r="N194" s="188" t="s">
        <v>15040</v>
      </c>
      <c r="O194" s="191" t="s">
        <v>15037</v>
      </c>
      <c r="P194" s="176" t="s">
        <v>15035</v>
      </c>
      <c r="Q194" s="152" t="s">
        <v>14932</v>
      </c>
      <c r="R194" s="166"/>
      <c r="S194" s="166"/>
      <c r="T194" s="219" t="s">
        <v>5992</v>
      </c>
      <c r="U194" s="220">
        <v>41474</v>
      </c>
      <c r="V194" s="193">
        <v>41478</v>
      </c>
      <c r="W194" s="194">
        <f>IF(OR(U194="",V194="")," ",( V194-U194 + 1) - ((fWorkDay(U194,V194)-U194) - (V194-U194)))</f>
        <v>3</v>
      </c>
      <c r="X194" s="220">
        <v>41474</v>
      </c>
      <c r="Y194" s="193">
        <v>41478</v>
      </c>
      <c r="Z194" s="194">
        <f>IF(OR(X194="",Y194="")," ",( Y194-X194 + 1) - ((fWorkDay(X194,Y194)-X194) - (Y194-X194)))</f>
        <v>3</v>
      </c>
      <c r="AA194" s="222" t="s">
        <v>5980</v>
      </c>
      <c r="AB194" s="191" t="s">
        <v>5913</v>
      </c>
    </row>
    <row r="195" spans="2:28">
      <c r="B195" s="188">
        <f t="shared" si="7"/>
        <v>5</v>
      </c>
      <c r="C195" s="102"/>
      <c r="D195" s="24" t="str">
        <f t="shared" ca="1" si="8"/>
        <v>Yes</v>
      </c>
      <c r="E195" s="87" t="s">
        <v>15028</v>
      </c>
      <c r="F195" s="87" t="s">
        <v>14981</v>
      </c>
      <c r="G195" s="87" t="s">
        <v>14987</v>
      </c>
      <c r="H195" s="87" t="s">
        <v>15050</v>
      </c>
      <c r="I195" s="87" t="s">
        <v>15054</v>
      </c>
      <c r="J195" s="87" t="s">
        <v>5979</v>
      </c>
      <c r="K195" s="87" t="s">
        <v>14954</v>
      </c>
      <c r="L195" s="239" t="s">
        <v>5907</v>
      </c>
      <c r="M195" s="242" t="s">
        <v>5907</v>
      </c>
      <c r="N195" s="237" t="s">
        <v>5907</v>
      </c>
      <c r="O195" s="227" t="s">
        <v>5907</v>
      </c>
      <c r="P195" s="182" t="s">
        <v>5907</v>
      </c>
      <c r="Q195" s="153" t="s">
        <v>5945</v>
      </c>
      <c r="R195" s="166"/>
      <c r="S195" s="166"/>
      <c r="T195" s="192" t="s">
        <v>5992</v>
      </c>
      <c r="U195" s="193">
        <v>41479</v>
      </c>
      <c r="V195" s="241">
        <v>41479</v>
      </c>
      <c r="W195" s="194">
        <f>IF(OR(U195="",V195="")," ",( V195-U195 + 1) - ((fWorkDay(U195,V195)-U195) - (V195-U195)))</f>
        <v>1</v>
      </c>
      <c r="X195" s="193">
        <v>41479</v>
      </c>
      <c r="Y195" s="241">
        <v>41479</v>
      </c>
      <c r="Z195" s="194">
        <f>IF(OR(X195="",Y195="")," ",( Y195-X195 + 1) - ((fWorkDay(X195,Y195)-X195) - (Y195-X195)))</f>
        <v>1</v>
      </c>
      <c r="AA195" s="188" t="s">
        <v>5981</v>
      </c>
      <c r="AB195" s="227"/>
    </row>
    <row r="196" spans="2:28">
      <c r="B196" s="188">
        <f t="shared" si="7"/>
        <v>4</v>
      </c>
      <c r="C196" s="102"/>
      <c r="D196" s="24" t="str">
        <f t="shared" ca="1" si="8"/>
        <v>Yes</v>
      </c>
      <c r="E196" s="87" t="s">
        <v>15027</v>
      </c>
      <c r="F196" s="87" t="s">
        <v>14980</v>
      </c>
      <c r="G196" s="87" t="s">
        <v>14982</v>
      </c>
      <c r="H196" s="87" t="s">
        <v>15047</v>
      </c>
      <c r="I196" s="87" t="s">
        <v>15054</v>
      </c>
      <c r="J196" s="87" t="s">
        <v>5979</v>
      </c>
      <c r="K196" s="87" t="s">
        <v>14952</v>
      </c>
      <c r="L196" s="239" t="s">
        <v>5907</v>
      </c>
      <c r="M196" s="242" t="s">
        <v>5919</v>
      </c>
      <c r="N196" s="237" t="s">
        <v>5919</v>
      </c>
      <c r="O196" s="227" t="s">
        <v>5919</v>
      </c>
      <c r="P196" s="182" t="s">
        <v>5919</v>
      </c>
      <c r="Q196" s="153" t="s">
        <v>5918</v>
      </c>
      <c r="R196" s="166"/>
      <c r="S196" s="166"/>
      <c r="T196" s="192" t="s">
        <v>5992</v>
      </c>
      <c r="U196" s="193">
        <v>41484</v>
      </c>
      <c r="V196" s="241">
        <v>41484</v>
      </c>
      <c r="W196" s="194">
        <f>IF(OR(U196="",V196="")," ",( V196-U196 + 1) - ((fWorkDay(U196,V196)-U196) - (V196-U196)))</f>
        <v>1</v>
      </c>
      <c r="X196" s="193">
        <v>41484</v>
      </c>
      <c r="Y196" s="241">
        <v>41484</v>
      </c>
      <c r="Z196" s="194">
        <f>IF(OR(X196="",Y196="")," ",( Y196-X196 + 1) - ((fWorkDay(X196,Y196)-X196) - (Y196-X196)))</f>
        <v>1</v>
      </c>
      <c r="AA196" s="188" t="s">
        <v>5981</v>
      </c>
      <c r="AB196" s="227" t="s">
        <v>5913</v>
      </c>
    </row>
    <row r="197" spans="2:28">
      <c r="B197" s="188">
        <f t="shared" si="7"/>
        <v>3</v>
      </c>
      <c r="C197" s="102"/>
      <c r="D197" s="24" t="str">
        <f t="shared" ca="1" si="8"/>
        <v>Yes</v>
      </c>
      <c r="E197" s="87" t="s">
        <v>15026</v>
      </c>
      <c r="F197" s="87" t="s">
        <v>14987</v>
      </c>
      <c r="G197" s="87" t="s">
        <v>14980</v>
      </c>
      <c r="H197" s="87" t="s">
        <v>15050</v>
      </c>
      <c r="I197" s="87" t="s">
        <v>15054</v>
      </c>
      <c r="J197" s="87" t="s">
        <v>5979</v>
      </c>
      <c r="K197" s="87" t="s">
        <v>14953</v>
      </c>
      <c r="L197" s="190" t="s">
        <v>5907</v>
      </c>
      <c r="M197" s="228" t="s">
        <v>5919</v>
      </c>
      <c r="N197" s="188" t="s">
        <v>5919</v>
      </c>
      <c r="O197" s="191" t="s">
        <v>5919</v>
      </c>
      <c r="P197" s="176" t="s">
        <v>5919</v>
      </c>
      <c r="Q197" s="157" t="s">
        <v>5920</v>
      </c>
      <c r="R197" s="166"/>
      <c r="S197" s="166"/>
      <c r="T197" s="192" t="s">
        <v>5992</v>
      </c>
      <c r="U197" s="193">
        <v>41478</v>
      </c>
      <c r="V197" s="193">
        <v>41478</v>
      </c>
      <c r="W197" s="194">
        <f>IF(OR(U197="",V197="")," ",( V197-U197 + 1) - ((fWorkDay(U197,V197)-U197) - (V197-U197)))</f>
        <v>1</v>
      </c>
      <c r="X197" s="193">
        <v>41478</v>
      </c>
      <c r="Y197" s="193">
        <v>41478</v>
      </c>
      <c r="Z197" s="194">
        <f>IF(OR(X197="",Y197="")," ",( Y197-X197 + 1) - ((fWorkDay(X197,Y197)-X197) - (Y197-X197)))</f>
        <v>1</v>
      </c>
      <c r="AA197" s="188" t="s">
        <v>5981</v>
      </c>
      <c r="AB197" s="191"/>
    </row>
    <row r="198" spans="2:28">
      <c r="B198" s="188">
        <f>B199+1</f>
        <v>2</v>
      </c>
      <c r="C198" s="102"/>
      <c r="D198" s="24" t="str">
        <f t="shared" ca="1" si="8"/>
        <v>Yes</v>
      </c>
      <c r="E198" s="87" t="s">
        <v>15026</v>
      </c>
      <c r="F198" s="87" t="s">
        <v>14987</v>
      </c>
      <c r="G198" s="87" t="s">
        <v>14977</v>
      </c>
      <c r="H198" s="87" t="s">
        <v>15050</v>
      </c>
      <c r="I198" s="87" t="s">
        <v>15054</v>
      </c>
      <c r="J198" s="87" t="s">
        <v>5979</v>
      </c>
      <c r="K198" s="87" t="s">
        <v>14952</v>
      </c>
      <c r="L198" s="190" t="s">
        <v>5907</v>
      </c>
      <c r="M198" s="228" t="s">
        <v>5919</v>
      </c>
      <c r="N198" s="188" t="s">
        <v>5919</v>
      </c>
      <c r="O198" s="191" t="s">
        <v>5919</v>
      </c>
      <c r="P198" s="176" t="s">
        <v>5919</v>
      </c>
      <c r="Q198" s="157" t="s">
        <v>5931</v>
      </c>
      <c r="R198" s="166"/>
      <c r="S198" s="166"/>
      <c r="T198" s="192" t="s">
        <v>5992</v>
      </c>
      <c r="U198" s="193">
        <v>41471</v>
      </c>
      <c r="V198" s="193">
        <v>41471</v>
      </c>
      <c r="W198" s="194">
        <f>IF(OR(U198="",V198="")," ",( V198-U198 + 1) - ((fWorkDay(U198,V198)-U198) - (V198-U198)))</f>
        <v>1</v>
      </c>
      <c r="X198" s="193">
        <v>41471</v>
      </c>
      <c r="Y198" s="193">
        <v>41471</v>
      </c>
      <c r="Z198" s="194">
        <f>IF(OR(X198="",Y198="")," ",( Y198-X198 + 1) - ((fWorkDay(X198,Y198)-X198) - (Y198-X198)))</f>
        <v>1</v>
      </c>
      <c r="AA198" s="188" t="s">
        <v>5981</v>
      </c>
      <c r="AB198" s="191" t="s">
        <v>5913</v>
      </c>
    </row>
    <row r="199" spans="2:28" ht="24">
      <c r="B199" s="188" ph="1">
        <v>1</v>
      </c>
      <c r="C199" s="102"/>
      <c r="D199" s="24" t="str">
        <f t="shared" ca="1" si="8"/>
        <v>Yes</v>
      </c>
      <c r="E199" s="87" t="s">
        <v>15026</v>
      </c>
      <c r="F199" s="87" t="s">
        <v>14977</v>
      </c>
      <c r="G199" s="87" t="s">
        <v>14981</v>
      </c>
      <c r="H199" s="87" t="s">
        <v>15050</v>
      </c>
      <c r="I199" s="87" t="s">
        <v>15038</v>
      </c>
      <c r="J199" s="87" t="s">
        <v>5979</v>
      </c>
      <c r="K199" s="87" t="s">
        <v>14954</v>
      </c>
      <c r="L199" s="190" t="s">
        <v>5907</v>
      </c>
      <c r="M199" s="228" t="s">
        <v>5919</v>
      </c>
      <c r="N199" s="188" t="s">
        <v>5919</v>
      </c>
      <c r="O199" s="191" t="s">
        <v>5919</v>
      </c>
      <c r="P199" s="176" t="s">
        <v>5919</v>
      </c>
      <c r="Q199" s="157" t="s">
        <v>5932</v>
      </c>
      <c r="R199" s="374"/>
      <c r="S199" s="374"/>
      <c r="T199" s="225" t="s">
        <v>5992</v>
      </c>
      <c r="U199" s="193">
        <v>41466</v>
      </c>
      <c r="V199" s="193">
        <v>41471</v>
      </c>
      <c r="W199" s="194">
        <f>IF(OR(U199="",V199="")," ",( V199-U199 + 1) - ((fWorkDay(U199,V199)-U199) - (V199-U199)))</f>
        <v>4</v>
      </c>
      <c r="X199" s="193">
        <v>41466</v>
      </c>
      <c r="Y199" s="193">
        <v>41471</v>
      </c>
      <c r="Z199" s="194">
        <f>IF(OR(X199="",Y199="")," ",( Y199-X199 + 1) - ((fWorkDay(X199,Y199)-X199) - (Y199-X199)))</f>
        <v>4</v>
      </c>
      <c r="AA199" s="188" t="s">
        <v>5981</v>
      </c>
      <c r="AB199" s="191" t="s">
        <v>5913</v>
      </c>
    </row>
    <row r="200" spans="2:28" ht="24">
      <c r="B200" s="186" ph="1"/>
      <c r="C200" s="186" ph="1"/>
      <c r="D200" s="186" ph="1"/>
      <c r="E200" s="185" ph="1"/>
      <c r="F200" s="185" ph="1"/>
      <c r="G200" s="185" ph="1"/>
      <c r="H200" s="185" ph="1"/>
      <c r="I200" s="185" ph="1"/>
      <c r="J200" s="185" ph="1"/>
      <c r="K200" s="185" ph="1"/>
    </row>
    <row r="201" spans="2:28" ht="24">
      <c r="B201" s="186" ph="1"/>
      <c r="C201" s="186" ph="1"/>
      <c r="D201" s="186" ph="1"/>
      <c r="E201" s="185" ph="1"/>
      <c r="F201" s="185" ph="1"/>
      <c r="G201" s="185" ph="1"/>
      <c r="H201" s="185" ph="1"/>
      <c r="I201" s="185" ph="1"/>
      <c r="J201" s="185" ph="1"/>
      <c r="K201" s="185" ph="1"/>
    </row>
    <row r="202" spans="2:28" ht="24">
      <c r="B202" s="186" ph="1"/>
      <c r="C202" s="186" ph="1"/>
      <c r="D202" s="186" ph="1"/>
      <c r="E202" s="185" ph="1"/>
      <c r="F202" s="185" ph="1"/>
      <c r="G202" s="185" ph="1"/>
      <c r="H202" s="185" ph="1"/>
      <c r="I202" s="185" ph="1"/>
      <c r="J202" s="185" ph="1"/>
      <c r="K202" s="185" ph="1"/>
    </row>
    <row r="203" spans="2:28" ht="24">
      <c r="B203" s="186" ph="1"/>
      <c r="C203" s="186" ph="1"/>
      <c r="D203" s="186" ph="1"/>
      <c r="E203" s="185" ph="1"/>
      <c r="F203" s="185" ph="1"/>
      <c r="G203" s="185" ph="1"/>
      <c r="H203" s="185" ph="1"/>
      <c r="I203" s="185" ph="1"/>
      <c r="J203" s="185" ph="1"/>
      <c r="K203" s="185" ph="1"/>
    </row>
    <row r="204" spans="2:28" ht="24">
      <c r="B204" s="186" ph="1"/>
      <c r="C204" s="186" ph="1"/>
      <c r="D204" s="186" ph="1"/>
      <c r="E204" s="185" ph="1"/>
      <c r="F204" s="185" ph="1"/>
      <c r="G204" s="185" ph="1"/>
      <c r="H204" s="185" ph="1"/>
      <c r="I204" s="185" ph="1"/>
      <c r="J204" s="185" ph="1"/>
      <c r="K204" s="185" ph="1"/>
    </row>
    <row r="205" spans="2:28" ht="24">
      <c r="B205" s="186" ph="1"/>
      <c r="C205" s="186" ph="1"/>
      <c r="D205" s="186" ph="1"/>
      <c r="E205" s="185" ph="1"/>
      <c r="F205" s="185" ph="1"/>
      <c r="G205" s="185" ph="1"/>
      <c r="H205" s="185" ph="1"/>
      <c r="I205" s="185" ph="1"/>
      <c r="J205" s="185" ph="1"/>
      <c r="K205" s="185" ph="1"/>
    </row>
    <row r="206" spans="2:28" ht="24">
      <c r="B206" s="186" ph="1"/>
      <c r="C206" s="186" ph="1"/>
      <c r="D206" s="186" ph="1"/>
      <c r="E206" s="185" ph="1"/>
      <c r="F206" s="185" ph="1"/>
      <c r="G206" s="185" ph="1"/>
      <c r="H206" s="185" ph="1"/>
      <c r="I206" s="185" ph="1"/>
      <c r="J206" s="185" ph="1"/>
      <c r="K206" s="185" ph="1"/>
    </row>
    <row r="207" spans="2:28" ht="24">
      <c r="B207" s="186" ph="1"/>
      <c r="C207" s="186" ph="1"/>
      <c r="D207" s="186" ph="1"/>
      <c r="E207" s="185" ph="1"/>
      <c r="F207" s="185" ph="1"/>
      <c r="G207" s="185" ph="1"/>
      <c r="H207" s="185" ph="1"/>
      <c r="I207" s="185" ph="1"/>
      <c r="J207" s="185" ph="1"/>
      <c r="K207" s="185" ph="1"/>
    </row>
    <row r="208" spans="2:28" ht="24">
      <c r="B208" s="186" ph="1"/>
      <c r="C208" s="186" ph="1"/>
      <c r="D208" s="186" ph="1"/>
      <c r="E208" s="185" ph="1"/>
      <c r="F208" s="185" ph="1"/>
      <c r="G208" s="185" ph="1"/>
      <c r="H208" s="185" ph="1"/>
      <c r="I208" s="185" ph="1"/>
      <c r="J208" s="185" ph="1"/>
      <c r="K208" s="185" ph="1"/>
    </row>
    <row r="209" spans="2:28" ht="24">
      <c r="B209" s="186" ph="1"/>
      <c r="C209" s="186" ph="1"/>
      <c r="D209" s="186" ph="1"/>
      <c r="E209" s="185" ph="1"/>
      <c r="F209" s="185" ph="1"/>
      <c r="G209" s="185" ph="1"/>
      <c r="H209" s="185" ph="1"/>
      <c r="I209" s="185" ph="1"/>
      <c r="J209" s="185" ph="1"/>
      <c r="K209" s="185" ph="1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2:28" ht="24">
      <c r="B210" s="186" ph="1"/>
      <c r="C210" s="186" ph="1"/>
      <c r="D210" s="186" ph="1"/>
      <c r="E210" s="185" ph="1"/>
      <c r="F210" s="185" ph="1"/>
      <c r="G210" s="185" ph="1"/>
      <c r="H210" s="185" ph="1"/>
      <c r="I210" s="185" ph="1"/>
      <c r="J210" s="185" ph="1"/>
      <c r="K210" s="185" ph="1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2:28" ht="24">
      <c r="B211" s="186" ph="1"/>
      <c r="C211" s="186" ph="1"/>
      <c r="D211" s="186" ph="1"/>
      <c r="E211" s="185" ph="1"/>
      <c r="F211" s="185" ph="1"/>
      <c r="G211" s="185" ph="1"/>
      <c r="H211" s="185" ph="1"/>
      <c r="I211" s="185" ph="1"/>
      <c r="J211" s="185" ph="1"/>
      <c r="K211" s="185" ph="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2:28" ht="24">
      <c r="B212" s="186" ph="1"/>
      <c r="C212" s="186" ph="1"/>
      <c r="D212" s="186" ph="1"/>
      <c r="E212" s="185" ph="1"/>
      <c r="F212" s="185" ph="1"/>
      <c r="G212" s="185" ph="1"/>
      <c r="H212" s="185" ph="1"/>
      <c r="I212" s="185" ph="1"/>
      <c r="J212" s="185" ph="1"/>
      <c r="K212" s="185" ph="1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2:28" ht="24">
      <c r="B213" s="186" ph="1"/>
      <c r="C213" s="186" ph="1"/>
      <c r="D213" s="186" ph="1"/>
      <c r="E213" s="185" ph="1"/>
      <c r="F213" s="185" ph="1"/>
      <c r="G213" s="185" ph="1"/>
      <c r="H213" s="185" ph="1"/>
      <c r="I213" s="185" ph="1"/>
      <c r="J213" s="185" ph="1"/>
      <c r="K213" s="185" ph="1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2:28" ht="24">
      <c r="B214" s="186" ph="1"/>
      <c r="C214" s="186" ph="1"/>
      <c r="D214" s="186" ph="1"/>
      <c r="E214" s="185" ph="1"/>
      <c r="F214" s="185" ph="1"/>
      <c r="G214" s="185" ph="1"/>
      <c r="H214" s="185" ph="1"/>
      <c r="I214" s="185" ph="1"/>
      <c r="J214" s="185" ph="1"/>
      <c r="K214" s="185" ph="1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2:28" ht="24">
      <c r="B215" s="186" ph="1"/>
      <c r="C215" s="186" ph="1"/>
      <c r="D215" s="186" ph="1"/>
      <c r="E215" s="185" ph="1"/>
      <c r="F215" s="185" ph="1"/>
      <c r="G215" s="185" ph="1"/>
      <c r="H215" s="185" ph="1"/>
      <c r="I215" s="185" ph="1"/>
      <c r="J215" s="185" ph="1"/>
      <c r="K215" s="185" ph="1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2:28" ht="24">
      <c r="B216" s="186" ph="1"/>
      <c r="C216" s="186" ph="1"/>
      <c r="D216" s="186" ph="1"/>
      <c r="E216" s="185" ph="1"/>
      <c r="F216" s="185" ph="1"/>
      <c r="G216" s="185" ph="1"/>
      <c r="H216" s="185" ph="1"/>
      <c r="I216" s="185" ph="1"/>
      <c r="J216" s="185" ph="1"/>
      <c r="K216" s="185" ph="1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2:28" ht="24">
      <c r="B217" s="186" ph="1"/>
      <c r="C217" s="186" ph="1"/>
      <c r="D217" s="186" ph="1"/>
      <c r="E217" s="185" ph="1"/>
      <c r="F217" s="185" ph="1"/>
      <c r="G217" s="185" ph="1"/>
      <c r="H217" s="185" ph="1"/>
      <c r="I217" s="185" ph="1"/>
      <c r="J217" s="185" ph="1"/>
      <c r="K217" s="185" ph="1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2:28" ht="24">
      <c r="B218" s="186" ph="1"/>
      <c r="C218" s="186" ph="1"/>
      <c r="D218" s="186" ph="1"/>
      <c r="E218" s="185" ph="1"/>
      <c r="F218" s="185" ph="1"/>
      <c r="G218" s="185" ph="1"/>
      <c r="H218" s="185" ph="1"/>
      <c r="I218" s="185" ph="1"/>
      <c r="J218" s="185" ph="1"/>
      <c r="K218" s="185" ph="1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2:28" ht="24">
      <c r="B219" s="186" ph="1"/>
      <c r="C219" s="186" ph="1"/>
      <c r="D219" s="186" ph="1"/>
      <c r="E219" s="185" ph="1"/>
      <c r="F219" s="185" ph="1"/>
      <c r="G219" s="185" ph="1"/>
      <c r="H219" s="185" ph="1"/>
      <c r="I219" s="185" ph="1"/>
      <c r="J219" s="185" ph="1"/>
      <c r="K219" s="185" ph="1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2:28" ht="24">
      <c r="B220" s="186" ph="1"/>
      <c r="C220" s="186" ph="1"/>
      <c r="D220" s="186" ph="1"/>
      <c r="E220" s="185" ph="1"/>
      <c r="F220" s="185" ph="1"/>
      <c r="G220" s="185" ph="1"/>
      <c r="H220" s="185" ph="1"/>
      <c r="I220" s="185" ph="1"/>
      <c r="J220" s="185" ph="1"/>
      <c r="K220" s="185" ph="1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2:28" ht="24">
      <c r="B221" s="186" ph="1"/>
      <c r="C221" s="186" ph="1"/>
      <c r="D221" s="186" ph="1"/>
      <c r="E221" s="185" ph="1"/>
      <c r="F221" s="185" ph="1"/>
      <c r="G221" s="185" ph="1"/>
      <c r="H221" s="185" ph="1"/>
      <c r="I221" s="185" ph="1"/>
      <c r="J221" s="185" ph="1"/>
      <c r="K221" s="185" ph="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2:28" ht="24">
      <c r="B222" s="186" ph="1"/>
      <c r="C222" s="186" ph="1"/>
      <c r="D222" s="186" ph="1"/>
      <c r="E222" s="185" ph="1"/>
      <c r="F222" s="185" ph="1"/>
      <c r="G222" s="185" ph="1"/>
      <c r="H222" s="185" ph="1"/>
      <c r="I222" s="185" ph="1"/>
      <c r="J222" s="185" ph="1"/>
      <c r="K222" s="185" ph="1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2:28" ht="24">
      <c r="B223" s="186" ph="1"/>
      <c r="C223" s="186" ph="1"/>
      <c r="D223" s="186" ph="1"/>
      <c r="E223" s="185" ph="1"/>
      <c r="F223" s="185" ph="1"/>
      <c r="G223" s="185" ph="1"/>
      <c r="H223" s="185" ph="1"/>
      <c r="I223" s="185" ph="1"/>
      <c r="J223" s="185" ph="1"/>
      <c r="K223" s="185" ph="1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2:28" ht="24">
      <c r="B224" s="186" ph="1"/>
      <c r="C224" s="186" ph="1"/>
      <c r="D224" s="186" ph="1"/>
      <c r="E224" s="185" ph="1"/>
      <c r="F224" s="185" ph="1"/>
      <c r="G224" s="185" ph="1"/>
      <c r="H224" s="185" ph="1"/>
      <c r="I224" s="185" ph="1"/>
      <c r="J224" s="185" ph="1"/>
      <c r="K224" s="185" ph="1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2:28" ht="24">
      <c r="B225" s="186" ph="1"/>
      <c r="C225" s="186" ph="1"/>
      <c r="D225" s="186" ph="1"/>
      <c r="E225" s="185" ph="1"/>
      <c r="F225" s="185" ph="1"/>
      <c r="G225" s="185" ph="1"/>
      <c r="H225" s="185" ph="1"/>
      <c r="I225" s="185" ph="1"/>
      <c r="J225" s="185" ph="1"/>
      <c r="K225" s="185" ph="1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2:28" ht="24">
      <c r="B226" s="186" ph="1"/>
      <c r="C226" s="186" ph="1"/>
      <c r="D226" s="186" ph="1"/>
      <c r="E226" s="185" ph="1"/>
      <c r="F226" s="185" ph="1"/>
      <c r="G226" s="185" ph="1"/>
      <c r="H226" s="185" ph="1"/>
      <c r="I226" s="185" ph="1"/>
      <c r="J226" s="185" ph="1"/>
      <c r="K226" s="185" ph="1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2:28" ht="24">
      <c r="B227" s="186" ph="1"/>
      <c r="C227" s="186" ph="1"/>
      <c r="D227" s="186" ph="1"/>
      <c r="E227" s="185" ph="1"/>
      <c r="F227" s="185" ph="1"/>
      <c r="G227" s="185" ph="1"/>
      <c r="H227" s="185" ph="1"/>
      <c r="I227" s="185" ph="1"/>
      <c r="J227" s="185" ph="1"/>
      <c r="K227" s="185" ph="1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2:28" ht="24">
      <c r="B228" s="186" ph="1"/>
      <c r="C228" s="186" ph="1"/>
      <c r="D228" s="186" ph="1"/>
      <c r="E228" s="185" ph="1"/>
      <c r="F228" s="185" ph="1"/>
      <c r="G228" s="185" ph="1"/>
      <c r="H228" s="185" ph="1"/>
      <c r="I228" s="185" ph="1"/>
      <c r="J228" s="185" ph="1"/>
      <c r="K228" s="185" ph="1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2:28" ht="24">
      <c r="B229" s="186" ph="1"/>
      <c r="C229" s="186" ph="1"/>
      <c r="D229" s="186" ph="1"/>
      <c r="E229" s="185" ph="1"/>
      <c r="F229" s="185" ph="1"/>
      <c r="G229" s="185" ph="1"/>
      <c r="H229" s="185" ph="1"/>
      <c r="I229" s="185" ph="1"/>
      <c r="J229" s="185" ph="1"/>
      <c r="K229" s="185" ph="1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2:28" ht="24">
      <c r="B230" s="186" ph="1"/>
      <c r="C230" s="186" ph="1"/>
      <c r="D230" s="186" ph="1"/>
      <c r="E230" s="185" ph="1"/>
      <c r="F230" s="185" ph="1"/>
      <c r="G230" s="185" ph="1"/>
      <c r="H230" s="185" ph="1"/>
      <c r="I230" s="185" ph="1"/>
      <c r="J230" s="185" ph="1"/>
      <c r="K230" s="185" ph="1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2:28" ht="24">
      <c r="B231" s="186" ph="1"/>
      <c r="C231" s="186" ph="1"/>
      <c r="D231" s="186" ph="1"/>
      <c r="E231" s="185" ph="1"/>
      <c r="F231" s="185" ph="1"/>
      <c r="G231" s="185" ph="1"/>
      <c r="H231" s="185" ph="1"/>
      <c r="I231" s="185" ph="1"/>
      <c r="J231" s="185" ph="1"/>
      <c r="K231" s="185" ph="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2:28" ht="24">
      <c r="B232" s="186" ph="1"/>
      <c r="C232" s="186" ph="1"/>
      <c r="D232" s="186" ph="1"/>
      <c r="E232" s="185" ph="1"/>
      <c r="F232" s="185" ph="1"/>
      <c r="G232" s="185" ph="1"/>
      <c r="H232" s="185" ph="1"/>
      <c r="I232" s="185" ph="1"/>
      <c r="J232" s="185" ph="1"/>
      <c r="K232" s="185" ph="1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2:28" ht="24">
      <c r="B233" s="186" ph="1"/>
      <c r="C233" s="186" ph="1"/>
      <c r="D233" s="186" ph="1"/>
      <c r="E233" s="185" ph="1"/>
      <c r="F233" s="185" ph="1"/>
      <c r="G233" s="185" ph="1"/>
      <c r="H233" s="185" ph="1"/>
      <c r="I233" s="185" ph="1"/>
      <c r="J233" s="185" ph="1"/>
      <c r="K233" s="185" ph="1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2:28" ht="24">
      <c r="B234" s="186" ph="1"/>
      <c r="C234" s="186" ph="1"/>
      <c r="D234" s="186" ph="1"/>
      <c r="E234" s="185" ph="1"/>
      <c r="F234" s="185" ph="1"/>
      <c r="G234" s="185" ph="1"/>
      <c r="H234" s="185" ph="1"/>
      <c r="I234" s="185" ph="1"/>
      <c r="J234" s="185" ph="1"/>
      <c r="K234" s="185" ph="1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2:28" ht="24">
      <c r="B235" s="186" ph="1"/>
      <c r="C235" s="186" ph="1"/>
      <c r="D235" s="186" ph="1"/>
      <c r="E235" s="185" ph="1"/>
      <c r="F235" s="185" ph="1"/>
      <c r="G235" s="185" ph="1"/>
      <c r="H235" s="185" ph="1"/>
      <c r="I235" s="185" ph="1"/>
      <c r="J235" s="185" ph="1"/>
      <c r="K235" s="185" ph="1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2:28" ht="24">
      <c r="B236" s="186" ph="1"/>
      <c r="C236" s="186" ph="1"/>
      <c r="D236" s="186" ph="1"/>
      <c r="E236" s="185" ph="1"/>
      <c r="F236" s="185" ph="1"/>
      <c r="G236" s="185" ph="1"/>
      <c r="H236" s="185" ph="1"/>
      <c r="I236" s="185" ph="1"/>
      <c r="J236" s="185" ph="1"/>
      <c r="K236" s="185" ph="1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2:28" ht="24">
      <c r="B237" s="186" ph="1"/>
      <c r="C237" s="186" ph="1"/>
      <c r="D237" s="186" ph="1"/>
      <c r="E237" s="185" ph="1"/>
      <c r="F237" s="185" ph="1"/>
      <c r="G237" s="185" ph="1"/>
      <c r="H237" s="185" ph="1"/>
      <c r="I237" s="185" ph="1"/>
      <c r="J237" s="185" ph="1"/>
      <c r="K237" s="185" ph="1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2:28" ht="24">
      <c r="B238" s="186" ph="1"/>
      <c r="C238" s="186" ph="1"/>
      <c r="D238" s="186" ph="1"/>
      <c r="E238" s="185" ph="1"/>
      <c r="F238" s="185" ph="1"/>
      <c r="G238" s="185" ph="1"/>
      <c r="H238" s="185" ph="1"/>
      <c r="I238" s="185" ph="1"/>
      <c r="J238" s="185" ph="1"/>
      <c r="K238" s="185" ph="1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2:28" ht="24">
      <c r="B239" s="186" ph="1"/>
      <c r="C239" s="186" ph="1"/>
      <c r="D239" s="186" ph="1"/>
      <c r="E239" s="185" ph="1"/>
      <c r="F239" s="185" ph="1"/>
      <c r="G239" s="185" ph="1"/>
      <c r="H239" s="185" ph="1"/>
      <c r="I239" s="185" ph="1"/>
      <c r="J239" s="185" ph="1"/>
      <c r="K239" s="185" ph="1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2:28" ht="24">
      <c r="B240" s="186" ph="1"/>
      <c r="C240" s="186" ph="1"/>
      <c r="D240" s="186" ph="1"/>
      <c r="E240" s="185" ph="1"/>
      <c r="F240" s="185" ph="1"/>
      <c r="G240" s="185" ph="1"/>
      <c r="H240" s="185" ph="1"/>
      <c r="I240" s="185" ph="1"/>
      <c r="J240" s="185" ph="1"/>
      <c r="K240" s="185" ph="1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2:28" ht="24">
      <c r="B241" s="186" ph="1"/>
      <c r="C241" s="186" ph="1"/>
      <c r="D241" s="186" ph="1"/>
      <c r="E241" s="185" ph="1"/>
      <c r="F241" s="185" ph="1"/>
      <c r="G241" s="185" ph="1"/>
      <c r="H241" s="185" ph="1"/>
      <c r="I241" s="185" ph="1"/>
      <c r="J241" s="185" ph="1"/>
      <c r="K241" s="185" ph="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2:28" ht="24">
      <c r="B242" s="186" ph="1"/>
      <c r="C242" s="186" ph="1"/>
      <c r="D242" s="186" ph="1"/>
      <c r="E242" s="185" ph="1"/>
      <c r="F242" s="185" ph="1"/>
      <c r="G242" s="185" ph="1"/>
      <c r="H242" s="185" ph="1"/>
      <c r="I242" s="185" ph="1"/>
      <c r="J242" s="185" ph="1"/>
      <c r="K242" s="185" ph="1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2:28" ht="24">
      <c r="B243" s="186" ph="1"/>
      <c r="C243" s="186" ph="1"/>
      <c r="D243" s="186" ph="1"/>
      <c r="E243" s="185" ph="1"/>
      <c r="F243" s="185" ph="1"/>
      <c r="G243" s="185" ph="1"/>
      <c r="H243" s="185" ph="1"/>
      <c r="I243" s="185" ph="1"/>
      <c r="J243" s="185" ph="1"/>
      <c r="K243" s="185" ph="1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2:28" ht="24">
      <c r="B244" s="186" ph="1"/>
      <c r="C244" s="186" ph="1"/>
      <c r="D244" s="186" ph="1"/>
      <c r="E244" s="185" ph="1"/>
      <c r="F244" s="185" ph="1"/>
      <c r="G244" s="185" ph="1"/>
      <c r="H244" s="185" ph="1"/>
      <c r="I244" s="185" ph="1"/>
      <c r="J244" s="185" ph="1"/>
      <c r="K244" s="185" ph="1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2:28" ht="24">
      <c r="B245" s="186" ph="1"/>
      <c r="C245" s="186" ph="1"/>
      <c r="D245" s="186" ph="1"/>
      <c r="E245" s="185" ph="1"/>
      <c r="F245" s="185" ph="1"/>
      <c r="G245" s="185" ph="1"/>
      <c r="H245" s="185" ph="1"/>
      <c r="I245" s="185" ph="1"/>
      <c r="J245" s="185" ph="1"/>
      <c r="K245" s="185" ph="1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2:28" ht="24">
      <c r="B246" s="186" ph="1"/>
      <c r="C246" s="186" ph="1"/>
      <c r="D246" s="186" ph="1"/>
      <c r="E246" s="185" ph="1"/>
      <c r="F246" s="185" ph="1"/>
      <c r="G246" s="185" ph="1"/>
      <c r="H246" s="185" ph="1"/>
      <c r="I246" s="185" ph="1"/>
      <c r="J246" s="185" ph="1"/>
      <c r="K246" s="185" ph="1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2:28" ht="24">
      <c r="B247" s="186" ph="1"/>
      <c r="C247" s="186" ph="1"/>
      <c r="D247" s="186" ph="1"/>
      <c r="E247" s="185" ph="1"/>
      <c r="F247" s="185" ph="1"/>
      <c r="G247" s="185" ph="1"/>
      <c r="H247" s="185" ph="1"/>
      <c r="I247" s="185" ph="1"/>
      <c r="J247" s="185" ph="1"/>
      <c r="K247" s="185" ph="1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2:28" ht="24">
      <c r="B248" s="186" ph="1"/>
      <c r="C248" s="186" ph="1"/>
      <c r="D248" s="186" ph="1"/>
      <c r="E248" s="185" ph="1"/>
      <c r="F248" s="185" ph="1"/>
      <c r="G248" s="185" ph="1"/>
      <c r="H248" s="185" ph="1"/>
      <c r="I248" s="185" ph="1"/>
      <c r="J248" s="185" ph="1"/>
      <c r="K248" s="185" ph="1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2:28" ht="24">
      <c r="B249" s="186" ph="1"/>
      <c r="C249" s="186" ph="1"/>
      <c r="D249" s="186" ph="1"/>
      <c r="E249" s="185" ph="1"/>
      <c r="F249" s="185" ph="1"/>
      <c r="G249" s="185" ph="1"/>
      <c r="H249" s="185" ph="1"/>
      <c r="I249" s="185" ph="1"/>
      <c r="J249" s="185" ph="1"/>
      <c r="K249" s="185" ph="1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2:28" ht="24">
      <c r="B250" s="186" ph="1"/>
      <c r="C250" s="186" ph="1"/>
      <c r="D250" s="186" ph="1"/>
      <c r="E250" s="185" ph="1"/>
      <c r="F250" s="185" ph="1"/>
      <c r="G250" s="185" ph="1"/>
      <c r="H250" s="185" ph="1"/>
      <c r="I250" s="185" ph="1"/>
      <c r="J250" s="185" ph="1"/>
      <c r="K250" s="185" ph="1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2:28" ht="24">
      <c r="B251" s="186" ph="1"/>
      <c r="C251" s="186" ph="1"/>
      <c r="D251" s="186" ph="1"/>
      <c r="E251" s="185" ph="1"/>
      <c r="F251" s="185" ph="1"/>
      <c r="G251" s="185" ph="1"/>
      <c r="H251" s="185" ph="1"/>
      <c r="I251" s="185" ph="1"/>
      <c r="J251" s="185" ph="1"/>
      <c r="K251" s="185" ph="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2:28" ht="24">
      <c r="B252" s="186" ph="1"/>
      <c r="C252" s="186" ph="1"/>
      <c r="D252" s="186" ph="1"/>
      <c r="E252" s="185" ph="1"/>
      <c r="F252" s="185" ph="1"/>
      <c r="G252" s="185" ph="1"/>
      <c r="H252" s="185" ph="1"/>
      <c r="I252" s="185" ph="1"/>
      <c r="J252" s="185" ph="1"/>
      <c r="K252" s="185" ph="1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2:28" ht="24">
      <c r="B253" s="186" ph="1"/>
      <c r="C253" s="186" ph="1"/>
      <c r="D253" s="186" ph="1"/>
      <c r="E253" s="185" ph="1"/>
      <c r="F253" s="185" ph="1"/>
      <c r="G253" s="185" ph="1"/>
      <c r="H253" s="185" ph="1"/>
      <c r="I253" s="185" ph="1"/>
      <c r="J253" s="185" ph="1"/>
      <c r="K253" s="185" ph="1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2:28" ht="24">
      <c r="B254" s="186" ph="1"/>
      <c r="C254" s="186" ph="1"/>
      <c r="D254" s="186" ph="1"/>
      <c r="E254" s="185" ph="1"/>
      <c r="F254" s="185" ph="1"/>
      <c r="G254" s="185" ph="1"/>
      <c r="H254" s="185" ph="1"/>
      <c r="I254" s="185" ph="1"/>
      <c r="J254" s="185" ph="1"/>
      <c r="K254" s="185" ph="1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2:28" ht="24">
      <c r="B255" s="186" ph="1"/>
      <c r="C255" s="186" ph="1"/>
      <c r="D255" s="186" ph="1"/>
      <c r="E255" s="185" ph="1"/>
      <c r="F255" s="185" ph="1"/>
      <c r="G255" s="185" ph="1"/>
      <c r="H255" s="185" ph="1"/>
      <c r="I255" s="185" ph="1"/>
      <c r="J255" s="185" ph="1"/>
      <c r="K255" s="185" ph="1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2:28" ht="24">
      <c r="B256" s="186" ph="1"/>
      <c r="C256" s="186" ph="1"/>
      <c r="D256" s="186" ph="1"/>
      <c r="E256" s="185" ph="1"/>
      <c r="F256" s="185" ph="1"/>
      <c r="G256" s="185" ph="1"/>
      <c r="H256" s="185" ph="1"/>
      <c r="I256" s="185" ph="1"/>
      <c r="J256" s="185" ph="1"/>
      <c r="K256" s="185" ph="1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2:28" ht="24">
      <c r="B257" s="186" ph="1"/>
      <c r="C257" s="186" ph="1"/>
      <c r="D257" s="186" ph="1"/>
      <c r="E257" s="185" ph="1"/>
      <c r="F257" s="185" ph="1"/>
      <c r="G257" s="185" ph="1"/>
      <c r="H257" s="185" ph="1"/>
      <c r="I257" s="185" ph="1"/>
      <c r="J257" s="185" ph="1"/>
      <c r="K257" s="185" ph="1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2:28" ht="24">
      <c r="B258" s="186" ph="1"/>
      <c r="C258" s="186" ph="1"/>
      <c r="D258" s="186" ph="1"/>
      <c r="E258" s="185" ph="1"/>
      <c r="F258" s="185" ph="1"/>
      <c r="G258" s="185" ph="1"/>
      <c r="H258" s="185" ph="1"/>
      <c r="I258" s="185" ph="1"/>
      <c r="J258" s="185" ph="1"/>
      <c r="K258" s="185" ph="1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2:28" ht="24">
      <c r="B259" s="186" ph="1"/>
      <c r="C259" s="186" ph="1"/>
      <c r="D259" s="186" ph="1"/>
      <c r="E259" s="185" ph="1"/>
      <c r="F259" s="185" ph="1"/>
      <c r="G259" s="185" ph="1"/>
      <c r="H259" s="185" ph="1"/>
      <c r="I259" s="185" ph="1"/>
      <c r="J259" s="185" ph="1"/>
      <c r="K259" s="185" ph="1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2:28" ht="24">
      <c r="B260" s="186" ph="1"/>
      <c r="C260" s="186" ph="1"/>
      <c r="D260" s="186" ph="1"/>
      <c r="E260" s="185" ph="1"/>
      <c r="F260" s="185" ph="1"/>
      <c r="G260" s="185" ph="1"/>
      <c r="H260" s="185" ph="1"/>
      <c r="I260" s="185" ph="1"/>
      <c r="J260" s="185" ph="1"/>
      <c r="K260" s="185" ph="1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2:28" ht="24">
      <c r="B261" s="186" ph="1"/>
      <c r="C261" s="186" ph="1"/>
      <c r="D261" s="186" ph="1"/>
      <c r="E261" s="185" ph="1"/>
      <c r="F261" s="185" ph="1"/>
      <c r="G261" s="185" ph="1"/>
      <c r="H261" s="185" ph="1"/>
      <c r="I261" s="185" ph="1"/>
      <c r="J261" s="185" ph="1"/>
      <c r="K261" s="185" ph="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2:28" ht="24">
      <c r="B262" s="186" ph="1"/>
      <c r="C262" s="186" ph="1"/>
      <c r="D262" s="186" ph="1"/>
      <c r="E262" s="185" ph="1"/>
      <c r="F262" s="185" ph="1"/>
      <c r="G262" s="185" ph="1"/>
      <c r="H262" s="185" ph="1"/>
      <c r="I262" s="185" ph="1"/>
      <c r="J262" s="185" ph="1"/>
      <c r="K262" s="185" ph="1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2:28" ht="24">
      <c r="B263" s="186" ph="1"/>
      <c r="C263" s="186" ph="1"/>
      <c r="D263" s="186" ph="1"/>
      <c r="E263" s="185" ph="1"/>
      <c r="F263" s="185" ph="1"/>
      <c r="G263" s="185" ph="1"/>
      <c r="H263" s="185" ph="1"/>
      <c r="I263" s="185" ph="1"/>
      <c r="J263" s="185" ph="1"/>
      <c r="K263" s="185" ph="1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2:28" ht="24">
      <c r="B264" s="186" ph="1"/>
      <c r="C264" s="186" ph="1"/>
      <c r="D264" s="186" ph="1"/>
      <c r="E264" s="185" ph="1"/>
      <c r="F264" s="185" ph="1"/>
      <c r="G264" s="185" ph="1"/>
      <c r="H264" s="185" ph="1"/>
      <c r="I264" s="185" ph="1"/>
      <c r="J264" s="185" ph="1"/>
      <c r="K264" s="185" ph="1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2:28" ht="24">
      <c r="B265" s="186" ph="1"/>
      <c r="C265" s="186" ph="1"/>
      <c r="D265" s="186" ph="1"/>
      <c r="E265" s="185" ph="1"/>
      <c r="F265" s="185" ph="1"/>
      <c r="G265" s="185" ph="1"/>
      <c r="H265" s="185" ph="1"/>
      <c r="I265" s="185" ph="1"/>
      <c r="J265" s="185" ph="1"/>
      <c r="K265" s="185" ph="1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2:28" ht="24">
      <c r="B266" s="186" ph="1"/>
      <c r="C266" s="186" ph="1"/>
      <c r="D266" s="186" ph="1"/>
      <c r="E266" s="185" ph="1"/>
      <c r="F266" s="185" ph="1"/>
      <c r="G266" s="185" ph="1"/>
      <c r="H266" s="185" ph="1"/>
      <c r="I266" s="185" ph="1"/>
      <c r="J266" s="185" ph="1"/>
      <c r="K266" s="185" ph="1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2:28" ht="24">
      <c r="B267" s="186" ph="1"/>
      <c r="C267" s="186" ph="1"/>
      <c r="D267" s="186" ph="1"/>
      <c r="E267" s="185" ph="1"/>
      <c r="F267" s="185" ph="1"/>
      <c r="G267" s="185" ph="1"/>
      <c r="H267" s="185" ph="1"/>
      <c r="I267" s="185" ph="1"/>
      <c r="J267" s="185" ph="1"/>
      <c r="K267" s="185" ph="1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2:28" ht="24">
      <c r="B268" s="186" ph="1"/>
      <c r="C268" s="186" ph="1"/>
      <c r="D268" s="186" ph="1"/>
      <c r="E268" s="185" ph="1"/>
      <c r="F268" s="185" ph="1"/>
      <c r="G268" s="185" ph="1"/>
      <c r="H268" s="185" ph="1"/>
      <c r="I268" s="185" ph="1"/>
      <c r="J268" s="185" ph="1"/>
      <c r="K268" s="185" ph="1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2:28" ht="24">
      <c r="B269" s="186" ph="1"/>
      <c r="C269" s="186" ph="1"/>
      <c r="D269" s="186" ph="1"/>
      <c r="E269" s="185" ph="1"/>
      <c r="F269" s="185" ph="1"/>
      <c r="G269" s="185" ph="1"/>
      <c r="H269" s="185" ph="1"/>
      <c r="I269" s="185" ph="1"/>
      <c r="J269" s="185" ph="1"/>
      <c r="K269" s="185" ph="1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2:28" ht="24">
      <c r="B270" s="186" ph="1"/>
      <c r="C270" s="186" ph="1"/>
      <c r="D270" s="186" ph="1"/>
      <c r="E270" s="185" ph="1"/>
      <c r="F270" s="185" ph="1"/>
      <c r="G270" s="185" ph="1"/>
      <c r="H270" s="185" ph="1"/>
      <c r="I270" s="185" ph="1"/>
      <c r="J270" s="185" ph="1"/>
      <c r="K270" s="185" ph="1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2:28" ht="24">
      <c r="B271" s="186" ph="1"/>
      <c r="C271" s="186" ph="1"/>
      <c r="D271" s="186" ph="1"/>
      <c r="E271" s="185" ph="1"/>
      <c r="F271" s="185" ph="1"/>
      <c r="G271" s="185" ph="1"/>
      <c r="H271" s="185" ph="1"/>
      <c r="I271" s="185" ph="1"/>
      <c r="J271" s="185" ph="1"/>
      <c r="K271" s="185" ph="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2:28" ht="24">
      <c r="B272" s="186" ph="1"/>
      <c r="C272" s="186" ph="1"/>
      <c r="D272" s="186" ph="1"/>
      <c r="E272" s="185" ph="1"/>
      <c r="F272" s="185" ph="1"/>
      <c r="G272" s="185" ph="1"/>
      <c r="H272" s="185" ph="1"/>
      <c r="I272" s="185" ph="1"/>
      <c r="J272" s="185" ph="1"/>
      <c r="K272" s="185" ph="1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2:28" ht="24">
      <c r="B273" s="186" ph="1"/>
      <c r="C273" s="186" ph="1"/>
      <c r="D273" s="186" ph="1"/>
      <c r="E273" s="185" ph="1"/>
      <c r="F273" s="185" ph="1"/>
      <c r="G273" s="185" ph="1"/>
      <c r="H273" s="185" ph="1"/>
      <c r="I273" s="185" ph="1"/>
      <c r="J273" s="185" ph="1"/>
      <c r="K273" s="185" ph="1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2:28" ht="24">
      <c r="B274" s="186" ph="1"/>
      <c r="C274" s="186" ph="1"/>
      <c r="D274" s="186" ph="1"/>
      <c r="E274" s="185" ph="1"/>
      <c r="F274" s="185" ph="1"/>
      <c r="G274" s="185" ph="1"/>
      <c r="H274" s="185" ph="1"/>
      <c r="I274" s="185" ph="1"/>
      <c r="J274" s="185" ph="1"/>
      <c r="K274" s="185" ph="1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2:28" ht="24">
      <c r="B275" s="186" ph="1"/>
      <c r="C275" s="186" ph="1"/>
      <c r="D275" s="186" ph="1"/>
      <c r="E275" s="185" ph="1"/>
      <c r="F275" s="185" ph="1"/>
      <c r="G275" s="185" ph="1"/>
      <c r="H275" s="185" ph="1"/>
      <c r="I275" s="185" ph="1"/>
      <c r="J275" s="185" ph="1"/>
      <c r="K275" s="185" ph="1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2:28" ht="24">
      <c r="B276" s="186" ph="1"/>
      <c r="C276" s="186" ph="1"/>
      <c r="D276" s="186" ph="1"/>
      <c r="E276" s="185" ph="1"/>
      <c r="F276" s="185" ph="1"/>
      <c r="G276" s="185" ph="1"/>
      <c r="H276" s="185" ph="1"/>
      <c r="I276" s="185" ph="1"/>
      <c r="J276" s="185" ph="1"/>
      <c r="K276" s="185" ph="1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2:28" ht="24">
      <c r="B277" s="186" ph="1"/>
      <c r="C277" s="186" ph="1"/>
      <c r="D277" s="186" ph="1"/>
      <c r="E277" s="185" ph="1"/>
      <c r="F277" s="185" ph="1"/>
      <c r="G277" s="185" ph="1"/>
      <c r="H277" s="185" ph="1"/>
      <c r="I277" s="185" ph="1"/>
      <c r="J277" s="185" ph="1"/>
      <c r="K277" s="185" ph="1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2:28" ht="24">
      <c r="B278" s="186" ph="1"/>
      <c r="C278" s="186" ph="1"/>
      <c r="D278" s="186" ph="1"/>
      <c r="E278" s="185" ph="1"/>
      <c r="F278" s="185" ph="1"/>
      <c r="G278" s="185" ph="1"/>
      <c r="H278" s="185" ph="1"/>
      <c r="I278" s="185" ph="1"/>
      <c r="J278" s="185" ph="1"/>
      <c r="K278" s="185" ph="1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2:28" ht="24">
      <c r="B279" s="186" ph="1"/>
      <c r="C279" s="186" ph="1"/>
      <c r="D279" s="186" ph="1"/>
      <c r="E279" s="185" ph="1"/>
      <c r="F279" s="185" ph="1"/>
      <c r="G279" s="185" ph="1"/>
      <c r="H279" s="185" ph="1"/>
      <c r="I279" s="185" ph="1"/>
      <c r="J279" s="185" ph="1"/>
      <c r="K279" s="185" ph="1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2:28" ht="24">
      <c r="B280" s="186" ph="1"/>
      <c r="C280" s="186" ph="1"/>
      <c r="D280" s="186" ph="1"/>
      <c r="E280" s="185" ph="1"/>
      <c r="F280" s="185" ph="1"/>
      <c r="G280" s="185" ph="1"/>
      <c r="H280" s="185" ph="1"/>
      <c r="I280" s="185" ph="1"/>
      <c r="J280" s="185" ph="1"/>
      <c r="K280" s="185" ph="1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2:28" ht="24">
      <c r="B281" s="186" ph="1"/>
      <c r="C281" s="186" ph="1"/>
      <c r="D281" s="186" ph="1"/>
      <c r="E281" s="185" ph="1"/>
      <c r="F281" s="185" ph="1"/>
      <c r="G281" s="185" ph="1"/>
      <c r="H281" s="185" ph="1"/>
      <c r="I281" s="185" ph="1"/>
      <c r="J281" s="185" ph="1"/>
      <c r="K281" s="185" ph="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2:28" ht="24">
      <c r="B282" s="186" ph="1"/>
      <c r="C282" s="186" ph="1"/>
      <c r="D282" s="186" ph="1"/>
      <c r="E282" s="185" ph="1"/>
      <c r="F282" s="185" ph="1"/>
      <c r="G282" s="185" ph="1"/>
      <c r="H282" s="185" ph="1"/>
      <c r="I282" s="185" ph="1"/>
      <c r="J282" s="185" ph="1"/>
      <c r="K282" s="185" ph="1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2:28" ht="24">
      <c r="B283" s="186" ph="1"/>
      <c r="C283" s="186" ph="1"/>
      <c r="D283" s="186" ph="1"/>
      <c r="E283" s="185" ph="1"/>
      <c r="F283" s="185" ph="1"/>
      <c r="G283" s="185" ph="1"/>
      <c r="H283" s="185" ph="1"/>
      <c r="I283" s="185" ph="1"/>
      <c r="J283" s="185" ph="1"/>
      <c r="K283" s="185" ph="1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2:28" ht="24">
      <c r="B284" s="186" ph="1"/>
      <c r="C284" s="186" ph="1"/>
      <c r="D284" s="186" ph="1"/>
      <c r="E284" s="185" ph="1"/>
      <c r="F284" s="185" ph="1"/>
      <c r="G284" s="185" ph="1"/>
      <c r="H284" s="185" ph="1"/>
      <c r="I284" s="185" ph="1"/>
      <c r="J284" s="185" ph="1"/>
      <c r="K284" s="185" ph="1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2:28" ht="24">
      <c r="B285" s="186" ph="1"/>
      <c r="C285" s="186" ph="1"/>
      <c r="D285" s="186" ph="1"/>
      <c r="E285" s="185" ph="1"/>
      <c r="F285" s="185" ph="1"/>
      <c r="G285" s="185" ph="1"/>
      <c r="H285" s="185" ph="1"/>
      <c r="I285" s="185" ph="1"/>
      <c r="J285" s="185" ph="1"/>
      <c r="K285" s="185" ph="1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2:28" ht="24">
      <c r="B286" s="186" ph="1"/>
      <c r="C286" s="186" ph="1"/>
      <c r="D286" s="186" ph="1"/>
      <c r="E286" s="185" ph="1"/>
      <c r="F286" s="185" ph="1"/>
      <c r="G286" s="185" ph="1"/>
      <c r="H286" s="185" ph="1"/>
      <c r="I286" s="185" ph="1"/>
      <c r="J286" s="185" ph="1"/>
      <c r="K286" s="185" ph="1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2:28" ht="24">
      <c r="B287" s="186" ph="1"/>
      <c r="C287" s="186" ph="1"/>
      <c r="D287" s="186" ph="1"/>
      <c r="E287" s="185" ph="1"/>
      <c r="F287" s="185" ph="1"/>
      <c r="G287" s="185" ph="1"/>
      <c r="H287" s="185" ph="1"/>
      <c r="I287" s="185" ph="1"/>
      <c r="J287" s="185" ph="1"/>
      <c r="K287" s="185" ph="1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2:28" ht="24">
      <c r="B288" s="186" ph="1"/>
      <c r="C288" s="186" ph="1"/>
      <c r="D288" s="186" ph="1"/>
      <c r="E288" s="185" ph="1"/>
      <c r="F288" s="185" ph="1"/>
      <c r="G288" s="185" ph="1"/>
      <c r="H288" s="185" ph="1"/>
      <c r="I288" s="185" ph="1"/>
      <c r="J288" s="185" ph="1"/>
      <c r="K288" s="185" ph="1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2:28" ht="24">
      <c r="B289" s="186" ph="1"/>
      <c r="C289" s="186" ph="1"/>
      <c r="D289" s="186" ph="1"/>
      <c r="E289" s="185" ph="1"/>
      <c r="F289" s="185" ph="1"/>
      <c r="G289" s="185" ph="1"/>
      <c r="H289" s="185" ph="1"/>
      <c r="I289" s="185" ph="1"/>
      <c r="J289" s="185" ph="1"/>
      <c r="K289" s="185" ph="1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2:28" ht="24">
      <c r="B290" s="186" ph="1"/>
      <c r="C290" s="186" ph="1"/>
      <c r="D290" s="186" ph="1"/>
      <c r="E290" s="185" ph="1"/>
      <c r="F290" s="185" ph="1"/>
      <c r="G290" s="185" ph="1"/>
      <c r="H290" s="185" ph="1"/>
      <c r="I290" s="185" ph="1"/>
      <c r="J290" s="185" ph="1"/>
      <c r="K290" s="185" ph="1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2:28" ht="24">
      <c r="B291" s="186" ph="1"/>
      <c r="C291" s="186" ph="1"/>
      <c r="D291" s="186" ph="1"/>
      <c r="E291" s="185" ph="1"/>
      <c r="F291" s="185" ph="1"/>
      <c r="G291" s="185" ph="1"/>
      <c r="H291" s="185" ph="1"/>
      <c r="I291" s="185" ph="1"/>
      <c r="J291" s="185" ph="1"/>
      <c r="K291" s="185" ph="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2:28" ht="24">
      <c r="B292" s="186" ph="1"/>
      <c r="C292" s="186" ph="1"/>
      <c r="D292" s="186" ph="1"/>
      <c r="E292" s="185" ph="1"/>
      <c r="F292" s="185" ph="1"/>
      <c r="G292" s="185" ph="1"/>
      <c r="H292" s="185" ph="1"/>
      <c r="I292" s="185" ph="1"/>
      <c r="J292" s="185" ph="1"/>
      <c r="K292" s="185" ph="1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2:28" ht="24">
      <c r="B293" s="186" ph="1"/>
      <c r="C293" s="186" ph="1"/>
      <c r="D293" s="186" ph="1"/>
      <c r="E293" s="185" ph="1"/>
      <c r="F293" s="185" ph="1"/>
      <c r="G293" s="185" ph="1"/>
      <c r="H293" s="185" ph="1"/>
      <c r="I293" s="185" ph="1"/>
      <c r="J293" s="185" ph="1"/>
      <c r="K293" s="185" ph="1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2:28" ht="24">
      <c r="B294" s="186" ph="1"/>
      <c r="C294" s="186" ph="1"/>
      <c r="D294" s="186" ph="1"/>
      <c r="E294" s="185" ph="1"/>
      <c r="F294" s="185" ph="1"/>
      <c r="G294" s="185" ph="1"/>
      <c r="H294" s="185" ph="1"/>
      <c r="I294" s="185" ph="1"/>
      <c r="J294" s="185" ph="1"/>
      <c r="K294" s="185" ph="1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2:28" ht="24">
      <c r="B295" s="186" ph="1"/>
      <c r="C295" s="186" ph="1"/>
      <c r="D295" s="186" ph="1"/>
      <c r="E295" s="185" ph="1"/>
      <c r="F295" s="185" ph="1"/>
      <c r="G295" s="185" ph="1"/>
      <c r="H295" s="185" ph="1"/>
      <c r="I295" s="185" ph="1"/>
      <c r="J295" s="185" ph="1"/>
      <c r="K295" s="185" ph="1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2:28" ht="24">
      <c r="B296" s="186" ph="1"/>
      <c r="C296" s="186" ph="1"/>
      <c r="D296" s="186" ph="1"/>
      <c r="E296" s="185" ph="1"/>
      <c r="F296" s="185" ph="1"/>
      <c r="G296" s="185" ph="1"/>
      <c r="H296" s="185" ph="1"/>
      <c r="I296" s="185" ph="1"/>
      <c r="J296" s="185" ph="1"/>
      <c r="K296" s="185" ph="1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2:28" ht="24">
      <c r="B297" s="186" ph="1"/>
      <c r="C297" s="186" ph="1"/>
      <c r="D297" s="186" ph="1"/>
      <c r="E297" s="185" ph="1"/>
      <c r="F297" s="185" ph="1"/>
      <c r="G297" s="185" ph="1"/>
      <c r="H297" s="185" ph="1"/>
      <c r="I297" s="185" ph="1"/>
      <c r="J297" s="185" ph="1"/>
      <c r="K297" s="185" ph="1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2:28" ht="24">
      <c r="B298" s="186" ph="1"/>
      <c r="C298" s="186" ph="1"/>
      <c r="D298" s="186" ph="1"/>
      <c r="E298" s="185" ph="1"/>
      <c r="F298" s="185" ph="1"/>
      <c r="G298" s="185" ph="1"/>
      <c r="H298" s="185" ph="1"/>
      <c r="I298" s="185" ph="1"/>
      <c r="J298" s="185" ph="1"/>
      <c r="K298" s="185" ph="1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2:28" ht="24">
      <c r="B299" s="186" ph="1"/>
      <c r="C299" s="186" ph="1"/>
      <c r="D299" s="186" ph="1"/>
      <c r="E299" s="185" ph="1"/>
      <c r="F299" s="185" ph="1"/>
      <c r="G299" s="185" ph="1"/>
      <c r="H299" s="185" ph="1"/>
      <c r="I299" s="185" ph="1"/>
      <c r="J299" s="185" ph="1"/>
      <c r="K299" s="185" ph="1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2:28" ht="24">
      <c r="B300" s="186" ph="1"/>
      <c r="C300" s="186" ph="1"/>
      <c r="D300" s="186" ph="1"/>
      <c r="E300" s="185" ph="1"/>
      <c r="F300" s="185" ph="1"/>
      <c r="G300" s="185" ph="1"/>
      <c r="H300" s="185" ph="1"/>
      <c r="I300" s="185" ph="1"/>
      <c r="J300" s="185" ph="1"/>
      <c r="K300" s="185" ph="1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2:28" ht="24">
      <c r="B301" s="186" ph="1"/>
      <c r="C301" s="186" ph="1"/>
      <c r="D301" s="186" ph="1"/>
      <c r="E301" s="185" ph="1"/>
      <c r="F301" s="185" ph="1"/>
      <c r="G301" s="185" ph="1"/>
      <c r="H301" s="185" ph="1"/>
      <c r="I301" s="185" ph="1"/>
      <c r="J301" s="185" ph="1"/>
      <c r="K301" s="185" ph="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2:28" ht="24">
      <c r="B302" s="186" ph="1"/>
      <c r="C302" s="186" ph="1"/>
      <c r="D302" s="186" ph="1"/>
      <c r="E302" s="185" ph="1"/>
      <c r="F302" s="185" ph="1"/>
      <c r="G302" s="185" ph="1"/>
      <c r="H302" s="185" ph="1"/>
      <c r="I302" s="185" ph="1"/>
      <c r="J302" s="185" ph="1"/>
      <c r="K302" s="185" ph="1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2:28" ht="24">
      <c r="B303" s="186" ph="1"/>
      <c r="C303" s="186" ph="1"/>
      <c r="D303" s="186" ph="1"/>
      <c r="E303" s="185" ph="1"/>
      <c r="F303" s="185" ph="1"/>
      <c r="G303" s="185" ph="1"/>
      <c r="H303" s="185" ph="1"/>
      <c r="I303" s="185" ph="1"/>
      <c r="J303" s="185" ph="1"/>
      <c r="K303" s="185" ph="1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2:28" ht="24">
      <c r="B304" s="186" ph="1"/>
      <c r="C304" s="186" ph="1"/>
      <c r="D304" s="186" ph="1"/>
      <c r="E304" s="185" ph="1"/>
      <c r="F304" s="185" ph="1"/>
      <c r="G304" s="185" ph="1"/>
      <c r="H304" s="185" ph="1"/>
      <c r="I304" s="185" ph="1"/>
      <c r="J304" s="185" ph="1"/>
      <c r="K304" s="185" ph="1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2:28" ht="24">
      <c r="B305" s="186" ph="1"/>
      <c r="C305" s="186" ph="1"/>
      <c r="D305" s="186" ph="1"/>
      <c r="E305" s="185" ph="1"/>
      <c r="F305" s="185" ph="1"/>
      <c r="G305" s="185" ph="1"/>
      <c r="H305" s="185" ph="1"/>
      <c r="I305" s="185" ph="1"/>
      <c r="J305" s="185" ph="1"/>
      <c r="K305" s="185" ph="1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2:28" ht="24">
      <c r="B306" s="186" ph="1"/>
      <c r="C306" s="186" ph="1"/>
      <c r="D306" s="186" ph="1"/>
      <c r="E306" s="185" ph="1"/>
      <c r="F306" s="185" ph="1"/>
      <c r="G306" s="185" ph="1"/>
      <c r="H306" s="185" ph="1"/>
      <c r="I306" s="185" ph="1"/>
      <c r="J306" s="185" ph="1"/>
      <c r="K306" s="185" ph="1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2:28" ht="24">
      <c r="B307" s="186" ph="1"/>
      <c r="C307" s="186" ph="1"/>
      <c r="D307" s="186" ph="1"/>
      <c r="E307" s="185" ph="1"/>
      <c r="F307" s="185" ph="1"/>
      <c r="G307" s="185" ph="1"/>
      <c r="H307" s="185" ph="1"/>
      <c r="I307" s="185" ph="1"/>
      <c r="J307" s="185" ph="1"/>
      <c r="K307" s="185" ph="1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2:28" ht="24">
      <c r="B308" s="186" ph="1"/>
      <c r="C308" s="186" ph="1"/>
      <c r="D308" s="186" ph="1"/>
      <c r="E308" s="185" ph="1"/>
      <c r="F308" s="185" ph="1"/>
      <c r="G308" s="185" ph="1"/>
      <c r="H308" s="185" ph="1"/>
      <c r="I308" s="185" ph="1"/>
      <c r="J308" s="185" ph="1"/>
      <c r="K308" s="185" ph="1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2:28" ht="24">
      <c r="B309" s="186" ph="1"/>
      <c r="C309" s="186" ph="1"/>
      <c r="D309" s="186" ph="1"/>
      <c r="E309" s="185" ph="1"/>
      <c r="F309" s="185" ph="1"/>
      <c r="G309" s="185" ph="1"/>
      <c r="H309" s="185" ph="1"/>
      <c r="I309" s="185" ph="1"/>
      <c r="J309" s="185" ph="1"/>
      <c r="K309" s="185" ph="1"/>
    </row>
    <row r="310" spans="2:28" ht="24">
      <c r="B310" s="186" ph="1"/>
      <c r="C310" s="186" ph="1"/>
      <c r="D310" s="186" ph="1"/>
      <c r="E310" s="185" ph="1"/>
      <c r="F310" s="185" ph="1"/>
      <c r="G310" s="185" ph="1"/>
      <c r="H310" s="185" ph="1"/>
      <c r="I310" s="185" ph="1"/>
      <c r="J310" s="185" ph="1"/>
      <c r="K310" s="185" ph="1"/>
    </row>
    <row r="311" spans="2:28" ht="24">
      <c r="B311" s="186" ph="1"/>
      <c r="C311" s="186" ph="1"/>
      <c r="D311" s="186" ph="1"/>
      <c r="E311" s="185" ph="1"/>
      <c r="F311" s="185" ph="1"/>
      <c r="G311" s="185" ph="1"/>
      <c r="H311" s="185" ph="1"/>
      <c r="I311" s="185" ph="1"/>
      <c r="J311" s="185" ph="1"/>
      <c r="K311" s="185" ph="1"/>
    </row>
    <row r="312" spans="2:28" ht="24">
      <c r="B312" s="186" ph="1"/>
      <c r="C312" s="186" ph="1"/>
      <c r="D312" s="186" ph="1"/>
      <c r="E312" s="185" ph="1"/>
      <c r="F312" s="185" ph="1"/>
      <c r="G312" s="185" ph="1"/>
      <c r="H312" s="185" ph="1"/>
      <c r="I312" s="185" ph="1"/>
      <c r="J312" s="185" ph="1"/>
      <c r="K312" s="185" ph="1"/>
    </row>
    <row r="313" spans="2:28" ht="24">
      <c r="B313" s="186" ph="1"/>
      <c r="C313" s="186" ph="1"/>
      <c r="D313" s="186" ph="1"/>
      <c r="E313" s="185" ph="1"/>
      <c r="F313" s="185" ph="1"/>
      <c r="G313" s="185" ph="1"/>
      <c r="H313" s="185" ph="1"/>
      <c r="I313" s="185" ph="1"/>
      <c r="J313" s="185" ph="1"/>
      <c r="K313" s="185" ph="1"/>
    </row>
  </sheetData>
  <mergeCells count="21">
    <mergeCell ref="B3:B4"/>
    <mergeCell ref="C3:C4"/>
    <mergeCell ref="L3:L4"/>
    <mergeCell ref="M3:M4"/>
    <mergeCell ref="AB3:AB4"/>
    <mergeCell ref="N3:N4"/>
    <mergeCell ref="P3:P4"/>
    <mergeCell ref="Q3:Q4"/>
    <mergeCell ref="T3:T4"/>
    <mergeCell ref="R3:R4"/>
    <mergeCell ref="C162:C174"/>
    <mergeCell ref="U3:U4"/>
    <mergeCell ref="V3:V4"/>
    <mergeCell ref="W3:W4"/>
    <mergeCell ref="AA3:AA4"/>
    <mergeCell ref="X3:X4"/>
    <mergeCell ref="Y3:Y4"/>
    <mergeCell ref="Z3:Z4"/>
    <mergeCell ref="O3:O4"/>
    <mergeCell ref="D3:D4"/>
    <mergeCell ref="S3:S4"/>
  </mergeCells>
  <phoneticPr fontId="1" type="noConversion"/>
  <conditionalFormatting sqref="AA178:AA199">
    <cfRule type="cellIs" dxfId="280" priority="1304" operator="equal">
      <formula>$AA$194</formula>
    </cfRule>
  </conditionalFormatting>
  <conditionalFormatting sqref="AA177">
    <cfRule type="cellIs" dxfId="279" priority="1299" operator="equal">
      <formula>$AA$194</formula>
    </cfRule>
  </conditionalFormatting>
  <conditionalFormatting sqref="AA176">
    <cfRule type="cellIs" dxfId="278" priority="1284" operator="equal">
      <formula>$AA$194</formula>
    </cfRule>
  </conditionalFormatting>
  <conditionalFormatting sqref="AA175">
    <cfRule type="cellIs" dxfId="277" priority="1279" operator="equal">
      <formula>$AA$194</formula>
    </cfRule>
  </conditionalFormatting>
  <conditionalFormatting sqref="AA161">
    <cfRule type="cellIs" dxfId="276" priority="1275" operator="equal">
      <formula>$AA$194</formula>
    </cfRule>
  </conditionalFormatting>
  <conditionalFormatting sqref="AA159">
    <cfRule type="cellIs" dxfId="275" priority="1271" operator="equal">
      <formula>$AA$194</formula>
    </cfRule>
  </conditionalFormatting>
  <conditionalFormatting sqref="AA158">
    <cfRule type="cellIs" dxfId="274" priority="1267" operator="equal">
      <formula>$AA$194</formula>
    </cfRule>
  </conditionalFormatting>
  <conditionalFormatting sqref="AA156">
    <cfRule type="cellIs" dxfId="273" priority="1263" operator="equal">
      <formula>$AA$194</formula>
    </cfRule>
  </conditionalFormatting>
  <conditionalFormatting sqref="AA174">
    <cfRule type="cellIs" dxfId="272" priority="1259" operator="equal">
      <formula>$AA$194</formula>
    </cfRule>
  </conditionalFormatting>
  <conditionalFormatting sqref="AA173">
    <cfRule type="cellIs" dxfId="271" priority="1248" operator="equal">
      <formula>$AA$194</formula>
    </cfRule>
  </conditionalFormatting>
  <conditionalFormatting sqref="AA172">
    <cfRule type="cellIs" dxfId="270" priority="1243" operator="equal">
      <formula>$AA$194</formula>
    </cfRule>
  </conditionalFormatting>
  <conditionalFormatting sqref="AA171">
    <cfRule type="cellIs" dxfId="269" priority="1238" operator="equal">
      <formula>$AA$194</formula>
    </cfRule>
  </conditionalFormatting>
  <conditionalFormatting sqref="AA170">
    <cfRule type="cellIs" dxfId="268" priority="1233" operator="equal">
      <formula>$AA$194</formula>
    </cfRule>
  </conditionalFormatting>
  <conditionalFormatting sqref="AA169">
    <cfRule type="cellIs" dxfId="267" priority="1228" operator="equal">
      <formula>$AA$194</formula>
    </cfRule>
  </conditionalFormatting>
  <conditionalFormatting sqref="AA168">
    <cfRule type="cellIs" dxfId="266" priority="1223" operator="equal">
      <formula>$AA$194</formula>
    </cfRule>
  </conditionalFormatting>
  <conditionalFormatting sqref="AA167">
    <cfRule type="cellIs" dxfId="265" priority="1218" operator="equal">
      <formula>$AA$194</formula>
    </cfRule>
  </conditionalFormatting>
  <conditionalFormatting sqref="AA166">
    <cfRule type="cellIs" dxfId="264" priority="1213" operator="equal">
      <formula>$AA$194</formula>
    </cfRule>
  </conditionalFormatting>
  <conditionalFormatting sqref="AA165">
    <cfRule type="cellIs" dxfId="263" priority="1208" operator="equal">
      <formula>$AA$194</formula>
    </cfRule>
  </conditionalFormatting>
  <conditionalFormatting sqref="AA164">
    <cfRule type="cellIs" dxfId="262" priority="1203" operator="equal">
      <formula>$AA$194</formula>
    </cfRule>
  </conditionalFormatting>
  <conditionalFormatting sqref="AA163">
    <cfRule type="cellIs" dxfId="261" priority="1198" operator="equal">
      <formula>$AA$194</formula>
    </cfRule>
  </conditionalFormatting>
  <conditionalFormatting sqref="AA162">
    <cfRule type="cellIs" dxfId="260" priority="1193" operator="equal">
      <formula>$AA$194</formula>
    </cfRule>
  </conditionalFormatting>
  <conditionalFormatting sqref="AA160">
    <cfRule type="cellIs" dxfId="259" priority="1188" operator="equal">
      <formula>$AA$194</formula>
    </cfRule>
  </conditionalFormatting>
  <conditionalFormatting sqref="AA155">
    <cfRule type="cellIs" dxfId="258" priority="1160" operator="equal">
      <formula>$AA$194</formula>
    </cfRule>
  </conditionalFormatting>
  <conditionalFormatting sqref="AA157">
    <cfRule type="cellIs" dxfId="257" priority="1155" operator="equal">
      <formula>$AA$194</formula>
    </cfRule>
  </conditionalFormatting>
  <conditionalFormatting sqref="AA154">
    <cfRule type="cellIs" dxfId="256" priority="1153" operator="equal">
      <formula>$AA$194</formula>
    </cfRule>
  </conditionalFormatting>
  <conditionalFormatting sqref="AA153">
    <cfRule type="cellIs" dxfId="255" priority="1143" operator="equal">
      <formula>$AA$194</formula>
    </cfRule>
  </conditionalFormatting>
  <conditionalFormatting sqref="AA147">
    <cfRule type="cellIs" dxfId="254" priority="1138" operator="equal">
      <formula>$AA$194</formula>
    </cfRule>
  </conditionalFormatting>
  <conditionalFormatting sqref="AA148">
    <cfRule type="cellIs" dxfId="253" priority="1133" operator="equal">
      <formula>$AA$194</formula>
    </cfRule>
  </conditionalFormatting>
  <conditionalFormatting sqref="AA122">
    <cfRule type="cellIs" dxfId="252" priority="1128" operator="equal">
      <formula>$AA$194</formula>
    </cfRule>
  </conditionalFormatting>
  <conditionalFormatting sqref="AA146">
    <cfRule type="cellIs" dxfId="251" priority="1094" operator="equal">
      <formula>$AA$194</formula>
    </cfRule>
  </conditionalFormatting>
  <conditionalFormatting sqref="AA139">
    <cfRule type="cellIs" dxfId="250" priority="1088" operator="equal">
      <formula>$AA$194</formula>
    </cfRule>
  </conditionalFormatting>
  <conditionalFormatting sqref="AA149">
    <cfRule type="cellIs" dxfId="249" priority="1082" operator="equal">
      <formula>$AA$194</formula>
    </cfRule>
  </conditionalFormatting>
  <conditionalFormatting sqref="AA152">
    <cfRule type="cellIs" dxfId="248" priority="1076" operator="equal">
      <formula>$AA$194</formula>
    </cfRule>
  </conditionalFormatting>
  <conditionalFormatting sqref="AA150">
    <cfRule type="cellIs" dxfId="247" priority="1070" operator="equal">
      <formula>$AA$194</formula>
    </cfRule>
  </conditionalFormatting>
  <conditionalFormatting sqref="AA151">
    <cfRule type="cellIs" dxfId="246" priority="1064" operator="equal">
      <formula>$AA$194</formula>
    </cfRule>
  </conditionalFormatting>
  <conditionalFormatting sqref="AA121">
    <cfRule type="cellIs" dxfId="245" priority="1058" operator="equal">
      <formula>$AA$194</formula>
    </cfRule>
  </conditionalFormatting>
  <conditionalFormatting sqref="AA134">
    <cfRule type="cellIs" dxfId="244" priority="1032" operator="equal">
      <formula>$AA$194</formula>
    </cfRule>
  </conditionalFormatting>
  <conditionalFormatting sqref="AA135">
    <cfRule type="cellIs" dxfId="243" priority="1025" operator="equal">
      <formula>$AA$194</formula>
    </cfRule>
  </conditionalFormatting>
  <conditionalFormatting sqref="AA138">
    <cfRule type="cellIs" dxfId="242" priority="1018" operator="equal">
      <formula>$AA$194</formula>
    </cfRule>
  </conditionalFormatting>
  <conditionalFormatting sqref="AA132">
    <cfRule type="cellIs" dxfId="241" priority="1011" operator="equal">
      <formula>$AA$194</formula>
    </cfRule>
  </conditionalFormatting>
  <conditionalFormatting sqref="AA137">
    <cfRule type="cellIs" dxfId="240" priority="1004" operator="equal">
      <formula>$AA$194</formula>
    </cfRule>
  </conditionalFormatting>
  <conditionalFormatting sqref="AA136">
    <cfRule type="cellIs" dxfId="239" priority="997" operator="equal">
      <formula>$AA$194</formula>
    </cfRule>
  </conditionalFormatting>
  <conditionalFormatting sqref="AA140">
    <cfRule type="cellIs" dxfId="238" priority="988" operator="equal">
      <formula>$AA$194</formula>
    </cfRule>
  </conditionalFormatting>
  <conditionalFormatting sqref="AA131">
    <cfRule type="cellIs" dxfId="237" priority="980" operator="equal">
      <formula>$AA$194</formula>
    </cfRule>
  </conditionalFormatting>
  <conditionalFormatting sqref="AA130">
    <cfRule type="cellIs" dxfId="236" priority="972" operator="equal">
      <formula>$AA$194</formula>
    </cfRule>
  </conditionalFormatting>
  <conditionalFormatting sqref="AA133">
    <cfRule type="cellIs" dxfId="235" priority="962" operator="equal">
      <formula>$AA$194</formula>
    </cfRule>
  </conditionalFormatting>
  <conditionalFormatting sqref="AA141">
    <cfRule type="cellIs" dxfId="234" priority="948" operator="equal">
      <formula>$AA$194</formula>
    </cfRule>
  </conditionalFormatting>
  <conditionalFormatting sqref="AA142">
    <cfRule type="cellIs" dxfId="233" priority="941" operator="equal">
      <formula>$AA$194</formula>
    </cfRule>
  </conditionalFormatting>
  <conditionalFormatting sqref="AA143">
    <cfRule type="cellIs" dxfId="232" priority="934" operator="equal">
      <formula>$AA$194</formula>
    </cfRule>
  </conditionalFormatting>
  <conditionalFormatting sqref="AA144">
    <cfRule type="cellIs" dxfId="231" priority="927" operator="equal">
      <formula>$AA$194</formula>
    </cfRule>
  </conditionalFormatting>
  <conditionalFormatting sqref="AA145">
    <cfRule type="cellIs" dxfId="230" priority="920" operator="equal">
      <formula>$AA$194</formula>
    </cfRule>
  </conditionalFormatting>
  <conditionalFormatting sqref="AA129">
    <cfRule type="cellIs" dxfId="229" priority="911" operator="equal">
      <formula>$AA$194</formula>
    </cfRule>
  </conditionalFormatting>
  <conditionalFormatting sqref="AA126">
    <cfRule type="cellIs" dxfId="228" priority="896" operator="equal">
      <formula>$AA$194</formula>
    </cfRule>
  </conditionalFormatting>
  <conditionalFormatting sqref="AA128">
    <cfRule type="cellIs" dxfId="227" priority="889" operator="equal">
      <formula>$AA$194</formula>
    </cfRule>
  </conditionalFormatting>
  <conditionalFormatting sqref="AA125">
    <cfRule type="cellIs" dxfId="226" priority="882" operator="equal">
      <formula>$AA$194</formula>
    </cfRule>
  </conditionalFormatting>
  <conditionalFormatting sqref="AA127">
    <cfRule type="cellIs" dxfId="225" priority="875" operator="equal">
      <formula>$AA$194</formula>
    </cfRule>
  </conditionalFormatting>
  <conditionalFormatting sqref="AA123">
    <cfRule type="cellIs" dxfId="224" priority="861" operator="equal">
      <formula>$AA$194</formula>
    </cfRule>
  </conditionalFormatting>
  <conditionalFormatting sqref="AA124">
    <cfRule type="cellIs" dxfId="223" priority="846" operator="equal">
      <formula>$AA$194</formula>
    </cfRule>
  </conditionalFormatting>
  <conditionalFormatting sqref="AA118">
    <cfRule type="cellIs" dxfId="222" priority="832" operator="equal">
      <formula>$AA$194</formula>
    </cfRule>
  </conditionalFormatting>
  <conditionalFormatting sqref="AA116">
    <cfRule type="cellIs" dxfId="221" priority="825" operator="equal">
      <formula>$AA$194</formula>
    </cfRule>
  </conditionalFormatting>
  <conditionalFormatting sqref="AA117">
    <cfRule type="cellIs" dxfId="220" priority="818" operator="equal">
      <formula>$AA$194</formula>
    </cfRule>
  </conditionalFormatting>
  <conditionalFormatting sqref="AA119">
    <cfRule type="cellIs" dxfId="219" priority="810" operator="equal">
      <formula>$AA$194</formula>
    </cfRule>
  </conditionalFormatting>
  <conditionalFormatting sqref="AA120">
    <cfRule type="cellIs" dxfId="218" priority="802" operator="equal">
      <formula>$AA$194</formula>
    </cfRule>
  </conditionalFormatting>
  <conditionalFormatting sqref="AA113">
    <cfRule type="cellIs" dxfId="217" priority="794" operator="equal">
      <formula>$AA$194</formula>
    </cfRule>
  </conditionalFormatting>
  <conditionalFormatting sqref="AA112">
    <cfRule type="cellIs" dxfId="216" priority="777" operator="equal">
      <formula>$AA$194</formula>
    </cfRule>
  </conditionalFormatting>
  <conditionalFormatting sqref="AA114">
    <cfRule type="cellIs" dxfId="215" priority="770" operator="equal">
      <formula>$AA$194</formula>
    </cfRule>
  </conditionalFormatting>
  <conditionalFormatting sqref="AA115">
    <cfRule type="cellIs" dxfId="214" priority="763" operator="equal">
      <formula>$AA$194</formula>
    </cfRule>
  </conditionalFormatting>
  <conditionalFormatting sqref="AA111">
    <cfRule type="cellIs" dxfId="213" priority="756" operator="equal">
      <formula>$AA$194</formula>
    </cfRule>
  </conditionalFormatting>
  <conditionalFormatting sqref="AA110">
    <cfRule type="cellIs" dxfId="212" priority="748" operator="equal">
      <formula>$AA$194</formula>
    </cfRule>
  </conditionalFormatting>
  <conditionalFormatting sqref="AA85">
    <cfRule type="cellIs" dxfId="211" priority="732" operator="equal">
      <formula>$AA$194</formula>
    </cfRule>
  </conditionalFormatting>
  <conditionalFormatting sqref="AA108">
    <cfRule type="cellIs" dxfId="210" priority="725" operator="equal">
      <formula>$AA$194</formula>
    </cfRule>
  </conditionalFormatting>
  <conditionalFormatting sqref="AA107">
    <cfRule type="cellIs" dxfId="209" priority="718" operator="equal">
      <formula>$AA$194</formula>
    </cfRule>
  </conditionalFormatting>
  <conditionalFormatting sqref="AA86">
    <cfRule type="cellIs" dxfId="208" priority="711" operator="equal">
      <formula>$AA$194</formula>
    </cfRule>
  </conditionalFormatting>
  <conditionalFormatting sqref="AA106">
    <cfRule type="cellIs" dxfId="207" priority="690" operator="equal">
      <formula>$AA$194</formula>
    </cfRule>
  </conditionalFormatting>
  <conditionalFormatting sqref="AA87">
    <cfRule type="cellIs" dxfId="206" priority="631" operator="equal">
      <formula>$AA$194</formula>
    </cfRule>
  </conditionalFormatting>
  <conditionalFormatting sqref="AA78">
    <cfRule type="cellIs" dxfId="205" priority="624" operator="equal">
      <formula>$AA$194</formula>
    </cfRule>
  </conditionalFormatting>
  <conditionalFormatting sqref="AA109">
    <cfRule type="cellIs" dxfId="204" priority="614" operator="equal">
      <formula>$AA$194</formula>
    </cfRule>
  </conditionalFormatting>
  <conditionalFormatting sqref="AA80">
    <cfRule type="cellIs" dxfId="203" priority="607" operator="equal">
      <formula>$AA$194</formula>
    </cfRule>
  </conditionalFormatting>
  <conditionalFormatting sqref="AA79">
    <cfRule type="cellIs" dxfId="202" priority="600" operator="equal">
      <formula>$AA$194</formula>
    </cfRule>
  </conditionalFormatting>
  <conditionalFormatting sqref="AA101">
    <cfRule type="cellIs" dxfId="201" priority="564" operator="equal">
      <formula>$AA$194</formula>
    </cfRule>
  </conditionalFormatting>
  <conditionalFormatting sqref="AA102">
    <cfRule type="cellIs" dxfId="200" priority="557" operator="equal">
      <formula>$AA$194</formula>
    </cfRule>
  </conditionalFormatting>
  <conditionalFormatting sqref="AA103">
    <cfRule type="cellIs" dxfId="199" priority="550" operator="equal">
      <formula>$AA$194</formula>
    </cfRule>
  </conditionalFormatting>
  <conditionalFormatting sqref="AA104">
    <cfRule type="cellIs" dxfId="198" priority="543" operator="equal">
      <formula>$AA$194</formula>
    </cfRule>
  </conditionalFormatting>
  <conditionalFormatting sqref="AA105">
    <cfRule type="cellIs" dxfId="197" priority="536" operator="equal">
      <formula>$AA$194</formula>
    </cfRule>
  </conditionalFormatting>
  <conditionalFormatting sqref="AA77">
    <cfRule type="cellIs" dxfId="196" priority="529" operator="equal">
      <formula>$AA$194</formula>
    </cfRule>
  </conditionalFormatting>
  <conditionalFormatting sqref="AA76">
    <cfRule type="cellIs" dxfId="195" priority="522" operator="equal">
      <formula>$AA$194</formula>
    </cfRule>
  </conditionalFormatting>
  <conditionalFormatting sqref="AA75">
    <cfRule type="cellIs" dxfId="194" priority="515" operator="equal">
      <formula>$AA$194</formula>
    </cfRule>
  </conditionalFormatting>
  <conditionalFormatting sqref="AA74">
    <cfRule type="cellIs" dxfId="193" priority="508" operator="equal">
      <formula>$AA$194</formula>
    </cfRule>
  </conditionalFormatting>
  <conditionalFormatting sqref="AA88:AA100">
    <cfRule type="cellIs" dxfId="192" priority="501" operator="equal">
      <formula>$AA$194</formula>
    </cfRule>
  </conditionalFormatting>
  <conditionalFormatting sqref="AA73">
    <cfRule type="cellIs" dxfId="191" priority="497" operator="equal">
      <formula>$AA$194</formula>
    </cfRule>
  </conditionalFormatting>
  <conditionalFormatting sqref="AA72">
    <cfRule type="cellIs" dxfId="190" priority="492" operator="equal">
      <formula>$AA$194</formula>
    </cfRule>
  </conditionalFormatting>
  <conditionalFormatting sqref="AA70">
    <cfRule type="cellIs" dxfId="189" priority="480" operator="equal">
      <formula>$AA$194</formula>
    </cfRule>
  </conditionalFormatting>
  <conditionalFormatting sqref="AA69">
    <cfRule type="cellIs" dxfId="188" priority="472" operator="equal">
      <formula>$AA$194</formula>
    </cfRule>
  </conditionalFormatting>
  <conditionalFormatting sqref="AA71">
    <cfRule type="cellIs" dxfId="187" priority="470" operator="equal">
      <formula>$AA$194</formula>
    </cfRule>
  </conditionalFormatting>
  <conditionalFormatting sqref="AA68">
    <cfRule type="cellIs" dxfId="186" priority="460" operator="equal">
      <formula>$AA$194</formula>
    </cfRule>
  </conditionalFormatting>
  <conditionalFormatting sqref="AA67">
    <cfRule type="cellIs" dxfId="185" priority="452" operator="equal">
      <formula>$AA$194</formula>
    </cfRule>
  </conditionalFormatting>
  <conditionalFormatting sqref="AA66">
    <cfRule type="cellIs" dxfId="184" priority="445" operator="equal">
      <formula>$AA$194</formula>
    </cfRule>
  </conditionalFormatting>
  <conditionalFormatting sqref="AA64">
    <cfRule type="cellIs" dxfId="183" priority="438" operator="equal">
      <formula>$AA$194</formula>
    </cfRule>
  </conditionalFormatting>
  <conditionalFormatting sqref="AA65">
    <cfRule type="cellIs" dxfId="182" priority="431" operator="equal">
      <formula>$AA$194</formula>
    </cfRule>
  </conditionalFormatting>
  <conditionalFormatting sqref="AA63">
    <cfRule type="cellIs" dxfId="181" priority="417" operator="equal">
      <formula>$AA$194</formula>
    </cfRule>
  </conditionalFormatting>
  <conditionalFormatting sqref="AA62">
    <cfRule type="cellIs" dxfId="180" priority="410" operator="equal">
      <formula>$AA$194</formula>
    </cfRule>
  </conditionalFormatting>
  <conditionalFormatting sqref="AA61">
    <cfRule type="cellIs" dxfId="179" priority="409" operator="equal">
      <formula>$AA$194</formula>
    </cfRule>
  </conditionalFormatting>
  <conditionalFormatting sqref="AA60">
    <cfRule type="cellIs" dxfId="178" priority="402" operator="equal">
      <formula>$AA$194</formula>
    </cfRule>
  </conditionalFormatting>
  <conditionalFormatting sqref="AA59">
    <cfRule type="cellIs" dxfId="177" priority="395" operator="equal">
      <formula>$AA$194</formula>
    </cfRule>
  </conditionalFormatting>
  <conditionalFormatting sqref="AA58">
    <cfRule type="cellIs" dxfId="176" priority="388" operator="equal">
      <formula>$AA$194</formula>
    </cfRule>
  </conditionalFormatting>
  <conditionalFormatting sqref="AA57">
    <cfRule type="cellIs" dxfId="175" priority="381" operator="equal">
      <formula>$AA$194</formula>
    </cfRule>
  </conditionalFormatting>
  <conditionalFormatting sqref="AA56">
    <cfRule type="cellIs" dxfId="174" priority="374" operator="equal">
      <formula>$AA$194</formula>
    </cfRule>
  </conditionalFormatting>
  <conditionalFormatting sqref="AA55">
    <cfRule type="cellIs" dxfId="173" priority="359" operator="equal">
      <formula>$AA$194</formula>
    </cfRule>
  </conditionalFormatting>
  <conditionalFormatting sqref="AA54">
    <cfRule type="cellIs" dxfId="172" priority="358" operator="equal">
      <formula>$AA$194</formula>
    </cfRule>
  </conditionalFormatting>
  <conditionalFormatting sqref="AA53">
    <cfRule type="cellIs" dxfId="171" priority="349" operator="equal">
      <formula>$AA$194</formula>
    </cfRule>
  </conditionalFormatting>
  <conditionalFormatting sqref="AA52">
    <cfRule type="cellIs" dxfId="170" priority="344" operator="equal">
      <formula>$AA$194</formula>
    </cfRule>
  </conditionalFormatting>
  <conditionalFormatting sqref="AA51">
    <cfRule type="cellIs" dxfId="169" priority="337" operator="equal">
      <formula>$AA$194</formula>
    </cfRule>
  </conditionalFormatting>
  <conditionalFormatting sqref="AA50">
    <cfRule type="cellIs" dxfId="168" priority="294" operator="equal">
      <formula>$AA$194</formula>
    </cfRule>
  </conditionalFormatting>
  <conditionalFormatting sqref="AA49">
    <cfRule type="cellIs" dxfId="167" priority="293" operator="equal">
      <formula>$AA$194</formula>
    </cfRule>
  </conditionalFormatting>
  <conditionalFormatting sqref="AA48">
    <cfRule type="cellIs" dxfId="166" priority="292" operator="equal">
      <formula>$AA$194</formula>
    </cfRule>
  </conditionalFormatting>
  <conditionalFormatting sqref="AA44">
    <cfRule type="cellIs" dxfId="165" priority="258" operator="equal">
      <formula>$AA$194</formula>
    </cfRule>
  </conditionalFormatting>
  <conditionalFormatting sqref="AA45:AA47">
    <cfRule type="cellIs" dxfId="164" priority="256" operator="equal">
      <formula>$AA$194</formula>
    </cfRule>
  </conditionalFormatting>
  <conditionalFormatting sqref="AA43">
    <cfRule type="cellIs" dxfId="163" priority="246" operator="equal">
      <formula>$AA$194</formula>
    </cfRule>
  </conditionalFormatting>
  <conditionalFormatting sqref="AA42">
    <cfRule type="cellIs" dxfId="162" priority="240" operator="equal">
      <formula>$AA$194</formula>
    </cfRule>
  </conditionalFormatting>
  <conditionalFormatting sqref="AA41">
    <cfRule type="cellIs" dxfId="161" priority="233" operator="equal">
      <formula>$AA$194</formula>
    </cfRule>
  </conditionalFormatting>
  <conditionalFormatting sqref="AA40">
    <cfRule type="cellIs" dxfId="160" priority="228" operator="equal">
      <formula>$AA$194</formula>
    </cfRule>
  </conditionalFormatting>
  <conditionalFormatting sqref="AA39">
    <cfRule type="cellIs" dxfId="159" priority="221" operator="equal">
      <formula>$AA$194</formula>
    </cfRule>
  </conditionalFormatting>
  <conditionalFormatting sqref="AA38">
    <cfRule type="cellIs" dxfId="158" priority="214" operator="equal">
      <formula>$AA$194</formula>
    </cfRule>
  </conditionalFormatting>
  <conditionalFormatting sqref="AA37">
    <cfRule type="cellIs" dxfId="157" priority="200" operator="equal">
      <formula>$AA$194</formula>
    </cfRule>
  </conditionalFormatting>
  <conditionalFormatting sqref="R1:T3 S125:T126 R37:T80 P118:P120 R127:T1048576 R85:T124">
    <cfRule type="colorScale" priority="1311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:D2 O3 E175 D3:F3 E156 E158:E161 E45:E80 D37:E43 D44:D80 D85:D1048576 E85:E154">
    <cfRule type="cellIs" dxfId="156" priority="1328" operator="equal">
      <formula>$AD$2</formula>
    </cfRule>
  </conditionalFormatting>
  <conditionalFormatting sqref="F175 E162:F174 F156 F158:F161 E155:F155 E157:F157 F45:F80 E44:F44 F37:F43 E1:G2 K1:K2 E176:F1048576 J4 G37:G80 E4:H4 H36:K80 H32:K33 G85:K1048576 F85:F154">
    <cfRule type="cellIs" dxfId="155" priority="1330" operator="equal">
      <formula>$AD$2</formula>
    </cfRule>
  </conditionalFormatting>
  <conditionalFormatting sqref="AA36">
    <cfRule type="cellIs" dxfId="154" priority="196" operator="equal">
      <formula>$AA$194</formula>
    </cfRule>
  </conditionalFormatting>
  <conditionalFormatting sqref="R36:T36">
    <cfRule type="colorScale" priority="197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36:E36">
    <cfRule type="cellIs" dxfId="153" priority="198" operator="equal">
      <formula>$AD$2</formula>
    </cfRule>
  </conditionalFormatting>
  <conditionalFormatting sqref="F36">
    <cfRule type="cellIs" dxfId="152" priority="199" operator="equal">
      <formula>$AD$2</formula>
    </cfRule>
  </conditionalFormatting>
  <conditionalFormatting sqref="AA33">
    <cfRule type="cellIs" dxfId="151" priority="188" operator="equal">
      <formula>$AA$194</formula>
    </cfRule>
  </conditionalFormatting>
  <conditionalFormatting sqref="R33:T33">
    <cfRule type="colorScale" priority="189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33:E33">
    <cfRule type="cellIs" dxfId="150" priority="190" operator="equal">
      <formula>$AD$2</formula>
    </cfRule>
  </conditionalFormatting>
  <conditionalFormatting sqref="F33">
    <cfRule type="cellIs" dxfId="149" priority="191" operator="equal">
      <formula>$AD$2</formula>
    </cfRule>
  </conditionalFormatting>
  <conditionalFormatting sqref="AA32">
    <cfRule type="cellIs" dxfId="148" priority="184" operator="equal">
      <formula>$AA$194</formula>
    </cfRule>
  </conditionalFormatting>
  <conditionalFormatting sqref="R32:T32">
    <cfRule type="colorScale" priority="185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32:E32">
    <cfRule type="cellIs" dxfId="147" priority="186" operator="equal">
      <formula>$AD$2</formula>
    </cfRule>
  </conditionalFormatting>
  <conditionalFormatting sqref="F32">
    <cfRule type="cellIs" dxfId="146" priority="187" operator="equal">
      <formula>$AD$2</formula>
    </cfRule>
  </conditionalFormatting>
  <conditionalFormatting sqref="G36">
    <cfRule type="cellIs" dxfId="145" priority="182" operator="equal">
      <formula>$AD$2</formula>
    </cfRule>
  </conditionalFormatting>
  <conditionalFormatting sqref="G33">
    <cfRule type="cellIs" dxfId="144" priority="180" operator="equal">
      <formula>$AD$2</formula>
    </cfRule>
  </conditionalFormatting>
  <conditionalFormatting sqref="G32">
    <cfRule type="cellIs" dxfId="143" priority="179" operator="equal">
      <formula>$AD$2</formula>
    </cfRule>
  </conditionalFormatting>
  <conditionalFormatting sqref="J1:J2">
    <cfRule type="cellIs" dxfId="142" priority="178" operator="equal">
      <formula>$AD$2</formula>
    </cfRule>
  </conditionalFormatting>
  <conditionalFormatting sqref="K4">
    <cfRule type="cellIs" dxfId="141" priority="177" operator="equal">
      <formula>$AD$2</formula>
    </cfRule>
  </conditionalFormatting>
  <conditionalFormatting sqref="I1:I2">
    <cfRule type="cellIs" dxfId="140" priority="176" operator="equal">
      <formula>$AD$2</formula>
    </cfRule>
  </conditionalFormatting>
  <conditionalFormatting sqref="H1:H2">
    <cfRule type="cellIs" dxfId="139" priority="175" operator="equal">
      <formula>$AD$2</formula>
    </cfRule>
  </conditionalFormatting>
  <conditionalFormatting sqref="I4">
    <cfRule type="cellIs" dxfId="138" priority="174" operator="equal">
      <formula>$AD$2</formula>
    </cfRule>
  </conditionalFormatting>
  <conditionalFormatting sqref="H34:K34">
    <cfRule type="cellIs" dxfId="137" priority="173" operator="equal">
      <formula>$AD$2</formula>
    </cfRule>
  </conditionalFormatting>
  <conditionalFormatting sqref="AA34">
    <cfRule type="cellIs" dxfId="136" priority="169" operator="equal">
      <formula>$AA$194</formula>
    </cfRule>
  </conditionalFormatting>
  <conditionalFormatting sqref="R34:T34">
    <cfRule type="colorScale" priority="170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34:E34">
    <cfRule type="cellIs" dxfId="135" priority="171" operator="equal">
      <formula>$AD$2</formula>
    </cfRule>
  </conditionalFormatting>
  <conditionalFormatting sqref="F34">
    <cfRule type="cellIs" dxfId="134" priority="172" operator="equal">
      <formula>$AD$2</formula>
    </cfRule>
  </conditionalFormatting>
  <conditionalFormatting sqref="G34">
    <cfRule type="cellIs" dxfId="133" priority="168" operator="equal">
      <formula>$AD$2</formula>
    </cfRule>
  </conditionalFormatting>
  <conditionalFormatting sqref="H35:K35">
    <cfRule type="cellIs" dxfId="132" priority="167" operator="equal">
      <formula>$AD$2</formula>
    </cfRule>
  </conditionalFormatting>
  <conditionalFormatting sqref="AA35">
    <cfRule type="cellIs" dxfId="131" priority="163" operator="equal">
      <formula>$AA$194</formula>
    </cfRule>
  </conditionalFormatting>
  <conditionalFormatting sqref="R35:T35">
    <cfRule type="colorScale" priority="164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35:E35">
    <cfRule type="cellIs" dxfId="130" priority="165" operator="equal">
      <formula>$AD$2</formula>
    </cfRule>
  </conditionalFormatting>
  <conditionalFormatting sqref="F35">
    <cfRule type="cellIs" dxfId="129" priority="166" operator="equal">
      <formula>$AD$2</formula>
    </cfRule>
  </conditionalFormatting>
  <conditionalFormatting sqref="G35">
    <cfRule type="cellIs" dxfId="128" priority="162" operator="equal">
      <formula>$AD$2</formula>
    </cfRule>
  </conditionalFormatting>
  <conditionalFormatting sqref="H27:K27">
    <cfRule type="cellIs" dxfId="127" priority="161" operator="equal">
      <formula>$AD$2</formula>
    </cfRule>
  </conditionalFormatting>
  <conditionalFormatting sqref="AA27">
    <cfRule type="cellIs" dxfId="126" priority="157" operator="equal">
      <formula>$AA$194</formula>
    </cfRule>
  </conditionalFormatting>
  <conditionalFormatting sqref="R27:T27">
    <cfRule type="colorScale" priority="158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7:E27">
    <cfRule type="cellIs" dxfId="125" priority="159" operator="equal">
      <formula>$AD$2</formula>
    </cfRule>
  </conditionalFormatting>
  <conditionalFormatting sqref="F27">
    <cfRule type="cellIs" dxfId="124" priority="160" operator="equal">
      <formula>$AD$2</formula>
    </cfRule>
  </conditionalFormatting>
  <conditionalFormatting sqref="G27">
    <cfRule type="cellIs" dxfId="123" priority="156" operator="equal">
      <formula>$AD$2</formula>
    </cfRule>
  </conditionalFormatting>
  <conditionalFormatting sqref="H31:K31">
    <cfRule type="cellIs" dxfId="122" priority="155" operator="equal">
      <formula>$AD$2</formula>
    </cfRule>
  </conditionalFormatting>
  <conditionalFormatting sqref="AA31">
    <cfRule type="cellIs" dxfId="121" priority="151" operator="equal">
      <formula>$AA$194</formula>
    </cfRule>
  </conditionalFormatting>
  <conditionalFormatting sqref="R31:T31">
    <cfRule type="colorScale" priority="152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31:E31">
    <cfRule type="cellIs" dxfId="120" priority="153" operator="equal">
      <formula>$AD$2</formula>
    </cfRule>
  </conditionalFormatting>
  <conditionalFormatting sqref="F31">
    <cfRule type="cellIs" dxfId="119" priority="154" operator="equal">
      <formula>$AD$2</formula>
    </cfRule>
  </conditionalFormatting>
  <conditionalFormatting sqref="G31">
    <cfRule type="cellIs" dxfId="118" priority="150" operator="equal">
      <formula>$AD$2</formula>
    </cfRule>
  </conditionalFormatting>
  <conditionalFormatting sqref="H28:K28">
    <cfRule type="cellIs" dxfId="117" priority="149" operator="equal">
      <formula>$AD$2</formula>
    </cfRule>
  </conditionalFormatting>
  <conditionalFormatting sqref="AA28">
    <cfRule type="cellIs" dxfId="116" priority="145" operator="equal">
      <formula>$AA$194</formula>
    </cfRule>
  </conditionalFormatting>
  <conditionalFormatting sqref="R28:T28">
    <cfRule type="colorScale" priority="146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8:E28">
    <cfRule type="cellIs" dxfId="115" priority="147" operator="equal">
      <formula>$AD$2</formula>
    </cfRule>
  </conditionalFormatting>
  <conditionalFormatting sqref="F28">
    <cfRule type="cellIs" dxfId="114" priority="148" operator="equal">
      <formula>$AD$2</formula>
    </cfRule>
  </conditionalFormatting>
  <conditionalFormatting sqref="G28">
    <cfRule type="cellIs" dxfId="113" priority="144" operator="equal">
      <formula>$AD$2</formula>
    </cfRule>
  </conditionalFormatting>
  <conditionalFormatting sqref="H29:K29">
    <cfRule type="cellIs" dxfId="112" priority="143" operator="equal">
      <formula>$AD$2</formula>
    </cfRule>
  </conditionalFormatting>
  <conditionalFormatting sqref="AA29">
    <cfRule type="cellIs" dxfId="111" priority="139" operator="equal">
      <formula>$AA$194</formula>
    </cfRule>
  </conditionalFormatting>
  <conditionalFormatting sqref="R29:T29">
    <cfRule type="colorScale" priority="140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9:E29">
    <cfRule type="cellIs" dxfId="110" priority="141" operator="equal">
      <formula>$AD$2</formula>
    </cfRule>
  </conditionalFormatting>
  <conditionalFormatting sqref="F29">
    <cfRule type="cellIs" dxfId="109" priority="142" operator="equal">
      <formula>$AD$2</formula>
    </cfRule>
  </conditionalFormatting>
  <conditionalFormatting sqref="G29">
    <cfRule type="cellIs" dxfId="108" priority="138" operator="equal">
      <formula>$AD$2</formula>
    </cfRule>
  </conditionalFormatting>
  <conditionalFormatting sqref="H30:K30">
    <cfRule type="cellIs" dxfId="107" priority="137" operator="equal">
      <formula>$AD$2</formula>
    </cfRule>
  </conditionalFormatting>
  <conditionalFormatting sqref="AA30">
    <cfRule type="cellIs" dxfId="106" priority="133" operator="equal">
      <formula>$AA$194</formula>
    </cfRule>
  </conditionalFormatting>
  <conditionalFormatting sqref="R30:T30">
    <cfRule type="colorScale" priority="134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30:E30">
    <cfRule type="cellIs" dxfId="105" priority="135" operator="equal">
      <formula>$AD$2</formula>
    </cfRule>
  </conditionalFormatting>
  <conditionalFormatting sqref="F30">
    <cfRule type="cellIs" dxfId="104" priority="136" operator="equal">
      <formula>$AD$2</formula>
    </cfRule>
  </conditionalFormatting>
  <conditionalFormatting sqref="G30">
    <cfRule type="cellIs" dxfId="103" priority="132" operator="equal">
      <formula>$AD$2</formula>
    </cfRule>
  </conditionalFormatting>
  <conditionalFormatting sqref="Q28:Q31">
    <cfRule type="colorScale" priority="131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AA82">
    <cfRule type="cellIs" dxfId="102" priority="127" operator="equal">
      <formula>$AA$194</formula>
    </cfRule>
  </conditionalFormatting>
  <conditionalFormatting sqref="R82:T82">
    <cfRule type="colorScale" priority="128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82:E82">
    <cfRule type="cellIs" dxfId="101" priority="129" operator="equal">
      <formula>$AD$2</formula>
    </cfRule>
  </conditionalFormatting>
  <conditionalFormatting sqref="F82:K82">
    <cfRule type="cellIs" dxfId="100" priority="130" operator="equal">
      <formula>$AD$2</formula>
    </cfRule>
  </conditionalFormatting>
  <conditionalFormatting sqref="AA26">
    <cfRule type="cellIs" dxfId="99" priority="123" operator="equal">
      <formula>$AA$194</formula>
    </cfRule>
  </conditionalFormatting>
  <conditionalFormatting sqref="S26:T26">
    <cfRule type="colorScale" priority="124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6:E26">
    <cfRule type="cellIs" dxfId="98" priority="125" operator="equal">
      <formula>$AD$2</formula>
    </cfRule>
  </conditionalFormatting>
  <conditionalFormatting sqref="F26:K26">
    <cfRule type="cellIs" dxfId="97" priority="126" operator="equal">
      <formula>$AD$2</formula>
    </cfRule>
  </conditionalFormatting>
  <conditionalFormatting sqref="AA83">
    <cfRule type="cellIs" dxfId="96" priority="119" operator="equal">
      <formula>$AA$194</formula>
    </cfRule>
  </conditionalFormatting>
  <conditionalFormatting sqref="R83:T83">
    <cfRule type="colorScale" priority="120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83:E83">
    <cfRule type="cellIs" dxfId="95" priority="121" operator="equal">
      <formula>$AD$2</formula>
    </cfRule>
  </conditionalFormatting>
  <conditionalFormatting sqref="F83:K83">
    <cfRule type="cellIs" dxfId="94" priority="122" operator="equal">
      <formula>$AD$2</formula>
    </cfRule>
  </conditionalFormatting>
  <conditionalFormatting sqref="AA81">
    <cfRule type="cellIs" dxfId="93" priority="115" operator="equal">
      <formula>$AA$194</formula>
    </cfRule>
  </conditionalFormatting>
  <conditionalFormatting sqref="R81:T81">
    <cfRule type="colorScale" priority="116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81:E81">
    <cfRule type="cellIs" dxfId="92" priority="117" operator="equal">
      <formula>$AD$2</formula>
    </cfRule>
  </conditionalFormatting>
  <conditionalFormatting sqref="F81:K81">
    <cfRule type="cellIs" dxfId="91" priority="118" operator="equal">
      <formula>$AD$2</formula>
    </cfRule>
  </conditionalFormatting>
  <conditionalFormatting sqref="AA84">
    <cfRule type="cellIs" dxfId="90" priority="111" operator="equal">
      <formula>$AA$194</formula>
    </cfRule>
  </conditionalFormatting>
  <conditionalFormatting sqref="R84:T84">
    <cfRule type="colorScale" priority="112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84:E84">
    <cfRule type="cellIs" dxfId="89" priority="113" operator="equal">
      <formula>$AD$2</formula>
    </cfRule>
  </conditionalFormatting>
  <conditionalFormatting sqref="F84:K84">
    <cfRule type="cellIs" dxfId="88" priority="114" operator="equal">
      <formula>$AD$2</formula>
    </cfRule>
  </conditionalFormatting>
  <conditionalFormatting sqref="R26">
    <cfRule type="colorScale" priority="110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AA25">
    <cfRule type="cellIs" dxfId="87" priority="106" operator="equal">
      <formula>$AA$194</formula>
    </cfRule>
  </conditionalFormatting>
  <conditionalFormatting sqref="S25:T25">
    <cfRule type="colorScale" priority="107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5:E25">
    <cfRule type="cellIs" dxfId="86" priority="108" operator="equal">
      <formula>$AD$2</formula>
    </cfRule>
  </conditionalFormatting>
  <conditionalFormatting sqref="F25:K25">
    <cfRule type="cellIs" dxfId="85" priority="109" operator="equal">
      <formula>$AD$2</formula>
    </cfRule>
  </conditionalFormatting>
  <conditionalFormatting sqref="R25">
    <cfRule type="colorScale" priority="105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AA24">
    <cfRule type="cellIs" dxfId="84" priority="101" operator="equal">
      <formula>$AA$194</formula>
    </cfRule>
  </conditionalFormatting>
  <conditionalFormatting sqref="S24:T24">
    <cfRule type="colorScale" priority="102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4:E24">
    <cfRule type="cellIs" dxfId="83" priority="103" operator="equal">
      <formula>$AD$2</formula>
    </cfRule>
  </conditionalFormatting>
  <conditionalFormatting sqref="F24:K24">
    <cfRule type="cellIs" dxfId="82" priority="104" operator="equal">
      <formula>$AD$2</formula>
    </cfRule>
  </conditionalFormatting>
  <conditionalFormatting sqref="R24">
    <cfRule type="colorScale" priority="100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AA23">
    <cfRule type="cellIs" dxfId="81" priority="96" operator="equal">
      <formula>$AA$194</formula>
    </cfRule>
  </conditionalFormatting>
  <conditionalFormatting sqref="S23:T23">
    <cfRule type="colorScale" priority="97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3:E23">
    <cfRule type="cellIs" dxfId="80" priority="98" operator="equal">
      <formula>$AD$2</formula>
    </cfRule>
  </conditionalFormatting>
  <conditionalFormatting sqref="F23:K23">
    <cfRule type="cellIs" dxfId="79" priority="99" operator="equal">
      <formula>$AD$2</formula>
    </cfRule>
  </conditionalFormatting>
  <conditionalFormatting sqref="R23">
    <cfRule type="colorScale" priority="95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AA22">
    <cfRule type="cellIs" dxfId="78" priority="91" operator="equal">
      <formula>$AA$194</formula>
    </cfRule>
  </conditionalFormatting>
  <conditionalFormatting sqref="S22:T22">
    <cfRule type="colorScale" priority="92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2:E22">
    <cfRule type="cellIs" dxfId="77" priority="93" operator="equal">
      <formula>$AD$2</formula>
    </cfRule>
  </conditionalFormatting>
  <conditionalFormatting sqref="F22:K22">
    <cfRule type="cellIs" dxfId="76" priority="94" operator="equal">
      <formula>$AD$2</formula>
    </cfRule>
  </conditionalFormatting>
  <conditionalFormatting sqref="R22">
    <cfRule type="colorScale" priority="90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AA21">
    <cfRule type="cellIs" dxfId="75" priority="86" operator="equal">
      <formula>$AA$194</formula>
    </cfRule>
  </conditionalFormatting>
  <conditionalFormatting sqref="R21:T21">
    <cfRule type="colorScale" priority="87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1:E21">
    <cfRule type="cellIs" dxfId="74" priority="88" operator="equal">
      <formula>$AD$2</formula>
    </cfRule>
  </conditionalFormatting>
  <conditionalFormatting sqref="F21:K21">
    <cfRule type="cellIs" dxfId="73" priority="89" operator="equal">
      <formula>$AD$2</formula>
    </cfRule>
  </conditionalFormatting>
  <conditionalFormatting sqref="AA20">
    <cfRule type="cellIs" dxfId="72" priority="82" operator="equal">
      <formula>$AA$194</formula>
    </cfRule>
  </conditionalFormatting>
  <conditionalFormatting sqref="R20:T20">
    <cfRule type="colorScale" priority="83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20:E20">
    <cfRule type="cellIs" dxfId="71" priority="84" operator="equal">
      <formula>$AD$2</formula>
    </cfRule>
  </conditionalFormatting>
  <conditionalFormatting sqref="F20:K20">
    <cfRule type="cellIs" dxfId="70" priority="85" operator="equal">
      <formula>$AD$2</formula>
    </cfRule>
  </conditionalFormatting>
  <conditionalFormatting sqref="R19:T19">
    <cfRule type="colorScale" priority="79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9:E19">
    <cfRule type="cellIs" dxfId="69" priority="80" operator="equal">
      <formula>$AD$2</formula>
    </cfRule>
  </conditionalFormatting>
  <conditionalFormatting sqref="F19:K19">
    <cfRule type="cellIs" dxfId="68" priority="81" operator="equal">
      <formula>$AD$2</formula>
    </cfRule>
  </conditionalFormatting>
  <conditionalFormatting sqref="AA19">
    <cfRule type="cellIs" dxfId="67" priority="77" operator="equal">
      <formula>$AA$194</formula>
    </cfRule>
  </conditionalFormatting>
  <conditionalFormatting sqref="R18:T18">
    <cfRule type="colorScale" priority="74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8:E18">
    <cfRule type="cellIs" dxfId="66" priority="75" operator="equal">
      <formula>$AD$2</formula>
    </cfRule>
  </conditionalFormatting>
  <conditionalFormatting sqref="F18:K18">
    <cfRule type="cellIs" dxfId="65" priority="76" operator="equal">
      <formula>$AD$2</formula>
    </cfRule>
  </conditionalFormatting>
  <conditionalFormatting sqref="AA18">
    <cfRule type="cellIs" dxfId="64" priority="73" operator="equal">
      <formula>$AA$194</formula>
    </cfRule>
  </conditionalFormatting>
  <conditionalFormatting sqref="T17 R17">
    <cfRule type="colorScale" priority="70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7:E17">
    <cfRule type="cellIs" dxfId="63" priority="71" operator="equal">
      <formula>$AD$2</formula>
    </cfRule>
  </conditionalFormatting>
  <conditionalFormatting sqref="F17:K17">
    <cfRule type="cellIs" dxfId="62" priority="72" operator="equal">
      <formula>$AD$2</formula>
    </cfRule>
  </conditionalFormatting>
  <conditionalFormatting sqref="AA17">
    <cfRule type="cellIs" dxfId="61" priority="69" operator="equal">
      <formula>$AA$194</formula>
    </cfRule>
  </conditionalFormatting>
  <conditionalFormatting sqref="R16 T16">
    <cfRule type="colorScale" priority="66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6:E16">
    <cfRule type="cellIs" dxfId="60" priority="67" operator="equal">
      <formula>$AD$2</formula>
    </cfRule>
  </conditionalFormatting>
  <conditionalFormatting sqref="F16:K16">
    <cfRule type="cellIs" dxfId="59" priority="68" operator="equal">
      <formula>$AD$2</formula>
    </cfRule>
  </conditionalFormatting>
  <conditionalFormatting sqref="AA16">
    <cfRule type="cellIs" dxfId="58" priority="65" operator="equal">
      <formula>$AA$194</formula>
    </cfRule>
  </conditionalFormatting>
  <conditionalFormatting sqref="R15 T15">
    <cfRule type="colorScale" priority="62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5:E15">
    <cfRule type="cellIs" dxfId="57" priority="63" operator="equal">
      <formula>$AD$2</formula>
    </cfRule>
  </conditionalFormatting>
  <conditionalFormatting sqref="F15:K15">
    <cfRule type="cellIs" dxfId="56" priority="64" operator="equal">
      <formula>$AD$2</formula>
    </cfRule>
  </conditionalFormatting>
  <conditionalFormatting sqref="AA15">
    <cfRule type="cellIs" dxfId="55" priority="61" operator="equal">
      <formula>$AA$194</formula>
    </cfRule>
  </conditionalFormatting>
  <conditionalFormatting sqref="H14:K14">
    <cfRule type="cellIs" dxfId="54" priority="60" operator="equal">
      <formula>$AD$2</formula>
    </cfRule>
  </conditionalFormatting>
  <conditionalFormatting sqref="AA14">
    <cfRule type="cellIs" dxfId="53" priority="56" operator="equal">
      <formula>$AA$194</formula>
    </cfRule>
  </conditionalFormatting>
  <conditionalFormatting sqref="R14:T14">
    <cfRule type="colorScale" priority="57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4:E14">
    <cfRule type="cellIs" dxfId="52" priority="58" operator="equal">
      <formula>$AD$2</formula>
    </cfRule>
  </conditionalFormatting>
  <conditionalFormatting sqref="F14">
    <cfRule type="cellIs" dxfId="51" priority="59" operator="equal">
      <formula>$AD$2</formula>
    </cfRule>
  </conditionalFormatting>
  <conditionalFormatting sqref="G14">
    <cfRule type="cellIs" dxfId="50" priority="55" operator="equal">
      <formula>$AD$2</formula>
    </cfRule>
  </conditionalFormatting>
  <conditionalFormatting sqref="H13:K13">
    <cfRule type="cellIs" dxfId="49" priority="54" operator="equal">
      <formula>$AD$2</formula>
    </cfRule>
  </conditionalFormatting>
  <conditionalFormatting sqref="AA13">
    <cfRule type="cellIs" dxfId="48" priority="50" operator="equal">
      <formula>$AA$194</formula>
    </cfRule>
  </conditionalFormatting>
  <conditionalFormatting sqref="R13:T13">
    <cfRule type="colorScale" priority="51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3:E13">
    <cfRule type="cellIs" dxfId="47" priority="52" operator="equal">
      <formula>$AD$2</formula>
    </cfRule>
  </conditionalFormatting>
  <conditionalFormatting sqref="F13">
    <cfRule type="cellIs" dxfId="46" priority="53" operator="equal">
      <formula>$AD$2</formula>
    </cfRule>
  </conditionalFormatting>
  <conditionalFormatting sqref="G13">
    <cfRule type="cellIs" dxfId="45" priority="49" operator="equal">
      <formula>$AD$2</formula>
    </cfRule>
  </conditionalFormatting>
  <conditionalFormatting sqref="H12:K12">
    <cfRule type="cellIs" dxfId="44" priority="48" operator="equal">
      <formula>$AD$2</formula>
    </cfRule>
  </conditionalFormatting>
  <conditionalFormatting sqref="AA12">
    <cfRule type="cellIs" dxfId="43" priority="44" operator="equal">
      <formula>$AA$194</formula>
    </cfRule>
  </conditionalFormatting>
  <conditionalFormatting sqref="R12:T12">
    <cfRule type="colorScale" priority="45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2:E12">
    <cfRule type="cellIs" dxfId="42" priority="46" operator="equal">
      <formula>$AD$2</formula>
    </cfRule>
  </conditionalFormatting>
  <conditionalFormatting sqref="F12">
    <cfRule type="cellIs" dxfId="41" priority="47" operator="equal">
      <formula>$AD$2</formula>
    </cfRule>
  </conditionalFormatting>
  <conditionalFormatting sqref="G12">
    <cfRule type="cellIs" dxfId="40" priority="43" operator="equal">
      <formula>$AD$2</formula>
    </cfRule>
  </conditionalFormatting>
  <conditionalFormatting sqref="H11:K11">
    <cfRule type="cellIs" dxfId="39" priority="42" operator="equal">
      <formula>$AD$2</formula>
    </cfRule>
  </conditionalFormatting>
  <conditionalFormatting sqref="AA11">
    <cfRule type="cellIs" dxfId="38" priority="38" operator="equal">
      <formula>$AA$194</formula>
    </cfRule>
  </conditionalFormatting>
  <conditionalFormatting sqref="R11:T11">
    <cfRule type="colorScale" priority="39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1:E11">
    <cfRule type="cellIs" dxfId="37" priority="40" operator="equal">
      <formula>$AD$2</formula>
    </cfRule>
  </conditionalFormatting>
  <conditionalFormatting sqref="F11">
    <cfRule type="cellIs" dxfId="36" priority="41" operator="equal">
      <formula>$AD$2</formula>
    </cfRule>
  </conditionalFormatting>
  <conditionalFormatting sqref="G11">
    <cfRule type="cellIs" dxfId="35" priority="37" operator="equal">
      <formula>$AD$2</formula>
    </cfRule>
  </conditionalFormatting>
  <conditionalFormatting sqref="H10:K10">
    <cfRule type="cellIs" dxfId="34" priority="36" operator="equal">
      <formula>$AD$2</formula>
    </cfRule>
  </conditionalFormatting>
  <conditionalFormatting sqref="AA10">
    <cfRule type="cellIs" dxfId="33" priority="32" operator="equal">
      <formula>$AA$194</formula>
    </cfRule>
  </conditionalFormatting>
  <conditionalFormatting sqref="R10:T10">
    <cfRule type="colorScale" priority="33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10:E10">
    <cfRule type="cellIs" dxfId="32" priority="34" operator="equal">
      <formula>$AD$2</formula>
    </cfRule>
  </conditionalFormatting>
  <conditionalFormatting sqref="F10">
    <cfRule type="cellIs" dxfId="31" priority="35" operator="equal">
      <formula>$AD$2</formula>
    </cfRule>
  </conditionalFormatting>
  <conditionalFormatting sqref="G10">
    <cfRule type="cellIs" dxfId="30" priority="31" operator="equal">
      <formula>$AD$2</formula>
    </cfRule>
  </conditionalFormatting>
  <conditionalFormatting sqref="H9:K9">
    <cfRule type="cellIs" dxfId="29" priority="30" operator="equal">
      <formula>$AD$2</formula>
    </cfRule>
  </conditionalFormatting>
  <conditionalFormatting sqref="AA9">
    <cfRule type="cellIs" dxfId="28" priority="26" operator="equal">
      <formula>$AA$194</formula>
    </cfRule>
  </conditionalFormatting>
  <conditionalFormatting sqref="R9:T9">
    <cfRule type="colorScale" priority="27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9:E9">
    <cfRule type="cellIs" dxfId="27" priority="28" operator="equal">
      <formula>$AD$2</formula>
    </cfRule>
  </conditionalFormatting>
  <conditionalFormatting sqref="F9">
    <cfRule type="cellIs" dxfId="26" priority="29" operator="equal">
      <formula>$AD$2</formula>
    </cfRule>
  </conditionalFormatting>
  <conditionalFormatting sqref="G9">
    <cfRule type="cellIs" dxfId="25" priority="25" operator="equal">
      <formula>$AD$2</formula>
    </cfRule>
  </conditionalFormatting>
  <conditionalFormatting sqref="H8:K8">
    <cfRule type="cellIs" dxfId="24" priority="24" operator="equal">
      <formula>$AD$2</formula>
    </cfRule>
  </conditionalFormatting>
  <conditionalFormatting sqref="AA8">
    <cfRule type="cellIs" dxfId="23" priority="20" operator="equal">
      <formula>$AA$194</formula>
    </cfRule>
  </conditionalFormatting>
  <conditionalFormatting sqref="R8:T8">
    <cfRule type="colorScale" priority="21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8:E8">
    <cfRule type="cellIs" dxfId="22" priority="22" operator="equal">
      <formula>$AD$2</formula>
    </cfRule>
  </conditionalFormatting>
  <conditionalFormatting sqref="F8">
    <cfRule type="cellIs" dxfId="21" priority="23" operator="equal">
      <formula>$AD$2</formula>
    </cfRule>
  </conditionalFormatting>
  <conditionalFormatting sqref="G8">
    <cfRule type="cellIs" dxfId="20" priority="19" operator="equal">
      <formula>$AD$2</formula>
    </cfRule>
  </conditionalFormatting>
  <conditionalFormatting sqref="H7:K7">
    <cfRule type="cellIs" dxfId="19" priority="18" operator="equal">
      <formula>$AD$2</formula>
    </cfRule>
  </conditionalFormatting>
  <conditionalFormatting sqref="AA7">
    <cfRule type="cellIs" dxfId="18" priority="14" operator="equal">
      <formula>$AA$194</formula>
    </cfRule>
  </conditionalFormatting>
  <conditionalFormatting sqref="R7:T7">
    <cfRule type="colorScale" priority="15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7:E7">
    <cfRule type="cellIs" dxfId="17" priority="16" operator="equal">
      <formula>$AD$2</formula>
    </cfRule>
  </conditionalFormatting>
  <conditionalFormatting sqref="F7">
    <cfRule type="cellIs" dxfId="16" priority="17" operator="equal">
      <formula>$AD$2</formula>
    </cfRule>
  </conditionalFormatting>
  <conditionalFormatting sqref="G7">
    <cfRule type="cellIs" dxfId="15" priority="13" operator="equal">
      <formula>$AD$2</formula>
    </cfRule>
  </conditionalFormatting>
  <conditionalFormatting sqref="H6:K6">
    <cfRule type="cellIs" dxfId="14" priority="12" operator="equal">
      <formula>$AD$2</formula>
    </cfRule>
  </conditionalFormatting>
  <conditionalFormatting sqref="AA6">
    <cfRule type="cellIs" dxfId="13" priority="8" operator="equal">
      <formula>$AA$194</formula>
    </cfRule>
  </conditionalFormatting>
  <conditionalFormatting sqref="R6:T6">
    <cfRule type="colorScale" priority="9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6:E6">
    <cfRule type="cellIs" dxfId="12" priority="10" operator="equal">
      <formula>$AD$2</formula>
    </cfRule>
  </conditionalFormatting>
  <conditionalFormatting sqref="F6">
    <cfRule type="cellIs" dxfId="11" priority="11" operator="equal">
      <formula>$AD$2</formula>
    </cfRule>
  </conditionalFormatting>
  <conditionalFormatting sqref="G6">
    <cfRule type="cellIs" dxfId="10" priority="7" operator="equal">
      <formula>$AD$2</formula>
    </cfRule>
  </conditionalFormatting>
  <conditionalFormatting sqref="H5:K5">
    <cfRule type="cellIs" dxfId="9" priority="6" operator="equal">
      <formula>$AD$2</formula>
    </cfRule>
  </conditionalFormatting>
  <conditionalFormatting sqref="AA5">
    <cfRule type="cellIs" dxfId="7" priority="2" operator="equal">
      <formula>$AA$194</formula>
    </cfRule>
  </conditionalFormatting>
  <conditionalFormatting sqref="R5:T5">
    <cfRule type="colorScale" priority="3">
      <colorScale>
        <cfvo type="formula" val="$AF$1"/>
        <cfvo type="formula" val="$AF$2"/>
        <cfvo type="formula" val="$AF$3"/>
        <color rgb="FFF8696B"/>
        <color rgb="FFFFEB84"/>
        <color rgb="FF63BE7B"/>
      </colorScale>
    </cfRule>
  </conditionalFormatting>
  <conditionalFormatting sqref="D5:E5">
    <cfRule type="cellIs" dxfId="5" priority="4" operator="equal">
      <formula>$AD$2</formula>
    </cfRule>
  </conditionalFormatting>
  <conditionalFormatting sqref="F5">
    <cfRule type="cellIs" dxfId="3" priority="5" operator="equal">
      <formula>$AD$2</formula>
    </cfRule>
  </conditionalFormatting>
  <conditionalFormatting sqref="G5">
    <cfRule type="cellIs" dxfId="1" priority="1" operator="equal">
      <formula>$AD$2</formula>
    </cfRule>
  </conditionalFormatting>
  <dataValidations count="3">
    <dataValidation type="list" allowBlank="1" showInputMessage="1" showErrorMessage="1" sqref="D5:K199">
      <formula1>$AD$1:$AD$3</formula1>
    </dataValidation>
    <dataValidation type="list" allowBlank="1" showInputMessage="1" showErrorMessage="1" sqref="AA5:AA199">
      <formula1>$AE$1:$AE$2</formula1>
    </dataValidation>
    <dataValidation type="list" allowBlank="1" showInputMessage="1" showErrorMessage="1" sqref="T5:T199">
      <formula1>$AF$1:$AF$3</formula1>
    </dataValidation>
  </dataValidations>
  <hyperlinks>
    <hyperlink ref="E162" r:id="rId1" display="\\165.213.107.10\share\K-IFRS반영한경영정보시스템고도화\02. 개발산출물\03. 설계(DE)\02. 경영정보 기능개선(ME)\ME-DE005-프로그램사양서\03. 급여\ME-DE005-프로그램사양서(PMA380AA)-v0.1.docx"/>
    <hyperlink ref="E163" r:id="rId2" display="\\165.213.107.10\share\K-IFRS반영한경영정보시스템고도화\02. 개발산출물\03. 설계(DE)\02. 경영정보 기능개선(ME)\ME-DE005-프로그램사양서\03. 급여\ME-DE005-프로그램사양서(PMA070AA)-v0.1.docx"/>
    <hyperlink ref="E164" r:id="rId3" display="\\165.213.107.10\share\K-IFRS반영한경영정보시스템고도화\02. 개발산출물\03. 설계(DE)\02. 경영정보 기능개선(ME)\ME-DE005-프로그램사양서\03. 급여\ME-DE005-프로그램사양서(PMA090AA)-v0.1.docx"/>
    <hyperlink ref="E165" r:id="rId4" display="\\165.213.107.10\share\K-IFRS반영한경영정보시스템고도화\02. 개발산출물\03. 설계(DE)\02. 경영정보 기능개선(ME)\ME-DE005-프로그램사양서\03. 급여\ME-DE005-프로그램사양서(PMA095AA)-v0.1.docx"/>
    <hyperlink ref="E166" r:id="rId5" display="\\165.213.107.10\share\K-IFRS반영한경영정보시스템고도화\02. 개발산출물\03. 설계(DE)\02. 경영정보 기능개선(ME)\ME-DE005-프로그램사양서\03. 급여\ME-DE005-프로그램사양서(PMA105AA)-v0.1.docx"/>
    <hyperlink ref="E167" r:id="rId6" display="\\165.213.107.10\share\K-IFRS반영한경영정보시스템고도화\02. 개발산출물\03. 설계(DE)\02. 경영정보 기능개선(ME)\ME-DE005-프로그램사양서\03. 급여\ME-DE005-프로그램사양서(PMA115AA)-v0.1.docx"/>
    <hyperlink ref="E168" r:id="rId7" display="\\165.213.107.10\share\K-IFRS반영한경영정보시스템고도화\02. 개발산출물\03. 설계(DE)\02. 경영정보 기능개선(ME)\ME-DE005-프로그램사양서\03. 급여\ME-DE005-프로그램사양서(PMA108AA)-v0.1.docx"/>
    <hyperlink ref="E169" r:id="rId8" display="\\165.213.107.10\share\K-IFRS반영한경영정보시스템고도화\02. 개발산출물\03. 설계(DE)\02. 경영정보 기능개선(ME)\ME-DE005-프로그램사양서\03. 급여\ME-DE005-프로그램사양서(PMA108AA)-v0.1.docx"/>
    <hyperlink ref="E170" r:id="rId9" display="\\165.213.107.10\share\K-IFRS반영한경영정보시스템고도화\02. 개발산출물\03. 설계(DE)\02. 경영정보 기능개선(ME)\ME-DE005-프로그램사양서\03. 급여\ME-DE005-프로그램사양서(PMA115AS)-v0.1.docx"/>
    <hyperlink ref="E171" r:id="rId10" display="\\165.213.107.10\share\K-IFRS반영한경영정보시스템고도화\02. 개발산출물\03. 설계(DE)\02. 경영정보 기능개선(ME)\ME-DE005-프로그램사양서\03. 급여\ME-DE005-프로그램사양서(PMA120AA)-v0.1.docx"/>
    <hyperlink ref="E172" r:id="rId11" display="\\165.213.107.10\share\K-IFRS반영한경영정보시스템고도화\02. 개발산출물\03. 설계(DE)\02. 경영정보 기능개선(ME)\ME-DE005-프로그램사양서\03. 급여\ME-DE005-프로그램사양서(PMA122AA)-v0.1.docx"/>
    <hyperlink ref="E173" r:id="rId12" display="\\165.213.107.10\share\K-IFRS반영한경영정보시스템고도화\02. 개발산출물\03. 설계(DE)\02. 경영정보 기능개선(ME)\ME-DE005-프로그램사양서\03. 급여\ME-DE005-프로그램사양서(PMA130AA)-v0.1.docx"/>
    <hyperlink ref="E174" r:id="rId13" display="\\165.213.107.10\share\K-IFRS반영한경영정보시스템고도화\02. 개발산출물\03. 설계(DE)\02. 경영정보 기능개선(ME)\ME-DE005-프로그램사양서\03. 급여\ME-DE005-프로그램사양서(PMA145AA)-v0.1.docx"/>
    <hyperlink ref="E175" r:id="rId14" display="\\165.213.107.10\share\K-IFRS반영한경영정보시스템고도화\02. 개발산출물\03. 설계(DE)\02. 경영정보 기능개선(ME)\ME-DE005-프로그램사양서\03. 급여\ME-DE005-프로그램사양서(PMH205AA)-v0.1.docx"/>
    <hyperlink ref="E176" r:id="rId15" display="\\165.213.107.10\share\K-IFRS반영한경영정보시스템고도화\02. 개발산출물\03. 설계(DE)\02. 경영정보 기능개선(ME)\ME-DE005-프로그램사양서\02. 인사\ME-DE005-프로그램사양서(HMA600AA)-v0.1.docx"/>
    <hyperlink ref="E177" r:id="rId16" display="\\165.213.107.10\share\K-IFRS반영한경영정보시스템고도화\02. 개발산출물\03. 설계(DE)\02. 경영정보 기능개선(ME)\ME-DE005-프로그램사양서\02. 인사\ME-DE005-프로그램사양서(HMA290AA)-v0.1.docx"/>
    <hyperlink ref="E178" r:id="rId17" display="\\165.213.107.10\share\K-IFRS반영한경영정보시스템고도화\02. 개발산출물\03. 설계(DE)\02. 경영정보 기능개선(ME)\ME-DE005-프로그램사양서\02. 인사\ME-DE005-프로그램사양서(HMA030AA)-v0.1.docx"/>
    <hyperlink ref="E179" r:id="rId18" display="\\165.213.107.10\share\K-IFRS반영한경영정보시스템고도화\02. 개발산출물\03. 설계(DE)\02. 경영정보 기능개선(ME)\ME-DE005-프로그램사양서\02. 인사\ME-DE005-프로그램사양서(HMA090AA)-v0.1.docx"/>
    <hyperlink ref="E180" r:id="rId19" display="\\165.213.107.10\share\K-IFRS반영한경영정보시스템고도화\02. 개발산출물\03. 설계(DE)\02. 경영정보 기능개선(ME)\ME-DE005-프로그램사양서\02. 인사\ME-DE005-프로그램사양서(HMA011AS)-v0.1.docx"/>
    <hyperlink ref="E181" r:id="rId20" display="\\165.213.107.10\share\K-IFRS반영한경영정보시스템고도화\02. 개발산출물\03. 설계(DE)\02. 경영정보 기능개선(ME)\ME-DE005-프로그램사양서\02. 인사\ME-DE005-프로그램사양서(HMA011AS)-v0.1.docx"/>
    <hyperlink ref="E182" r:id="rId21" display="\\165.213.107.10\share\K-IFRS반영한경영정보시스템고도화\02. 개발산출물\03. 설계(DE)\02. 경영정보 기능개선(ME)\ME-DE005-프로그램사양서\03. 급여\ME-DE005-프로그램사양서(PMA156AS)-v0.1.docx"/>
    <hyperlink ref="E183" r:id="rId22" display="\\165.213.107.10\share\K-IFRS반영한경영정보시스템고도화\02. 개발산출물\03. 설계(DE)\02. 경영정보 기능개선(ME)\ME-DE005-프로그램사양서\03. 급여\ME-DE005-프로그램사양서(PMA156AS)-v0.1.docx"/>
    <hyperlink ref="E185" r:id="rId23" display="\\165.213.107.10\share\K-IFRS반영한경영정보시스템고도화\02. 개발산출물\03. 설계(DE)\02. 경영정보 기능개선(ME)\ME-DE005-프로그램사양서\03. 급여\ME-DE005-프로그램사양서(SF_FIND_OFO_DAT)-v0.1.docx"/>
    <hyperlink ref="E186" r:id="rId24" display="\\165.213.107.10\share\K-IFRS반영한경영정보시스템고도화\02. 개발산출물\03. 설계(DE)\02. 경영정보 기능개선(ME)\ME-DE005-프로그램사양서\02. 인사\ME-DE005-프로그램사양서(HMB470AS)-v0.1.docx"/>
    <hyperlink ref="E187" r:id="rId25" display="\\165.213.107.10\share\K-IFRS반영한경영정보시스템고도화\02. 개발산출물\03. 설계(DE)\02. 경영정보 기능개선(ME)\ME-DE005-프로그램사양서\02. 인사\ME-DE005-프로그램사양서(HMA145AA)-v0.1.docx"/>
    <hyperlink ref="E190" r:id="rId26" display="\\165.213.107.10\share\K-IFRS반영한경영정보시스템고도화\02. 개발산출물\03. 설계(DE)\02. 경영정보 기능개선(ME)\ME-DE005-프로그램사양서\07. 자산\ME-DE005-프로그램사양서(AMA290AS)-v0.1.docx"/>
    <hyperlink ref="E191" r:id="rId27" display="\\165.213.107.10\share\K-IFRS반영한경영정보시스템고도화\02. 개발산출물\03. 설계(DE)\02. 경영정보 기능개선(ME)\ME-DE005-프로그램사양서\07. 자산\ME-DE005-프로그램사양서(AMA280AS)-v0.1.docx"/>
    <hyperlink ref="E192" r:id="rId28" display="\\165.213.107.10\share\K-IFRS반영한경영정보시스템고도화\02. 개발산출물\03. 설계(DE)\02. 경영정보 기능개선(ME)\ME-DE005-프로그램사양서\07. 자산\ME-DE005-프로그램사양서(AMA210AS)-v0.1.docx"/>
    <hyperlink ref="E193" r:id="rId29" display="\\165.213.107.10\share\K-IFRS반영한경영정보시스템고도화\02. 개발산출물\03. 설계(DE)\02. 경영정보 기능개선(ME)\ME-DE005-프로그램사양서\07. 자산\ME-DE005-프로그램사양서(AMA601AA)-v0.1.docx"/>
    <hyperlink ref="E194" r:id="rId30" display="\\165.213.107.10\share\K-IFRS반영한경영정보시스템고도화\02. 개발산출물\03. 설계(DE)\02. 경영정보 기능개선(ME)\ME-DE005-프로그램사양서\02. 인사\ME-DE005-프로그램사양서(HMA620AS)-v0.1.docx"/>
    <hyperlink ref="E195" r:id="rId31" display="\\165.213.107.10\share\K-IFRS반영한경영정보시스템고도화\02. 개발산출물\03. 설계(DE)\02. 경영정보 기능개선(ME)\ME-DE005-프로그램사양서\ME-DE005-프로그램사양서(-)-v0.1.docx"/>
    <hyperlink ref="E196" r:id="rId32" display="\\165.213.107.10\share\K-IFRS반영한경영정보시스템고도화\02. 개발산출물\03. 설계(DE)\02. 경영정보 기능개선(ME)\ME-DE005-프로그램사양서\ME-DE005-프로그램사양서(-)-v0.1.docx"/>
    <hyperlink ref="E197" r:id="rId33" display="\\165.213.107.10\share\K-IFRS반영한경영정보시스템고도화\02. 개발산출물\03. 설계(DE)\02. 경영정보 기능개선(ME)\ME-DE005-프로그램사양서\ME-DE005-프로그램사양서(-)-v0.1.docx"/>
    <hyperlink ref="E198" r:id="rId34" display="\\165.213.107.10\share\K-IFRS반영한경영정보시스템고도화\02. 개발산출물\03. 설계(DE)\02. 경영정보 기능개선(ME)\ME-DE005-프로그램사양서\ME-DE005-프로그램사양서(-)-v0.1.docx"/>
    <hyperlink ref="E199" r:id="rId35" display="\\165.213.107.10\share\K-IFRS반영한경영정보시스템고도화\02. 개발산출물\03. 설계(DE)\02. 경영정보 기능개선(ME)\ME-DE005-프로그램사양서\ME-DE005-프로그램사양서(-)-v0.1.docx"/>
    <hyperlink ref="F162" r:id="rId36" display="\\165.213.107.10\share\K-IFRS반영한경영정보시스템고도화\02. 개발산출물\03. 설계(DE)\02. 경영정보 기능개선(ME)\ME-DE007-페이지레이아웃\03. 급여\ME-DE007-페이지레이아웃(PMA380AA)-v0.1.docx"/>
    <hyperlink ref="F163" r:id="rId37" display="\\165.213.107.10\share\K-IFRS반영한경영정보시스템고도화\02. 개발산출물\03. 설계(DE)\02. 경영정보 기능개선(ME)\ME-DE007-페이지레이아웃\03. 급여\ME-DE007-페이지레이아웃(PMA070AA)-v0.1.docx"/>
    <hyperlink ref="F164" r:id="rId38" display="\\165.213.107.10\share\K-IFRS반영한경영정보시스템고도화\02. 개발산출물\03. 설계(DE)\02. 경영정보 기능개선(ME)\ME-DE007-페이지레이아웃\03. 급여\ME-DE007-페이지레이아웃(PMA090AA)-v0.1.docx"/>
    <hyperlink ref="F165" r:id="rId39" display="\\165.213.107.10\share\K-IFRS반영한경영정보시스템고도화\02. 개발산출물\03. 설계(DE)\02. 경영정보 기능개선(ME)\ME-DE007-페이지레이아웃\03. 급여\ME-DE007-페이지레이아웃(PMA095AA)-v0.1.docx"/>
    <hyperlink ref="F166" r:id="rId40" display="\\165.213.107.10\share\K-IFRS반영한경영정보시스템고도화\02. 개발산출물\03. 설계(DE)\02. 경영정보 기능개선(ME)\ME-DE007-페이지레이아웃\03. 급여\ME-DE007-페이지레이아웃(PMA105AA)-v0.1.docx"/>
    <hyperlink ref="F167" r:id="rId41" display="\\165.213.107.10\share\K-IFRS반영한경영정보시스템고도화\02. 개발산출물\03. 설계(DE)\02. 경영정보 기능개선(ME)\ME-DE007-페이지레이아웃\03. 급여\ME-DE007-페이지레이아웃(PMA115AA)-v0.1.docx"/>
    <hyperlink ref="F168" r:id="rId42" display="\\165.213.107.10\share\K-IFRS반영한경영정보시스템고도화\02. 개발산출물\03. 설계(DE)\02. 경영정보 기능개선(ME)\ME-DE007-페이지레이아웃\03. 급여\ME-DE007-페이지레이아웃(PMA108AA)-v0.1.docx"/>
    <hyperlink ref="F169" r:id="rId43" display="\\165.213.107.10\share\K-IFRS반영한경영정보시스템고도화\02. 개발산출물\03. 설계(DE)\02. 경영정보 기능개선(ME)\ME-DE007-페이지레이아웃\03. 급여\ME-DE007-페이지레이아웃(PMA108AA)-v0.1.docx"/>
    <hyperlink ref="F170" r:id="rId44" display="\\165.213.107.10\share\K-IFRS반영한경영정보시스템고도화\02. 개발산출물\03. 설계(DE)\02. 경영정보 기능개선(ME)\ME-DE007-페이지레이아웃\03. 급여\ME-DE007-페이지레이아웃(PMA115AS)-v0.1.docx"/>
    <hyperlink ref="F171" r:id="rId45" display="\\165.213.107.10\share\K-IFRS반영한경영정보시스템고도화\02. 개발산출물\03. 설계(DE)\02. 경영정보 기능개선(ME)\ME-DE007-페이지레이아웃\03. 급여\ME-DE007-페이지레이아웃(PMA120AA)-v0.1.docx"/>
    <hyperlink ref="F172" r:id="rId46" display="\\165.213.107.10\share\K-IFRS반영한경영정보시스템고도화\02. 개발산출물\03. 설계(DE)\02. 경영정보 기능개선(ME)\ME-DE007-페이지레이아웃\03. 급여\ME-DE007-페이지레이아웃(PMA122AA)-v0.1.docx"/>
    <hyperlink ref="F173" r:id="rId47" display="\\165.213.107.10\share\K-IFRS반영한경영정보시스템고도화\02. 개발산출물\03. 설계(DE)\02. 경영정보 기능개선(ME)\ME-DE007-페이지레이아웃\03. 급여\ME-DE007-페이지레이아웃(PMA130AA)-v0.1.docx"/>
    <hyperlink ref="F174" r:id="rId48" display="\\165.213.107.10\share\K-IFRS반영한경영정보시스템고도화\02. 개발산출물\03. 설계(DE)\02. 경영정보 기능개선(ME)\ME-DE007-페이지레이아웃\03. 급여\ME-DE007-페이지레이아웃(PMA145AA)-v0.1.docx"/>
    <hyperlink ref="F175" r:id="rId49" display="\\165.213.107.10\share\K-IFRS반영한경영정보시스템고도화\02. 개발산출물\03. 설계(DE)\02. 경영정보 기능개선(ME)\ME-DE007-페이지레이아웃\03. 급여\ME-DE007-페이지레이아웃(PMH205AA)-v0.1.docx"/>
    <hyperlink ref="F176" r:id="rId50" display="\\165.213.107.10\share\K-IFRS반영한경영정보시스템고도화\02. 개발산출물\03. 설계(DE)\02. 경영정보 기능개선(ME)\ME-DE007-페이지레이아웃\02. 인사\ME-DE007-페이지레이아웃(HMA600AA)-v0.1.docx"/>
    <hyperlink ref="F177" r:id="rId51" display="\\165.213.107.10\share\K-IFRS반영한경영정보시스템고도화\02. 개발산출물\03. 설계(DE)\02. 경영정보 기능개선(ME)\ME-DE007-페이지레이아웃\02. 인사\ME-DE007-페이지레이아웃(HMA290AA)-v0.1.docx"/>
    <hyperlink ref="F178" r:id="rId52" display="\\165.213.107.10\share\K-IFRS반영한경영정보시스템고도화\02. 개발산출물\03. 설계(DE)\02. 경영정보 기능개선(ME)\ME-DE007-페이지레이아웃\02. 인사\ME-DE007-페이지레이아웃(HMA030AA)-v0.1.docx"/>
    <hyperlink ref="F179" r:id="rId53" display="\\165.213.107.10\share\K-IFRS반영한경영정보시스템고도화\02. 개발산출물\03. 설계(DE)\02. 경영정보 기능개선(ME)\ME-DE007-페이지레이아웃\02. 인사\ME-DE007-페이지레이아웃(HMA090AA)-v0.1.docx"/>
    <hyperlink ref="F180" r:id="rId54" display="\\165.213.107.10\share\K-IFRS반영한경영정보시스템고도화\02. 개발산출물\03. 설계(DE)\02. 경영정보 기능개선(ME)\ME-DE007-페이지레이아웃\02. 인사\ME-DE007-페이지레이아웃(HMA011AS)-v0.1.docx"/>
    <hyperlink ref="F181" r:id="rId55" display="\\165.213.107.10\share\K-IFRS반영한경영정보시스템고도화\02. 개발산출물\03. 설계(DE)\02. 경영정보 기능개선(ME)\ME-DE007-페이지레이아웃\02. 인사\ME-DE007-페이지레이아웃(HMA011AS)-v0.1.docx"/>
    <hyperlink ref="F182" r:id="rId56" display="\\165.213.107.10\share\K-IFRS반영한경영정보시스템고도화\02. 개발산출물\03. 설계(DE)\02. 경영정보 기능개선(ME)\ME-DE007-페이지레이아웃\03. 급여\ME-DE007-페이지레이아웃(PMA156AS)-v0.1.docx"/>
    <hyperlink ref="F183" r:id="rId57" display="\\165.213.107.10\share\K-IFRS반영한경영정보시스템고도화\02. 개발산출물\03. 설계(DE)\02. 경영정보 기능개선(ME)\ME-DE007-페이지레이아웃\03. 급여\ME-DE007-페이지레이아웃(PMA156AS)-v0.1.docx"/>
    <hyperlink ref="F185" r:id="rId58" display="\\165.213.107.10\share\K-IFRS반영한경영정보시스템고도화\02. 개발산출물\03. 설계(DE)\02. 경영정보 기능개선(ME)\ME-DE007-페이지레이아웃\03. 급여\ME-DE007-페이지레이아웃(SF_FIND_OFO_DAT)-v0.1.docx"/>
    <hyperlink ref="F186" r:id="rId59" display="\\165.213.107.10\share\K-IFRS반영한경영정보시스템고도화\02. 개발산출물\03. 설계(DE)\02. 경영정보 기능개선(ME)\ME-DE007-페이지레이아웃\02. 인사\ME-DE007-페이지레이아웃(HMB470AS)-v0.1.docx"/>
    <hyperlink ref="F187" r:id="rId60" display="\\165.213.107.10\share\K-IFRS반영한경영정보시스템고도화\02. 개발산출물\03. 설계(DE)\02. 경영정보 기능개선(ME)\ME-DE007-페이지레이아웃\02. 인사\ME-DE007-페이지레이아웃(HMA145AA)-v0.1.docx"/>
    <hyperlink ref="F190" r:id="rId61" display="\\165.213.107.10\share\K-IFRS반영한경영정보시스템고도화\02. 개발산출물\03. 설계(DE)\02. 경영정보 기능개선(ME)\ME-DE007-페이지레이아웃\07. 자산\ME-DE007-페이지레이아웃(AMA290AS)-v0.1.docx"/>
    <hyperlink ref="F191" r:id="rId62" display="\\165.213.107.10\share\K-IFRS반영한경영정보시스템고도화\02. 개발산출물\03. 설계(DE)\02. 경영정보 기능개선(ME)\ME-DE007-페이지레이아웃\07. 자산\ME-DE007-페이지레이아웃(AMA280AS)-v0.1.docx"/>
    <hyperlink ref="F192" r:id="rId63" display="\\165.213.107.10\share\K-IFRS반영한경영정보시스템고도화\02. 개발산출물\03. 설계(DE)\02. 경영정보 기능개선(ME)\ME-DE007-페이지레이아웃\07. 자산\ME-DE007-페이지레이아웃(AMA210AS)-v0.1.docx"/>
    <hyperlink ref="F193" r:id="rId64" display="\\165.213.107.10\share\K-IFRS반영한경영정보시스템고도화\02. 개발산출물\03. 설계(DE)\02. 경영정보 기능개선(ME)\ME-DE007-페이지레이아웃\07. 자산\ME-DE007-페이지레이아웃(AMA601AA)-v0.1.docx"/>
    <hyperlink ref="F194" r:id="rId65" display="\\165.213.107.10\share\K-IFRS반영한경영정보시스템고도화\02. 개발산출물\03. 설계(DE)\02. 경영정보 기능개선(ME)\ME-DE007-페이지레이아웃\02. 인사\ME-DE007-페이지레이아웃(HMA620AS)-v0.1.docx"/>
    <hyperlink ref="F195" r:id="rId66" display="\\165.213.107.10\share\K-IFRS반영한경영정보시스템고도화\02. 개발산출물\03. 설계(DE)\02. 경영정보 기능개선(ME)\ME-DE007-페이지레이아웃\ME-DE007-페이지레이아웃(-)-v0.1.docx"/>
    <hyperlink ref="F196" r:id="rId67" display="\\165.213.107.10\share\K-IFRS반영한경영정보시스템고도화\02. 개발산출물\03. 설계(DE)\02. 경영정보 기능개선(ME)\ME-DE007-페이지레이아웃\ME-DE007-페이지레이아웃(-)-v0.1.docx"/>
    <hyperlink ref="F197" r:id="rId68" display="\\165.213.107.10\share\K-IFRS반영한경영정보시스템고도화\02. 개발산출물\03. 설계(DE)\02. 경영정보 기능개선(ME)\ME-DE007-페이지레이아웃\ME-DE007-페이지레이아웃(-)-v0.1.docx"/>
    <hyperlink ref="F198" r:id="rId69" display="\\165.213.107.10\share\K-IFRS반영한경영정보시스템고도화\02. 개발산출물\03. 설계(DE)\02. 경영정보 기능개선(ME)\ME-DE007-페이지레이아웃\ME-DE007-페이지레이아웃(-)-v0.1.docx"/>
    <hyperlink ref="F199" r:id="rId70" display="\\165.213.107.10\share\K-IFRS반영한경영정보시스템고도화\02. 개발산출물\03. 설계(DE)\02. 경영정보 기능개선(ME)\ME-DE007-페이지레이아웃\ME-DE007-페이지레이아웃(-)-v0.1.docx"/>
    <hyperlink ref="K188" r:id="rId71" display="\\165.213.107.10\share\K-IFRS반영한경영정보시스템고도화\02. 개발산출물\03. 설계(DE)\02. 경영정보 기능개선(ME)\ME-DE009-보고서레이아웃\02. 인사\ME-DE009-보고서레이아웃(HMA010RP1)-v0.1.docx"/>
    <hyperlink ref="E160" r:id="rId72" display="\\165.213.107.10\share\K-IFRS반영한경영정보시스템고도화\02. 개발산출물\03. 설계(DE)\02. 경영정보 기능개선(ME)\ME-DE005-프로그램사양서\02. 인사\ME-DE005-프로그램사양서(HMA200AA)-v0.1.docx"/>
    <hyperlink ref="E161" r:id="rId73" display="\\165.213.107.10\share\K-IFRS반영한경영정보시스템고도화\02. 개발산출물\03. 설계(DE)\02. 경영정보 기능개선(ME)\ME-DE005-프로그램사양서\02. 인사\ME-DE005-프로그램사양서(HMA950AA)-v0.1.docx"/>
    <hyperlink ref="F161" r:id="rId74" display="\\165.213.107.10\share\K-IFRS반영한경영정보시스템고도화\02. 개발산출물\03. 설계(DE)\02. 경영정보 기능개선(ME)\ME-DE007-페이지레이아웃\02. 인사\ME-DE007-페이지레이아웃(HMA950AA)-v0.1.docx"/>
    <hyperlink ref="F160" r:id="rId75" display="\\165.213.107.10\share\K-IFRS반영한경영정보시스템고도화\02. 개발산출물\03. 설계(DE)\02. 경영정보 기능개선(ME)\ME-DE007-페이지레이아웃\02. 인사\ME-DE007-페이지레이아웃(HMA200AA)-v0.1.docx"/>
    <hyperlink ref="E188" r:id="rId76" display="\\165.213.107.10\share\K-IFRS반영한경영정보시스템고도화\02. 개발산출물\03. 설계(DE)\02. 경영정보 기능개선(ME)\ME-DE005-프로그램사양서\02. 인사\ME-DE005-프로그램사양서(HMA010RP1)-v0.1.docx"/>
    <hyperlink ref="F188" r:id="rId77" display="\\165.213.107.10\share\K-IFRS반영한경영정보시스템고도화\02. 개발산출물\03. 설계(DE)\02. 경영정보 기능개선(ME)\ME-DE007-페이지레이아웃\02. 인사\ME-DE007-페이지레이아웃(HMA010RP1)-v0.1.docx"/>
    <hyperlink ref="K160" r:id="rId78" display="\\165.213.107.10\share\K-IFRS반영한경영정보시스템고도화\02. 개발산출물\03. 설계(DE)\02. 경영정보 기능개선(ME)\ME-DE009-보고서레이아웃\02. 인사\ME-DE009-보고서레이아웃(HMA200AA)-v0.1.docx"/>
    <hyperlink ref="K161" r:id="rId79" display="\\165.213.107.10\share\K-IFRS반영한경영정보시스템고도화\02. 개발산출물\03. 설계(DE)\02. 경영정보 기능개선(ME)\ME-DE009-보고서레이아웃\02. 인사\ME-DE009-보고서레이아웃(HMA950AA)-v0.1.docx"/>
    <hyperlink ref="K162" r:id="rId80" display="\\165.213.107.10\share\K-IFRS반영한경영정보시스템고도화\02. 개발산출물\03. 설계(DE)\02. 경영정보 기능개선(ME)\ME-DE009-보고서레이아웃\03. 급여\ME-DE009-보고서레이아웃(PMA380AA)-v0.1.docx"/>
    <hyperlink ref="K163" r:id="rId81" display="\\165.213.107.10\share\K-IFRS반영한경영정보시스템고도화\02. 개발산출물\03. 설계(DE)\02. 경영정보 기능개선(ME)\ME-DE009-보고서레이아웃\03. 급여\ME-DE009-보고서레이아웃(PMA070AA)-v0.1.docx"/>
    <hyperlink ref="K164" r:id="rId82" display="\\165.213.107.10\share\K-IFRS반영한경영정보시스템고도화\02. 개발산출물\03. 설계(DE)\02. 경영정보 기능개선(ME)\ME-DE009-보고서레이아웃\03. 급여\ME-DE009-보고서레이아웃(PMA090AA)-v0.1.docx"/>
    <hyperlink ref="K165" r:id="rId83" display="\\165.213.107.10\share\K-IFRS반영한경영정보시스템고도화\02. 개발산출물\03. 설계(DE)\02. 경영정보 기능개선(ME)\ME-DE009-보고서레이아웃\03. 급여\ME-DE009-보고서레이아웃(PMA095AA)-v0.1.docx"/>
    <hyperlink ref="K166" r:id="rId84" display="\\165.213.107.10\share\K-IFRS반영한경영정보시스템고도화\02. 개발산출물\03. 설계(DE)\02. 경영정보 기능개선(ME)\ME-DE009-보고서레이아웃\03. 급여\ME-DE009-보고서레이아웃(PMA105AA)-v0.1.docx"/>
    <hyperlink ref="K167" r:id="rId85" display="\\165.213.107.10\share\K-IFRS반영한경영정보시스템고도화\02. 개발산출물\03. 설계(DE)\02. 경영정보 기능개선(ME)\ME-DE009-보고서레이아웃\03. 급여\ME-DE009-보고서레이아웃(PMA115AA)-v0.1.docx"/>
    <hyperlink ref="K168" r:id="rId86" display="\\165.213.107.10\share\K-IFRS반영한경영정보시스템고도화\02. 개발산출물\03. 설계(DE)\02. 경영정보 기능개선(ME)\ME-DE009-보고서레이아웃\03. 급여\ME-DE009-보고서레이아웃(PMA108AA)-v0.1.docx"/>
    <hyperlink ref="K169" r:id="rId87" display="\\165.213.107.10\share\K-IFRS반영한경영정보시스템고도화\02. 개발산출물\03. 설계(DE)\02. 경영정보 기능개선(ME)\ME-DE009-보고서레이아웃\03. 급여\ME-DE009-보고서레이아웃(PMA108AA)-v0.1.docx"/>
    <hyperlink ref="K170" r:id="rId88" display="\\165.213.107.10\share\K-IFRS반영한경영정보시스템고도화\02. 개발산출물\03. 설계(DE)\02. 경영정보 기능개선(ME)\ME-DE009-보고서레이아웃\03. 급여\ME-DE009-보고서레이아웃(PMA115AS)-v0.1.docx"/>
    <hyperlink ref="K171" r:id="rId89" display="\\165.213.107.10\share\K-IFRS반영한경영정보시스템고도화\02. 개발산출물\03. 설계(DE)\02. 경영정보 기능개선(ME)\ME-DE009-보고서레이아웃\03. 급여\ME-DE009-보고서레이아웃(PMA120AA)-v0.1.docx"/>
    <hyperlink ref="K172" r:id="rId90" display="\\165.213.107.10\share\K-IFRS반영한경영정보시스템고도화\02. 개발산출물\03. 설계(DE)\02. 경영정보 기능개선(ME)\ME-DE009-보고서레이아웃\03. 급여\ME-DE009-보고서레이아웃(PMA122AA)-v0.1.docx"/>
    <hyperlink ref="K173" r:id="rId91" display="\\165.213.107.10\share\K-IFRS반영한경영정보시스템고도화\02. 개발산출물\03. 설계(DE)\02. 경영정보 기능개선(ME)\ME-DE009-보고서레이아웃\03. 급여\ME-DE009-보고서레이아웃(PMA130AA)-v0.1.docx"/>
    <hyperlink ref="K174" r:id="rId92" display="\\165.213.107.10\share\K-IFRS반영한경영정보시스템고도화\02. 개발산출물\03. 설계(DE)\02. 경영정보 기능개선(ME)\ME-DE009-보고서레이아웃\03. 급여\ME-DE009-보고서레이아웃(PMA145AA)-v0.1.docx"/>
    <hyperlink ref="K175" r:id="rId93" display="\\165.213.107.10\share\K-IFRS반영한경영정보시스템고도화\02. 개발산출물\03. 설계(DE)\02. 경영정보 기능개선(ME)\ME-DE009-보고서레이아웃\03. 급여\ME-DE009-보고서레이아웃(PMH205AA)-v0.1.docx"/>
    <hyperlink ref="K176" r:id="rId94" display="\\165.213.107.10\share\K-IFRS반영한경영정보시스템고도화\02. 개발산출물\03. 설계(DE)\02. 경영정보 기능개선(ME)\ME-DE009-보고서레이아웃\02. 인사\ME-DE009-보고서레이아웃(HMA600AA)-v0.1.docx"/>
    <hyperlink ref="K177" r:id="rId95" display="\\165.213.107.10\share\K-IFRS반영한경영정보시스템고도화\02. 개발산출물\03. 설계(DE)\02. 경영정보 기능개선(ME)\ME-DE009-보고서레이아웃\02. 인사\ME-DE009-보고서레이아웃(HMA290AA)-v0.1.docx"/>
    <hyperlink ref="K178" r:id="rId96" display="\\165.213.107.10\share\K-IFRS반영한경영정보시스템고도화\02. 개발산출물\03. 설계(DE)\02. 경영정보 기능개선(ME)\ME-DE009-보고서레이아웃\02. 인사\ME-DE009-보고서레이아웃(HMA030AA)-v0.1.docx"/>
    <hyperlink ref="K179" r:id="rId97" display="\\165.213.107.10\share\K-IFRS반영한경영정보시스템고도화\02. 개발산출물\03. 설계(DE)\02. 경영정보 기능개선(ME)\ME-DE009-보고서레이아웃\02. 인사\ME-DE009-보고서레이아웃(HMA090AA)-v0.1.docx"/>
    <hyperlink ref="K180" r:id="rId98" display="\\165.213.107.10\share\K-IFRS반영한경영정보시스템고도화\02. 개발산출물\03. 설계(DE)\02. 경영정보 기능개선(ME)\ME-DE009-보고서레이아웃\02. 인사\ME-DE009-보고서레이아웃(HMA011AS)-v0.1.docx"/>
    <hyperlink ref="K181" r:id="rId99" display="\\165.213.107.10\share\K-IFRS반영한경영정보시스템고도화\02. 개발산출물\03. 설계(DE)\02. 경영정보 기능개선(ME)\ME-DE009-보고서레이아웃\02. 인사\ME-DE009-보고서레이아웃(HMA011AS)-v0.1.docx"/>
    <hyperlink ref="K182" r:id="rId100" display="\\165.213.107.10\share\K-IFRS반영한경영정보시스템고도화\02. 개발산출물\03. 설계(DE)\02. 경영정보 기능개선(ME)\ME-DE009-보고서레이아웃\03. 급여\ME-DE009-보고서레이아웃(PMA156AS)-v0.1.docx"/>
    <hyperlink ref="K183" r:id="rId101" display="\\165.213.107.10\share\K-IFRS반영한경영정보시스템고도화\02. 개발산출물\03. 설계(DE)\02. 경영정보 기능개선(ME)\ME-DE009-보고서레이아웃\03. 급여\ME-DE009-보고서레이아웃(PMA156AS)-v0.1.docx"/>
    <hyperlink ref="K185" r:id="rId102" display="\\165.213.107.10\share\K-IFRS반영한경영정보시스템고도화\02. 개발산출물\03. 설계(DE)\02. 경영정보 기능개선(ME)\ME-DE009-보고서레이아웃\03. 급여\ME-DE009-보고서레이아웃(SF_FIND_OFO_DAT)-v0.1.docx"/>
    <hyperlink ref="K186" r:id="rId103" display="\\165.213.107.10\share\K-IFRS반영한경영정보시스템고도화\02. 개발산출물\03. 설계(DE)\02. 경영정보 기능개선(ME)\ME-DE009-보고서레이아웃\02. 인사\ME-DE009-보고서레이아웃(HMB470AS)-v0.1.docx"/>
    <hyperlink ref="K187" r:id="rId104" display="\\165.213.107.10\share\K-IFRS반영한경영정보시스템고도화\02. 개발산출물\03. 설계(DE)\02. 경영정보 기능개선(ME)\ME-DE009-보고서레이아웃\02. 인사\ME-DE009-보고서레이아웃(HMA145AA)-v0.1.docx"/>
    <hyperlink ref="K190" r:id="rId105" display="\\165.213.107.10\share\K-IFRS반영한경영정보시스템고도화\02. 개발산출물\03. 설계(DE)\02. 경영정보 기능개선(ME)\ME-DE009-보고서레이아웃\07. 자산\ME-DE009-보고서레이아웃(AMA290AS)-v0.1.docx"/>
    <hyperlink ref="K191" r:id="rId106" display="\\165.213.107.10\share\K-IFRS반영한경영정보시스템고도화\02. 개발산출물\03. 설계(DE)\02. 경영정보 기능개선(ME)\ME-DE009-보고서레이아웃\07. 자산\ME-DE009-보고서레이아웃(AMA280AS)-v0.1.docx"/>
    <hyperlink ref="K192" r:id="rId107" display="\\165.213.107.10\share\K-IFRS반영한경영정보시스템고도화\02. 개발산출물\03. 설계(DE)\02. 경영정보 기능개선(ME)\ME-DE009-보고서레이아웃\07. 자산\ME-DE009-보고서레이아웃(AMA210AS)-v0.1.docx"/>
    <hyperlink ref="K193" r:id="rId108" display="\\165.213.107.10\share\K-IFRS반영한경영정보시스템고도화\02. 개발산출물\03. 설계(DE)\02. 경영정보 기능개선(ME)\ME-DE009-보고서레이아웃\07. 자산\ME-DE009-보고서레이아웃(AMA601AA)-v0.1.docx"/>
    <hyperlink ref="K194" r:id="rId109" display="\\165.213.107.10\share\K-IFRS반영한경영정보시스템고도화\02. 개발산출물\03. 설계(DE)\02. 경영정보 기능개선(ME)\ME-DE009-보고서레이아웃\02. 인사\ME-DE009-보고서레이아웃(HMA620AS)-v0.1.docx"/>
    <hyperlink ref="K195" r:id="rId110" display="\\165.213.107.10\share\K-IFRS반영한경영정보시스템고도화\02. 개발산출물\03. 설계(DE)\02. 경영정보 기능개선(ME)\ME-DE009-보고서레이아웃\ME-DE009-보고서레이아웃(-)-v0.1.docx"/>
    <hyperlink ref="K196" r:id="rId111" display="\\165.213.107.10\share\K-IFRS반영한경영정보시스템고도화\02. 개발산출물\03. 설계(DE)\02. 경영정보 기능개선(ME)\ME-DE009-보고서레이아웃\ME-DE009-보고서레이아웃(-)-v0.1.docx"/>
    <hyperlink ref="K197" r:id="rId112" display="\\165.213.107.10\share\K-IFRS반영한경영정보시스템고도화\02. 개발산출물\03. 설계(DE)\02. 경영정보 기능개선(ME)\ME-DE009-보고서레이아웃\ME-DE009-보고서레이아웃(-)-v0.1.docx"/>
    <hyperlink ref="K198" r:id="rId113" display="\\165.213.107.10\share\K-IFRS반영한경영정보시스템고도화\02. 개발산출물\03. 설계(DE)\02. 경영정보 기능개선(ME)\ME-DE009-보고서레이아웃\ME-DE009-보고서레이아웃(-)-v0.1.docx"/>
    <hyperlink ref="K199" r:id="rId114" display="\\165.213.107.10\share\K-IFRS반영한경영정보시스템고도화\02. 개발산출물\03. 설계(DE)\02. 경영정보 기능개선(ME)\ME-DE009-보고서레이아웃\ME-DE009-보고서레이아웃(-)-v0.1.docx"/>
    <hyperlink ref="K156" r:id="rId115" display="\\165.213.107.10\share\K-IFRS반영한경영정보시스템고도화\02. 개발산출물\03. 설계(DE)\02. 경영정보 기능개선(ME)\ME-DE009-보고서레이아웃\02. 인사\ME-DE009-보고서레이아웃(HMA950AA)-v0.1.docx"/>
    <hyperlink ref="E156" r:id="rId116" display="\\165.213.107.10\share\K-IFRS반영한경영정보시스템고도화\02. 개발산출물\03. 설계(DE)\02. 경영정보 기능개선(ME)\ME-DE005-프로그램사양서\02. 인사\ME-DE005-프로그램사양서(HMA950AA)-v0.1.docx"/>
    <hyperlink ref="F156" r:id="rId117" display="\\165.213.107.10\share\K-IFRS반영한경영정보시스템고도화\02. 개발산출물\03. 설계(DE)\02. 경영정보 기능개선(ME)\ME-DE007-페이지레이아웃\02. 인사\ME-DE007-페이지레이아웃(HMA950AA)-v0.1.docx"/>
    <hyperlink ref="E158" r:id="rId118" display="\\165.213.107.10\share\K-IFRS반영한경영정보시스템고도화\02. 개발산출물\03. 설계(DE)\02. 경영정보 기능개선(ME)\ME-DE005-프로그램사양서\02. 인사\ME-DE005-프로그램사양서(HMA950AA)-v0.1.docx"/>
    <hyperlink ref="F158" r:id="rId119" display="\\165.213.107.10\share\K-IFRS반영한경영정보시스템고도화\02. 개발산출물\03. 설계(DE)\02. 경영정보 기능개선(ME)\ME-DE007-페이지레이아웃\02. 인사\ME-DE007-페이지레이아웃(HMA950AA)-v0.1.docx"/>
    <hyperlink ref="K158" r:id="rId120" display="\\165.213.107.10\share\K-IFRS반영한경영정보시스템고도화\02. 개발산출물\03. 설계(DE)\02. 경영정보 기능개선(ME)\ME-DE009-보고서레이아웃\02. 인사\ME-DE009-보고서레이아웃(HMA950AA)-v0.1.docx"/>
    <hyperlink ref="E159" r:id="rId121" display="\\165.213.107.10\share\K-IFRS반영한경영정보시스템고도화\02. 개발산출물\03. 설계(DE)\02. 경영정보 기능개선(ME)\ME-DE005-프로그램사양서\02. 인사\ME-DE005-프로그램사양서(HMA320AA)-v0.1.docx"/>
    <hyperlink ref="F159" r:id="rId122" display="\\165.213.107.10\share\K-IFRS반영한경영정보시스템고도화\02. 개발산출물\03. 설계(DE)\02. 경영정보 기능개선(ME)\ME-DE007-페이지레이아웃\02. 인사\ME-DE007-페이지레이아웃(HMA320AA)-v0.1.docx"/>
    <hyperlink ref="K159" r:id="rId123" display="\\165.213.107.10\share\K-IFRS반영한경영정보시스템고도화\02. 개발산출물\03. 설계(DE)\02. 경영정보 기능개선(ME)\ME-DE009-보고서레이아웃\02. 인사\ME-DE009-보고서레이아웃(HMA320AA)-v0.1.docx"/>
    <hyperlink ref="E155" r:id="rId124" display="\\165.213.107.10\share\K-IFRS반영한경영정보시스템고도화\02. 개발산출물\03. 설계(DE)\02. 경영정보 기능개선(ME)\ME-DE005-프로그램사양서\02. 인사\ME-DE005-프로그램사양서(HMA950AA)-v0.1.docx"/>
    <hyperlink ref="F155" r:id="rId125" display="\\165.213.107.10\share\K-IFRS반영한경영정보시스템고도화\02. 개발산출물\03. 설계(DE)\02. 경영정보 기능개선(ME)\ME-DE007-페이지레이아웃\02. 인사\ME-DE007-페이지레이아웃(HMA950AA)-v0.1.docx"/>
    <hyperlink ref="K155" r:id="rId126" display="\\165.213.107.10\share\K-IFRS반영한경영정보시스템고도화\02. 개발산출물\03. 설계(DE)\02. 경영정보 기능개선(ME)\ME-DE009-보고서레이아웃\02. 인사\ME-DE009-보고서레이아웃(HMA950AA)-v0.1.docx"/>
    <hyperlink ref="E157" r:id="rId127" display="\\165.213.107.10\share\K-IFRS반영한경영정보시스템고도화\02. 개발산출물\03. 설계(DE)\02. 경영정보 기능개선(ME)\ME-DE005-프로그램사양서\02. 인사\ME-DE005-프로그램사양서(HMA950AA)-v0.1.docx"/>
    <hyperlink ref="F157" r:id="rId128" display="\\165.213.107.10\share\K-IFRS반영한경영정보시스템고도화\02. 개발산출물\03. 설계(DE)\02. 경영정보 기능개선(ME)\ME-DE007-페이지레이아웃\02. 인사\ME-DE007-페이지레이아웃(HMA950AA)-v0.1.docx"/>
    <hyperlink ref="K157" r:id="rId129" display="\\165.213.107.10\share\K-IFRS반영한경영정보시스템고도화\02. 개발산출물\03. 설계(DE)\02. 경영정보 기능개선(ME)\ME-DE009-보고서레이아웃\02. 인사\ME-DE009-보고서레이아웃(HMA950AA)-v0.1.docx"/>
    <hyperlink ref="K154" r:id="rId130" display="\\165.213.107.10\share\K-IFRS반영한경영정보시스템고도화\02. 개발산출물\03. 설계(DE)\02. 경영정보 기능개선(ME)\ME-DE009-보고서레이아웃\02. 인사\ME-DE009-보고서레이아웃(HMA340AA)-v0.1.docx"/>
    <hyperlink ref="E154" r:id="rId131" display="\\165.213.107.10\share\K-IFRS반영한경영정보시스템고도화\02. 개발산출물\03. 설계(DE)\02. 경영정보 기능개선(ME)\ME-DE005-프로그램사양서\02. 인사\ME-DE005-프로그램사양서(HMA340AA)-v0.1.docx"/>
    <hyperlink ref="F154" r:id="rId132" display="\\165.213.107.10\share\K-IFRS반영한경영정보시스템고도화\02. 개발산출물\03. 설계(DE)\02. 경영정보 기능개선(ME)\ME-DE007-페이지레이아웃\02. 인사\ME-DE007-페이지레이아웃(HMA340AA)-v0.1.docx"/>
    <hyperlink ref="K153" r:id="rId133" display="\\165.213.107.10\share\K-IFRS반영한경영정보시스템고도화\02. 개발산출물\03. 설계(DE)\02. 경영정보 기능개선(ME)\ME-DE009-보고서레이아웃\03. 급여\ME-DE009-보고서레이아웃(PMA260AS_x000a_PMA265AS)-v0.1.docx"/>
    <hyperlink ref="E153" r:id="rId134" display="\\165.213.107.10\share\K-IFRS반영한경영정보시스템고도화\02. 개발산출물\03. 설계(DE)\02. 경영정보 기능개선(ME)\ME-DE005-프로그램사양서\03. 급여\ME-DE005-프로그램사양서(PMA260AS_x000a_PMA265AS)-v0.1.docx"/>
    <hyperlink ref="F153" r:id="rId135" display="\\165.213.107.10\share\K-IFRS반영한경영정보시스템고도화\02. 개발산출물\03. 설계(DE)\02. 경영정보 기능개선(ME)\ME-DE007-페이지레이아웃\03. 급여\ME-DE007-페이지레이아웃(PMA260AS_x000a_PMA265AS)-v0.1.docx"/>
    <hyperlink ref="K147" r:id="rId136" display="\\165.213.107.10\share\K-IFRS반영한경영정보시스템고도화\02. 개발산출물\03. 설계(DE)\02. 경영정보 기능개선(ME)\ME-DE009-보고서레이아웃\03. 급여\ME-DE009-보고서레이아웃(PMA130AA)-v0.1.docx"/>
    <hyperlink ref="E147" r:id="rId137" display="\\165.213.107.10\share\K-IFRS반영한경영정보시스템고도화\02. 개발산출물\03. 설계(DE)\02. 경영정보 기능개선(ME)\ME-DE005-프로그램사양서\03. 급여\ME-DE005-프로그램사양서(PMA130AA)-v0.1.docx"/>
    <hyperlink ref="F147" r:id="rId138" display="\\165.213.107.10\share\K-IFRS반영한경영정보시스템고도화\02. 개발산출물\03. 설계(DE)\02. 경영정보 기능개선(ME)\ME-DE007-페이지레이아웃\03. 급여\ME-DE007-페이지레이아웃(PMA130AA)-v0.1.docx"/>
    <hyperlink ref="K148" r:id="rId139" display="\\165.213.107.10\share\K-IFRS반영한경영정보시스템고도화\02. 개발산출물\03. 설계(DE)\02. 경영정보 기능개선(ME)\ME-DE009-보고서레이아웃\03. 급여\ME-DE009-보고서레이아웃(PMA120AA)-v0.1.docx"/>
    <hyperlink ref="E148" r:id="rId140" display="\\165.213.107.10\share\K-IFRS반영한경영정보시스템고도화\02. 개발산출물\03. 설계(DE)\02. 경영정보 기능개선(ME)\ME-DE005-프로그램사양서\03. 급여\ME-DE005-프로그램사양서(PMA120AA)-v0.1.docx"/>
    <hyperlink ref="F148" r:id="rId141" display="\\165.213.107.10\share\K-IFRS반영한경영정보시스템고도화\02. 개발산출물\03. 설계(DE)\02. 경영정보 기능개선(ME)\ME-DE007-페이지레이아웃\03. 급여\ME-DE007-페이지레이아웃(PMA120AA)-v0.1.docx"/>
    <hyperlink ref="K122" r:id="rId142" display="\\165.213.107.10\share\K-IFRS반영한경영정보시스템고도화\02. 개발산출물\03. 설계(DE)\02. 경영정보 기능개선(ME)\ME-DE009-보고서레이아웃\03. 급여\ME-DE009-보고서레이아웃(PMA140AA)-v0.1.docx"/>
    <hyperlink ref="E122" r:id="rId143" display="\\165.213.107.10\share\K-IFRS반영한경영정보시스템고도화\02. 개발산출물\03. 설계(DE)\02. 경영정보 기능개선(ME)\ME-DE005-프로그램사양서\03. 급여\ME-DE005-프로그램사양서(PMA140AA)-v0.1.docx"/>
    <hyperlink ref="F122" r:id="rId144" display="\\165.213.107.10\share\K-IFRS반영한경영정보시스템고도화\02. 개발산출물\03. 설계(DE)\02. 경영정보 기능개선(ME)\ME-DE007-페이지레이아웃\03. 급여\ME-DE007-페이지레이아웃(PMA140AA)-v0.1.docx"/>
    <hyperlink ref="K146" r:id="rId145" display="\\165.213.107.10\share\K-IFRS반영한경영정보시스템고도화\02. 개발산출물\03. 설계(DE)\02. 경영정보 기능개선(ME)\ME-DE009-보고서레이아웃\03. 급여\ME-DE009-보고서레이아웃(PMA120AA)-v0.1.docx"/>
    <hyperlink ref="E146" r:id="rId146" display="\\165.213.107.10\share\K-IFRS반영한경영정보시스템고도화\02. 개발산출물\03. 설계(DE)\02. 경영정보 기능개선(ME)\ME-DE005-프로그램사양서\03. 급여\ME-DE005-프로그램사양서(PMA120AA)-v0.1.docx"/>
    <hyperlink ref="F146" r:id="rId147" display="\\165.213.107.10\share\K-IFRS반영한경영정보시스템고도화\02. 개발산출물\03. 설계(DE)\02. 경영정보 기능개선(ME)\ME-DE007-페이지레이아웃\03. 급여\ME-DE007-페이지레이아웃(PMA120AA)-v0.1.docx"/>
    <hyperlink ref="K139" r:id="rId148" display="\\165.213.107.10\share\K-IFRS반영한경영정보시스템고도화\02. 개발산출물\03. 설계(DE)\02. 경영정보 기능개선(ME)\ME-DE009-보고서레이아웃\03. 급여\ME-DE009-보고서레이아웃(PMA110AA)-v0.1.docx"/>
    <hyperlink ref="E139" r:id="rId149" display="\\165.213.107.10\share\K-IFRS반영한경영정보시스템고도화\02. 개발산출물\03. 설계(DE)\02. 경영정보 기능개선(ME)\ME-DE005-프로그램사양서\03. 급여\ME-DE005-프로그램사양서(PMA110AA)-v0.1.docx"/>
    <hyperlink ref="F139" r:id="rId150" display="\\165.213.107.10\share\K-IFRS반영한경영정보시스템고도화\02. 개발산출물\03. 설계(DE)\02. 경영정보 기능개선(ME)\ME-DE007-페이지레이아웃\03. 급여\ME-DE007-페이지레이아웃(PMA110AA)-v0.1.docx"/>
    <hyperlink ref="K149" r:id="rId151" display="\\165.213.107.10\share\K-IFRS반영한경영정보시스템고도화\02. 개발산출물\03. 설계(DE)\02. 경영정보 기능개선(ME)\ME-DE009-보고서레이아웃\03. 급여\ME-DE009-보고서레이아웃(PMA110AA)-v0.1.docx"/>
    <hyperlink ref="E149" r:id="rId152" display="\\165.213.107.10\share\K-IFRS반영한경영정보시스템고도화\02. 개발산출물\03. 설계(DE)\02. 경영정보 기능개선(ME)\ME-DE005-프로그램사양서\03. 급여\ME-DE005-프로그램사양서(PMA110AA)-v0.1.docx"/>
    <hyperlink ref="F149" r:id="rId153" display="\\165.213.107.10\share\K-IFRS반영한경영정보시스템고도화\02. 개발산출물\03. 설계(DE)\02. 경영정보 기능개선(ME)\ME-DE007-페이지레이아웃\03. 급여\ME-DE007-페이지레이아웃(PMA110AA)-v0.1.docx"/>
    <hyperlink ref="K152" r:id="rId154" display="\\165.213.107.10\share\K-IFRS반영한경영정보시스템고도화\02. 개발산출물\03. 설계(DE)\02. 경영정보 기능개선(ME)\ME-DE009-보고서레이아웃\03. 급여\ME-DE009-보고서레이아웃(PMA230AA)-v0.1.docx"/>
    <hyperlink ref="E152" r:id="rId155" display="\\165.213.107.10\share\K-IFRS반영한경영정보시스템고도화\02. 개발산출물\03. 설계(DE)\02. 경영정보 기능개선(ME)\ME-DE005-프로그램사양서\03. 급여\ME-DE005-프로그램사양서(PMA230AA)-v0.1.docx"/>
    <hyperlink ref="F152" r:id="rId156" display="\\165.213.107.10\share\K-IFRS반영한경영정보시스템고도화\02. 개발산출물\03. 설계(DE)\02. 경영정보 기능개선(ME)\ME-DE007-페이지레이아웃\03. 급여\ME-DE007-페이지레이아웃(PMA230AA)-v0.1.docx"/>
    <hyperlink ref="K150" r:id="rId157" display="\\165.213.107.10\share\K-IFRS반영한경영정보시스템고도화\02. 개발산출물\03. 설계(DE)\02. 경영정보 기능개선(ME)\ME-DE009-보고서레이아웃\03. 급여\ME-DE009-보고서레이아웃(PMA110AA)-v0.1.docx"/>
    <hyperlink ref="E150" r:id="rId158" display="\\165.213.107.10\share\K-IFRS반영한경영정보시스템고도화\02. 개발산출물\03. 설계(DE)\02. 경영정보 기능개선(ME)\ME-DE005-프로그램사양서\03. 급여\ME-DE005-프로그램사양서(PMA110AA)-v0.1.docx"/>
    <hyperlink ref="F150" r:id="rId159" display="\\165.213.107.10\share\K-IFRS반영한경영정보시스템고도화\02. 개발산출물\03. 설계(DE)\02. 경영정보 기능개선(ME)\ME-DE007-페이지레이아웃\03. 급여\ME-DE007-페이지레이아웃(PMA110AA)-v0.1.docx"/>
    <hyperlink ref="K151" r:id="rId160" display="\\165.213.107.10\share\K-IFRS반영한경영정보시스템고도화\02. 개발산출물\03. 설계(DE)\02. 경영정보 기능개선(ME)\ME-DE009-보고서레이아웃\03. 급여\ME-DE009-보고서레이아웃(PMA140AA)-v0.1.docx"/>
    <hyperlink ref="E151" r:id="rId161" display="\\165.213.107.10\share\K-IFRS반영한경영정보시스템고도화\02. 개발산출물\03. 설계(DE)\02. 경영정보 기능개선(ME)\ME-DE005-프로그램사양서\03. 급여\ME-DE005-프로그램사양서(PMA140AA)-v0.1.docx"/>
    <hyperlink ref="F151" r:id="rId162" display="\\165.213.107.10\share\K-IFRS반영한경영정보시스템고도화\02. 개발산출물\03. 설계(DE)\02. 경영정보 기능개선(ME)\ME-DE007-페이지레이아웃\03. 급여\ME-DE007-페이지레이아웃(PMA140AA)-v0.1.docx"/>
    <hyperlink ref="K121" r:id="rId163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E121" r:id="rId164" display="\\165.213.107.10\share\K-IFRS반영한경영정보시스템고도화\02. 개발산출물\03. 설계(DE)\02. 경영정보 기능개선(ME)\ME-DE005-프로그램사양서\03. 급여\ME-DE005-프로그램사양서(PMA310AA_x000a_PMA320AA_x000a_PMA325AA_x000a_PMA300AS_x000a_PMA330AA_x000a_PMA340AA)-v0.1.docx"/>
    <hyperlink ref="F121" r:id="rId165" display="\\165.213.107.10\share\K-IFRS반영한경영정보시스템고도화\02. 개발산출물\03. 설계(DE)\02. 경영정보 기능개선(ME)\ME-DE007-페이지레이아웃\03. 급여\ME-DE007-페이지레이아웃(PMA310AA_x000a_PMA320AA_x000a_PMA325AA_x000a_PMA300AS_x000a_PMA330AA_x000a_PMA340AA)-v0.1.docx"/>
    <hyperlink ref="S150" r:id="rId166"/>
    <hyperlink ref="S149" r:id="rId167"/>
    <hyperlink ref="S139" r:id="rId168"/>
    <hyperlink ref="K134" r:id="rId169" display="\\165.213.107.10\share\K-IFRS반영한경영정보시스템고도화\02. 개발산출물\03. 설계(DE)\02. 경영정보 기능개선(ME)\ME-DE009-보고서레이아웃\03. 급여\ME-DE009-보고서레이아웃(PMA510AA)-v0.1.docx"/>
    <hyperlink ref="E134" r:id="rId170" display="\\165.213.107.10\share\K-IFRS반영한경영정보시스템고도화\02. 개발산출물\03. 설계(DE)\02. 경영정보 기능개선(ME)\ME-DE005-프로그램사양서\03. 급여\ME-DE005-프로그램사양서(PMA510AA)-v0.1.docx"/>
    <hyperlink ref="F134" r:id="rId171" display="\\165.213.107.10\share\K-IFRS반영한경영정보시스템고도화\02. 개발산출물\03. 설계(DE)\02. 경영정보 기능개선(ME)\ME-DE007-페이지레이아웃\03. 급여\ME-DE007-페이지레이아웃(PMA510AA)-v0.1.docx"/>
    <hyperlink ref="K135" r:id="rId172" display="\\165.213.107.10\share\K-IFRS반영한경영정보시스템고도화\02. 개발산출물\03. 설계(DE)\02. 경영정보 기능개선(ME)\ME-DE009-보고서레이아웃\03. 급여\ME-DE009-보고서레이아웃(PMA550AA)-v0.1.docx"/>
    <hyperlink ref="E135" r:id="rId173" display="\\165.213.107.10\share\K-IFRS반영한경영정보시스템고도화\02. 개발산출물\03. 설계(DE)\02. 경영정보 기능개선(ME)\ME-DE005-프로그램사양서\03. 급여\ME-DE005-프로그램사양서(PMA550AA)-v0.1.docx"/>
    <hyperlink ref="F135" r:id="rId174" display="\\165.213.107.10\share\K-IFRS반영한경영정보시스템고도화\02. 개발산출물\03. 설계(DE)\02. 경영정보 기능개선(ME)\ME-DE007-페이지레이아웃\03. 급여\ME-DE007-페이지레이아웃(PMA550AA)-v0.1.docx"/>
    <hyperlink ref="K138" r:id="rId175" display="\\165.213.107.10\share\K-IFRS반영한경영정보시스템고도화\02. 개발산출물\03. 설계(DE)\02. 경영정보 기능개선(ME)\ME-DE009-보고서레이아웃\03. 급여\ME-DE009-보고서레이아웃(PMA100AA)-v0.1.docx"/>
    <hyperlink ref="E138" r:id="rId176" display="\\165.213.107.10\share\K-IFRS반영한경영정보시스템고도화\02. 개발산출물\03. 설계(DE)\02. 경영정보 기능개선(ME)\ME-DE005-프로그램사양서\03. 급여\ME-DE005-프로그램사양서(PMA100AA)-v0.1.docx"/>
    <hyperlink ref="F138" r:id="rId177" display="\\165.213.107.10\share\K-IFRS반영한경영정보시스템고도화\02. 개발산출물\03. 설계(DE)\02. 경영정보 기능개선(ME)\ME-DE007-페이지레이아웃\03. 급여\ME-DE007-페이지레이아웃(PMA100AA)-v0.1.docx"/>
    <hyperlink ref="K132" r:id="rId178" display="\\165.213.107.10\share\K-IFRS반영한경영정보시스템고도화\02. 개발산출물\03. 설계(DE)\02. 경영정보 기능개선(ME)\ME-DE009-보고서레이아웃\03. 급여\ME-DE009-보고서레이아웃(PMA520AA)-v0.1.docx"/>
    <hyperlink ref="E132" r:id="rId179" display="\\165.213.107.10\share\K-IFRS반영한경영정보시스템고도화\02. 개발산출물\03. 설계(DE)\02. 경영정보 기능개선(ME)\ME-DE005-프로그램사양서\03. 급여\ME-DE005-프로그램사양서(PMA520AA)-v0.1.docx"/>
    <hyperlink ref="F132" r:id="rId180" display="\\165.213.107.10\share\K-IFRS반영한경영정보시스템고도화\02. 개발산출물\03. 설계(DE)\02. 경영정보 기능개선(ME)\ME-DE007-페이지레이아웃\03. 급여\ME-DE007-페이지레이아웃(PMA520AA)-v0.1.docx"/>
    <hyperlink ref="K137" r:id="rId181" display="\\165.213.107.10\share\K-IFRS반영한경영정보시스템고도화\02. 개발산출물\03. 설계(DE)\02. 경영정보 기능개선(ME)\ME-DE009-보고서레이아웃\03. 급여\ME-DE009-보고서레이아웃(PMA540AA)-v0.1.docx"/>
    <hyperlink ref="E137" r:id="rId182" display="\\165.213.107.10\share\K-IFRS반영한경영정보시스템고도화\02. 개발산출물\03. 설계(DE)\02. 경영정보 기능개선(ME)\ME-DE005-프로그램사양서\03. 급여\ME-DE005-프로그램사양서(PMA540AA)-v0.1.docx"/>
    <hyperlink ref="F137" r:id="rId183" display="\\165.213.107.10\share\K-IFRS반영한경영정보시스템고도화\02. 개발산출물\03. 설계(DE)\02. 경영정보 기능개선(ME)\ME-DE007-페이지레이아웃\03. 급여\ME-DE007-페이지레이아웃(PMA540AA)-v0.1.docx"/>
    <hyperlink ref="K140" r:id="rId184" display="\\165.213.107.10\share\K-IFRS반영한경영정보시스템고도화\02. 개발산출물\03. 설계(DE)\02. 경영정보 기능개선(ME)\ME-DE009-보고서레이아웃\03. 급여\ME-DE009-보고서레이아웃(PMA110AA)-v0.1.docx"/>
    <hyperlink ref="E140" r:id="rId185" display="\\165.213.107.10\share\K-IFRS반영한경영정보시스템고도화\02. 개발산출물\03. 설계(DE)\02. 경영정보 기능개선(ME)\ME-DE005-프로그램사양서\03. 급여\ME-DE005-프로그램사양서(PMA110AA)-v0.1.docx"/>
    <hyperlink ref="F140" r:id="rId186" display="\\165.213.107.10\share\K-IFRS반영한경영정보시스템고도화\02. 개발산출물\03. 설계(DE)\02. 경영정보 기능개선(ME)\ME-DE007-페이지레이아웃\03. 급여\ME-DE007-페이지레이아웃(PMA110AA)-v0.1.docx"/>
    <hyperlink ref="S140" r:id="rId187" display="SP_PMA110AA_JIGUB_SUM.sql"/>
    <hyperlink ref="K131" r:id="rId188" display="\\165.213.107.10\share\K-IFRS반영한경영정보시스템고도화\02. 개발산출물\03. 설계(DE)\02. 경영정보 기능개선(ME)\ME-DE009-보고서레이아웃\03. 급여\ME-DE009-보고서레이아웃(PMA140AA)-v0.1.docx"/>
    <hyperlink ref="E131" r:id="rId189" display="\\165.213.107.10\share\K-IFRS반영한경영정보시스템고도화\02. 개발산출물\03. 설계(DE)\02. 경영정보 기능개선(ME)\ME-DE005-프로그램사양서\03. 급여\ME-DE005-프로그램사양서(PMA140AA)-v0.1.docx"/>
    <hyperlink ref="F131" r:id="rId190" display="\\165.213.107.10\share\K-IFRS반영한경영정보시스템고도화\02. 개발산출물\03. 설계(DE)\02. 경영정보 기능개선(ME)\ME-DE007-페이지레이아웃\03. 급여\ME-DE007-페이지레이아웃(PMA140AA)-v0.1.docx"/>
    <hyperlink ref="K130" r:id="rId191" display="\\165.213.107.10\share\K-IFRS반영한경영정보시스템고도화\02. 개발산출물\03. 설계(DE)\02. 경영정보 기능개선(ME)\ME-DE009-보고서레이아웃\03. 급여\ME-DE009-보고서레이아웃(PMA110AA)-v0.1.docx"/>
    <hyperlink ref="E130" r:id="rId192" display="\\165.213.107.10\share\K-IFRS반영한경영정보시스템고도화\02. 개발산출물\03. 설계(DE)\02. 경영정보 기능개선(ME)\ME-DE005-프로그램사양서\03. 급여\ME-DE005-프로그램사양서(PMA110AA)-v0.1.docx"/>
    <hyperlink ref="F130" r:id="rId193" display="\\165.213.107.10\share\K-IFRS반영한경영정보시스템고도화\02. 개발산출물\03. 설계(DE)\02. 경영정보 기능개선(ME)\ME-DE007-페이지레이아웃\03. 급여\ME-DE007-페이지레이아웃(PMA110AA)-v0.1.docx"/>
    <hyperlink ref="K133" r:id="rId194" display="\\165.213.107.10\share\K-IFRS반영한경영정보시스템고도화\02. 개발산출물\03. 설계(DE)\02. 경영정보 기능개선(ME)\ME-DE009-보고서레이아웃\03. 급여\ME-DE009-보고서레이아웃(PMA560AA)-v0.1.docx"/>
    <hyperlink ref="E133" r:id="rId195" display="\\165.213.107.10\share\K-IFRS반영한경영정보시스템고도화\02. 개발산출물\03. 설계(DE)\02. 경영정보 기능개선(ME)\ME-DE005-프로그램사양서\03. 급여\ME-DE005-프로그램사양서(PMA560AA)-v0.1.docx"/>
    <hyperlink ref="F133" r:id="rId196" display="\\165.213.107.10\share\K-IFRS반영한경영정보시스템고도화\02. 개발산출물\03. 설계(DE)\02. 경영정보 기능개선(ME)\ME-DE007-페이지레이아웃\03. 급여\ME-DE007-페이지레이아웃(PMA560AA)-v0.1.docx"/>
    <hyperlink ref="K141" r:id="rId197" display="\\165.213.107.10\share\K-IFRS반영한경영정보시스템고도화\02. 개발산출물\03. 설계(DE)\02. 경영정보 기능개선(ME)\ME-DE009-보고서레이아웃\03. 급여\ME-DE009-보고서레이아웃(PMA110AA)-v0.1.docx"/>
    <hyperlink ref="E141" r:id="rId198" display="\\165.213.107.10\share\K-IFRS반영한경영정보시스템고도화\02. 개발산출물\03. 설계(DE)\02. 경영정보 기능개선(ME)\ME-DE005-프로그램사양서\03. 급여\ME-DE005-프로그램사양서(PMA110AA)-v0.1.docx"/>
    <hyperlink ref="F141" r:id="rId199" display="\\165.213.107.10\share\K-IFRS반영한경영정보시스템고도화\02. 개발산출물\03. 설계(DE)\02. 경영정보 기능개선(ME)\ME-DE007-페이지레이아웃\03. 급여\ME-DE007-페이지레이아웃(PMA110AA)-v0.1.docx"/>
    <hyperlink ref="S141" r:id="rId200"/>
    <hyperlink ref="K142" r:id="rId201" display="\\165.213.107.10\share\K-IFRS반영한경영정보시스템고도화\02. 개발산출물\03. 설계(DE)\02. 경영정보 기능개선(ME)\ME-DE009-보고서레이아웃\03. 급여\ME-DE009-보고서레이아웃(PMA110AA)-v0.1.docx"/>
    <hyperlink ref="E142" r:id="rId202" display="\\165.213.107.10\share\K-IFRS반영한경영정보시스템고도화\02. 개발산출물\03. 설계(DE)\02. 경영정보 기능개선(ME)\ME-DE005-프로그램사양서\03. 급여\ME-DE005-프로그램사양서(PMA110AA)-v0.1.docx"/>
    <hyperlink ref="F142" r:id="rId203" display="\\165.213.107.10\share\K-IFRS반영한경영정보시스템고도화\02. 개발산출물\03. 설계(DE)\02. 경영정보 기능개선(ME)\ME-DE007-페이지레이아웃\03. 급여\ME-DE007-페이지레이아웃(PMA110AA)-v0.1.docx"/>
    <hyperlink ref="S142" r:id="rId204"/>
    <hyperlink ref="K143" r:id="rId205" display="\\165.213.107.10\share\K-IFRS반영한경영정보시스템고도화\02. 개발산출물\03. 설계(DE)\02. 경영정보 기능개선(ME)\ME-DE009-보고서레이아웃\03. 급여\ME-DE009-보고서레이아웃(PMA110AA)-v0.1.docx"/>
    <hyperlink ref="E143" r:id="rId206" display="\\165.213.107.10\share\K-IFRS반영한경영정보시스템고도화\02. 개발산출물\03. 설계(DE)\02. 경영정보 기능개선(ME)\ME-DE005-프로그램사양서\03. 급여\ME-DE005-프로그램사양서(PMA110AA)-v0.1.docx"/>
    <hyperlink ref="F143" r:id="rId207" display="\\165.213.107.10\share\K-IFRS반영한경영정보시스템고도화\02. 개발산출물\03. 설계(DE)\02. 경영정보 기능개선(ME)\ME-DE007-페이지레이아웃\03. 급여\ME-DE007-페이지레이아웃(PMA110AA)-v0.1.docx"/>
    <hyperlink ref="S143" r:id="rId208"/>
    <hyperlink ref="K144" r:id="rId209" display="\\165.213.107.10\share\K-IFRS반영한경영정보시스템고도화\02. 개발산출물\03. 설계(DE)\02. 경영정보 기능개선(ME)\ME-DE009-보고서레이아웃\03. 급여\ME-DE009-보고서레이아웃(PMA110AA)-v0.1.docx"/>
    <hyperlink ref="E144" r:id="rId210" display="\\165.213.107.10\share\K-IFRS반영한경영정보시스템고도화\02. 개발산출물\03. 설계(DE)\02. 경영정보 기능개선(ME)\ME-DE005-프로그램사양서\03. 급여\ME-DE005-프로그램사양서(PMA110AA)-v0.1.docx"/>
    <hyperlink ref="F144" r:id="rId211" display="\\165.213.107.10\share\K-IFRS반영한경영정보시스템고도화\02. 개발산출물\03. 설계(DE)\02. 경영정보 기능개선(ME)\ME-DE007-페이지레이아웃\03. 급여\ME-DE007-페이지레이아웃(PMA110AA)-v0.1.docx"/>
    <hyperlink ref="S144" r:id="rId212"/>
    <hyperlink ref="K145" r:id="rId213" display="\\165.213.107.10\share\K-IFRS반영한경영정보시스템고도화\02. 개발산출물\03. 설계(DE)\02. 경영정보 기능개선(ME)\ME-DE009-보고서레이아웃\03. 급여\ME-DE009-보고서레이아웃(PMA110AA)-v0.1.docx"/>
    <hyperlink ref="E145" r:id="rId214" display="\\165.213.107.10\share\K-IFRS반영한경영정보시스템고도화\02. 개발산출물\03. 설계(DE)\02. 경영정보 기능개선(ME)\ME-DE005-프로그램사양서\03. 급여\ME-DE005-프로그램사양서(PMA110AA)-v0.1.docx"/>
    <hyperlink ref="F145" r:id="rId215" display="\\165.213.107.10\share\K-IFRS반영한경영정보시스템고도화\02. 개발산출물\03. 설계(DE)\02. 경영정보 기능개선(ME)\ME-DE007-페이지레이아웃\03. 급여\ME-DE007-페이지레이아웃(PMA110AA)-v0.1.docx"/>
    <hyperlink ref="S145" r:id="rId216"/>
    <hyperlink ref="E136" r:id="rId217" display="\\165.213.107.10\share\K-IFRS반영한경영정보시스템고도화\02. 개발산출물\03. 설계(DE)\02. 경영정보 기능개선(ME)\ME-DE005-프로그램사양서\03. 급여\ME-DE005-프로그램사양서(PMA500AA)-v0.1.docx"/>
    <hyperlink ref="F136" r:id="rId218" display="\\165.213.107.10\share\K-IFRS반영한경영정보시스템고도화\02. 개발산출물\03. 설계(DE)\02. 경영정보 기능개선(ME)\ME-DE007-페이지레이아웃\03. 급여\ME-DE007-페이지레이아웃(PMA500AA)-v0.1.docx"/>
    <hyperlink ref="S133" r:id="rId219"/>
    <hyperlink ref="K136" r:id="rId220" display="\\165.213.107.10\share\K-IFRS반영한경영정보시스템고도화\02. 개발산출물\03. 설계(DE)\02. 경영정보 기능개선(ME)\ME-DE009-보고서레이아웃\03. 급여\ME-DE009-보고서레이아웃(PMA500AA)-v0.1.docx"/>
    <hyperlink ref="K129" r:id="rId221" display="\\165.213.107.10\share\K-IFRS반영한경영정보시스템고도화\02. 개발산출물\03. 설계(DE)\02. 경영정보 기능개선(ME)\ME-DE009-보고서레이아웃\03. 급여\ME-DE009-보고서레이아웃(PMA110AA)-v0.1.docx"/>
    <hyperlink ref="E129" r:id="rId222" display="\\165.213.107.10\share\K-IFRS반영한경영정보시스템고도화\02. 개발산출물\03. 설계(DE)\02. 경영정보 기능개선(ME)\ME-DE005-프로그램사양서\03. 급여\ME-DE005-프로그램사양서(PMA110AA)-v0.1.docx"/>
    <hyperlink ref="F129" r:id="rId223" display="\\165.213.107.10\share\K-IFRS반영한경영정보시스템고도화\02. 개발산출물\03. 설계(DE)\02. 경영정보 기능개선(ME)\ME-DE007-페이지레이아웃\03. 급여\ME-DE007-페이지레이아웃(PMA110AA)-v0.1.docx"/>
    <hyperlink ref="S134" r:id="rId224"/>
    <hyperlink ref="K126" r:id="rId225" display="\\165.213.107.10\share\K-IFRS반영한경영정보시스템고도화\02. 개발산출물\03. 설계(DE)\02. 경영정보 기능개선(ME)\ME-DE009-보고서레이아웃\03. 급여\ME-DE009-보고서레이아웃(PMC270AA)-v0.1.docx"/>
    <hyperlink ref="E126" r:id="rId226" display="\\165.213.107.10\share\K-IFRS반영한경영정보시스템고도화\02. 개발산출물\03. 설계(DE)\02. 경영정보 기능개선(ME)\ME-DE005-프로그램사양서\03. 급여\ME-DE005-프로그램사양서(PMC270AA)-v0.1.docx"/>
    <hyperlink ref="F126" r:id="rId227" display="\\165.213.107.10\share\K-IFRS반영한경영정보시스템고도화\02. 개발산출물\03. 설계(DE)\02. 경영정보 기능개선(ME)\ME-DE007-페이지레이아웃\03. 급여\ME-DE007-페이지레이아웃(PMC270AA)-v0.1.docx"/>
    <hyperlink ref="K128" r:id="rId228" display="\\165.213.107.10\share\K-IFRS반영한경영정보시스템고도화\02. 개발산출물\03. 설계(DE)\02. 경영정보 기능개선(ME)\ME-DE009-보고서레이아웃\03. 급여\ME-DE009-보고서레이아웃(PMA110AA)-v0.1.docx"/>
    <hyperlink ref="E128" r:id="rId229" display="\\165.213.107.10\share\K-IFRS반영한경영정보시스템고도화\02. 개발산출물\03. 설계(DE)\02. 경영정보 기능개선(ME)\ME-DE005-프로그램사양서\03. 급여\ME-DE005-프로그램사양서(PMA110AA)-v0.1.docx"/>
    <hyperlink ref="F128" r:id="rId230" display="\\165.213.107.10\share\K-IFRS반영한경영정보시스템고도화\02. 개발산출물\03. 설계(DE)\02. 경영정보 기능개선(ME)\ME-DE007-페이지레이아웃\03. 급여\ME-DE007-페이지레이아웃(PMA110AA)-v0.1.docx"/>
    <hyperlink ref="K125" r:id="rId231" display="\\165.213.107.10\share\K-IFRS반영한경영정보시스템고도화\02. 개발산출물\03. 설계(DE)\02. 경영정보 기능개선(ME)\ME-DE009-보고서레이아웃\03. 급여\ME-DE009-보고서레이아웃(PMC050AS)-v0.1.docx"/>
    <hyperlink ref="E125" r:id="rId232" display="\\165.213.107.10\share\K-IFRS반영한경영정보시스템고도화\02. 개발산출물\03. 설계(DE)\02. 경영정보 기능개선(ME)\ME-DE005-프로그램사양서\03. 급여\ME-DE005-프로그램사양서(PMC050AS)-v0.1.docx"/>
    <hyperlink ref="F125" r:id="rId233" display="\\165.213.107.10\share\K-IFRS반영한경영정보시스템고도화\02. 개발산출물\03. 설계(DE)\02. 경영정보 기능개선(ME)\ME-DE007-페이지레이아웃\03. 급여\ME-DE007-페이지레이아웃(PMC050AS)-v0.1.docx"/>
    <hyperlink ref="K127" r:id="rId234" display="\\165.213.107.10\share\K-IFRS반영한경영정보시스템고도화\02. 개발산출물\03. 설계(DE)\02. 경영정보 기능개선(ME)\ME-DE009-보고서레이아웃\03. 급여\ME-DE009-보고서레이아웃(PMA440AS)-v0.1.docx"/>
    <hyperlink ref="E127" r:id="rId235" display="\\165.213.107.10\share\K-IFRS반영한경영정보시스템고도화\02. 개발산출물\03. 설계(DE)\02. 경영정보 기능개선(ME)\ME-DE005-프로그램사양서\03. 급여\ME-DE005-프로그램사양서(PMA440AS)-v0.1.docx"/>
    <hyperlink ref="F127" r:id="rId236" display="\\165.213.107.10\share\K-IFRS반영한경영정보시스템고도화\02. 개발산출물\03. 설계(DE)\02. 경영정보 기능개선(ME)\ME-DE007-페이지레이아웃\03. 급여\ME-DE007-페이지레이아웃(PMA440AS)-v0.1.docx"/>
    <hyperlink ref="R128" r:id="rId237"/>
    <hyperlink ref="K123" r:id="rId238" display="\\165.213.107.10\share\K-IFRS반영한경영정보시스템고도화\02. 개발산출물\03. 설계(DE)\02. 경영정보 기능개선(ME)\ME-DE009-보고서레이아웃\03. 급여\ME-DE009-보고서레이아웃(PMA260AS_x000a_PMA265AS)-v0.1.docx"/>
    <hyperlink ref="E123" r:id="rId239" display="\\165.213.107.10\share\K-IFRS반영한경영정보시스템고도화\02. 개발산출물\03. 설계(DE)\02. 경영정보 기능개선(ME)\ME-DE005-프로그램사양서\03. 급여\ME-DE005-프로그램사양서(PMA260AS_x000a_PMA265AS)-v0.1.docx"/>
    <hyperlink ref="F123" r:id="rId240" display="\\165.213.107.10\share\K-IFRS반영한경영정보시스템고도화\02. 개발산출물\03. 설계(DE)\02. 경영정보 기능개선(ME)\ME-DE007-페이지레이아웃\03. 급여\ME-DE007-페이지레이아웃(PMA260AS_x000a_PMA265AS)-v0.1.docx"/>
    <hyperlink ref="K124" r:id="rId241" display="\\165.213.107.10\share\K-IFRS반영한경영정보시스템고도화\02. 개발산출물\03. 설계(DE)\02. 경영정보 기능개선(ME)\ME-DE009-보고서레이아웃\02. 인사\ME-DE009-보고서레이아웃(-)-v0.1.docx"/>
    <hyperlink ref="E124" r:id="rId242" display="\\165.213.107.10\share\K-IFRS반영한경영정보시스템고도화\02. 개발산출물\03. 설계(DE)\02. 경영정보 기능개선(ME)\ME-DE005-프로그램사양서\02. 인사\ME-DE005-프로그램사양서(-)-v0.1.docx"/>
    <hyperlink ref="F124" r:id="rId243" display="\\165.213.107.10\share\K-IFRS반영한경영정보시스템고도화\02. 개발산출물\03. 설계(DE)\02. 경영정보 기능개선(ME)\ME-DE007-페이지레이아웃\02. 인사\ME-DE007-페이지레이아웃(-)-v0.1.docx"/>
    <hyperlink ref="K118" r:id="rId244" display="\\165.213.107.10\share\K-IFRS반영한경영정보시스템고도화\02. 개발산출물\03. 설계(DE)\02. 경영정보 기능개선(ME)\ME-DE009-보고서레이아웃\03. 급여\ME-DE009-보고서레이아웃(PMA600AA)-v0.1.docx"/>
    <hyperlink ref="E118" r:id="rId245" display="\\165.213.107.10\share\K-IFRS반영한경영정보시스템고도화\02. 개발산출물\03. 설계(DE)\02. 경영정보 기능개선(ME)\ME-DE005-프로그램사양서\03. 급여\ME-DE005-프로그램사양서(PMA600AA)-v0.1.docx"/>
    <hyperlink ref="F118" r:id="rId246" display="\\165.213.107.10\share\K-IFRS반영한경영정보시스템고도화\02. 개발산출물\03. 설계(DE)\02. 경영정보 기능개선(ME)\ME-DE007-페이지레이아웃\03. 급여\ME-DE007-페이지레이아웃(PMA600AA)-v0.1.docx"/>
    <hyperlink ref="K116" r:id="rId247" display="\\165.213.107.10\share\K-IFRS반영한경영정보시스템고도화\02. 개발산출물\03. 설계(DE)\02. 경영정보 기능개선(ME)\ME-DE009-보고서레이아웃\03. 급여\ME-DE009-보고서레이아웃(PMA610AA)-v0.1.docx"/>
    <hyperlink ref="E116" r:id="rId248" display="\\165.213.107.10\share\K-IFRS반영한경영정보시스템고도화\02. 개발산출물\03. 설계(DE)\02. 경영정보 기능개선(ME)\ME-DE005-프로그램사양서\03. 급여\ME-DE005-프로그램사양서(PMA610AA)-v0.1.docx"/>
    <hyperlink ref="F116" r:id="rId249" display="\\165.213.107.10\share\K-IFRS반영한경영정보시스템고도화\02. 개발산출물\03. 설계(DE)\02. 경영정보 기능개선(ME)\ME-DE007-페이지레이아웃\03. 급여\ME-DE007-페이지레이아웃(PMA610AA)-v0.1.docx"/>
    <hyperlink ref="K117" r:id="rId250" display="\\165.213.107.10\share\K-IFRS반영한경영정보시스템고도화\02. 개발산출물\03. 설계(DE)\02. 경영정보 기능개선(ME)\ME-DE009-보고서레이아웃\03. 급여\ME-DE009-보고서레이아웃(PMA600AA)-v0.1.docx"/>
    <hyperlink ref="E117" r:id="rId251" display="\\165.213.107.10\share\K-IFRS반영한경영정보시스템고도화\02. 개발산출물\03. 설계(DE)\02. 경영정보 기능개선(ME)\ME-DE005-프로그램사양서\03. 급여\ME-DE005-프로그램사양서(PMA600AA)-v0.1.docx"/>
    <hyperlink ref="F117" r:id="rId252" display="\\165.213.107.10\share\K-IFRS반영한경영정보시스템고도화\02. 개발산출물\03. 설계(DE)\02. 경영정보 기능개선(ME)\ME-DE007-페이지레이아웃\03. 급여\ME-DE007-페이지레이아웃(PMA600AA)-v0.1.docx"/>
    <hyperlink ref="K119" r:id="rId253" display="\\165.213.107.10\share\K-IFRS반영한경영정보시스템고도화\02. 개발산출물\03. 설계(DE)\02. 경영정보 기능개선(ME)\ME-DE009-보고서레이아웃\03. 급여\ME-DE009-보고서레이아웃(PMA600AA)-v0.1.docx"/>
    <hyperlink ref="E119" r:id="rId254" display="\\165.213.107.10\share\K-IFRS반영한경영정보시스템고도화\02. 개발산출물\03. 설계(DE)\02. 경영정보 기능개선(ME)\ME-DE005-프로그램사양서\03. 급여\ME-DE005-프로그램사양서(PMA600AA)-v0.1.docx"/>
    <hyperlink ref="F119" r:id="rId255" display="\\165.213.107.10\share\K-IFRS반영한경영정보시스템고도화\02. 개발산출물\03. 설계(DE)\02. 경영정보 기능개선(ME)\ME-DE007-페이지레이아웃\03. 급여\ME-DE007-페이지레이아웃(PMA600AA)-v0.1.docx"/>
    <hyperlink ref="K120" r:id="rId256" display="\\165.213.107.10\share\K-IFRS반영한경영정보시스템고도화\02. 개발산출물\03. 설계(DE)\02. 경영정보 기능개선(ME)\ME-DE009-보고서레이아웃\03. 급여\ME-DE009-보고서레이아웃(PMA600AA)-v0.1.docx"/>
    <hyperlink ref="E120" r:id="rId257" display="\\165.213.107.10\share\K-IFRS반영한경영정보시스템고도화\02. 개발산출물\03. 설계(DE)\02. 경영정보 기능개선(ME)\ME-DE005-프로그램사양서\03. 급여\ME-DE005-프로그램사양서(PMA600AA)-v0.1.docx"/>
    <hyperlink ref="F120" r:id="rId258" display="\\165.213.107.10\share\K-IFRS반영한경영정보시스템고도화\02. 개발산출물\03. 설계(DE)\02. 경영정보 기능개선(ME)\ME-DE007-페이지레이아웃\03. 급여\ME-DE007-페이지레이아웃(PMA600AA)-v0.1.docx"/>
    <hyperlink ref="K113" r:id="rId259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E113" r:id="rId260" display="\\165.213.107.10\share\K-IFRS반영한경영정보시스템고도화\02. 개발산출물\03. 설계(DE)\02. 경영정보 기능개선(ME)\ME-DE005-프로그램사양서\03. 급여\ME-DE005-프로그램사양서(PMA610AA)-v0.1.docx"/>
    <hyperlink ref="F113" r:id="rId261" display="\\165.213.107.10\share\K-IFRS반영한경영정보시스템고도화\02. 개발산출물\03. 설계(DE)\02. 경영정보 기능개선(ME)\ME-DE007-페이지레이아웃\03. 급여\ME-DE007-페이지레이아웃(PMA610AA)-v0.1.docx"/>
    <hyperlink ref="S113" r:id="rId262"/>
    <hyperlink ref="S124" r:id="rId263"/>
    <hyperlink ref="S157" r:id="rId264"/>
    <hyperlink ref="S118" r:id="rId265"/>
    <hyperlink ref="S119" r:id="rId266"/>
    <hyperlink ref="S120" r:id="rId267"/>
    <hyperlink ref="K112" r:id="rId268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E112" r:id="rId269" display="\\165.213.107.10\share\K-IFRS반영한경영정보시스템고도화\02. 개발산출물\03. 설계(DE)\02. 경영정보 기능개선(ME)\ME-DE005-프로그램사양서\03. 급여\ME-DE005-프로그램사양서(PMA610AA)-v0.1.docx"/>
    <hyperlink ref="F112" r:id="rId270" display="\\165.213.107.10\share\K-IFRS반영한경영정보시스템고도화\02. 개발산출물\03. 설계(DE)\02. 경영정보 기능개선(ME)\ME-DE007-페이지레이아웃\03. 급여\ME-DE007-페이지레이아웃(PMA610AA)-v0.1.docx"/>
    <hyperlink ref="S112" r:id="rId271"/>
    <hyperlink ref="K114" r:id="rId272" display="\\165.213.107.10\share\K-IFRS반영한경영정보시스템고도화\02. 개발산출물\03. 설계(DE)\02. 경영정보 기능개선(ME)\ME-DE009-보고서레이아웃\03. 급여\ME-DE009-보고서레이아웃(PMA620AA)-v0.1.docx"/>
    <hyperlink ref="E114" r:id="rId273" display="\\165.213.107.10\share\K-IFRS반영한경영정보시스템고도화\02. 개발산출물\03. 설계(DE)\02. 경영정보 기능개선(ME)\ME-DE005-프로그램사양서\03. 급여\ME-DE005-프로그램사양서(PMA620AA)-v0.1.docx"/>
    <hyperlink ref="F114" r:id="rId274" display="\\165.213.107.10\share\K-IFRS반영한경영정보시스템고도화\02. 개발산출물\03. 설계(DE)\02. 경영정보 기능개선(ME)\ME-DE007-페이지레이아웃\03. 급여\ME-DE007-페이지레이아웃(PMA620AA)-v0.1.docx"/>
    <hyperlink ref="K115" r:id="rId275" display="\\165.213.107.10\share\K-IFRS반영한경영정보시스템고도화\02. 개발산출물\03. 설계(DE)\02. 경영정보 기능개선(ME)\ME-DE009-보고서레이아웃\03. 급여\ME-DE009-보고서레이아웃(PMA620AA)-v0.1.docx"/>
    <hyperlink ref="E115" r:id="rId276" display="\\165.213.107.10\share\K-IFRS반영한경영정보시스템고도화\02. 개발산출물\03. 설계(DE)\02. 경영정보 기능개선(ME)\ME-DE005-프로그램사양서\03. 급여\ME-DE005-프로그램사양서(PMA620AA)-v0.1.docx"/>
    <hyperlink ref="F115" r:id="rId277" display="\\165.213.107.10\share\K-IFRS반영한경영정보시스템고도화\02. 개발산출물\03. 설계(DE)\02. 경영정보 기능개선(ME)\ME-DE007-페이지레이아웃\03. 급여\ME-DE007-페이지레이아웃(PMA620AA)-v0.1.docx"/>
    <hyperlink ref="S115" r:id="rId278"/>
    <hyperlink ref="K111" r:id="rId279" display="\\165.213.107.10\share\K-IFRS반영한경영정보시스템고도화\02. 개발산출물\03. 설계(DE)\02. 경영정보 기능개선(ME)\ME-DE009-보고서레이아웃\03. 급여\ME-DE009-보고서레이아웃(PMA630AA)-v0.1.docx"/>
    <hyperlink ref="E111" r:id="rId280" display="\\165.213.107.10\share\K-IFRS반영한경영정보시스템고도화\02. 개발산출물\03. 설계(DE)\02. 경영정보 기능개선(ME)\ME-DE005-프로그램사양서\03. 급여\ME-DE005-프로그램사양서(PMA630AA)-v0.1.docx"/>
    <hyperlink ref="F111" r:id="rId281" display="\\165.213.107.10\share\K-IFRS반영한경영정보시스템고도화\02. 개발산출물\03. 설계(DE)\02. 경영정보 기능개선(ME)\ME-DE007-페이지레이아웃\03. 급여\ME-DE007-페이지레이아웃(PMA630AA)-v0.1.docx"/>
    <hyperlink ref="S111" r:id="rId282"/>
    <hyperlink ref="K110" r:id="rId283" display="\\165.213.107.10\share\K-IFRS반영한경영정보시스템고도화\02. 개발산출물\03. 설계(DE)\02. 경영정보 기능개선(ME)\ME-DE009-보고서레이아웃\03. 급여\ME-DE009-보고서레이아웃(PMA630AA)-v0.1.docx"/>
    <hyperlink ref="E110" r:id="rId284" display="\\165.213.107.10\share\K-IFRS반영한경영정보시스템고도화\02. 개발산출물\03. 설계(DE)\02. 경영정보 기능개선(ME)\ME-DE005-프로그램사양서\03. 급여\ME-DE005-프로그램사양서(PMA630AA)-v0.1.docx"/>
    <hyperlink ref="F110" r:id="rId285" display="\\165.213.107.10\share\K-IFRS반영한경영정보시스템고도화\02. 개발산출물\03. 설계(DE)\02. 경영정보 기능개선(ME)\ME-DE007-페이지레이아웃\03. 급여\ME-DE007-페이지레이아웃(PMA630AA)-v0.1.docx"/>
    <hyperlink ref="K97" r:id="rId286" display="\\165.213.107.10\share\K-IFRS반영한경영정보시스템고도화\02. 개발산출물\03. 설계(DE)\02. 경영정보 기능개선(ME)\ME-DE009-보고서레이아웃\03. 급여\ME-DE009-보고서레이아웃(PMA620AA)-v0.1.docx"/>
    <hyperlink ref="E97" r:id="rId287" display="\\165.213.107.10\share\K-IFRS반영한경영정보시스템고도화\02. 개발산출물\03. 설계(DE)\02. 경영정보 기능개선(ME)\ME-DE005-프로그램사양서\03. 급여\ME-DE005-프로그램사양서(PMA620AA)-v0.1.docx"/>
    <hyperlink ref="F97" r:id="rId288" display="\\165.213.107.10\share\K-IFRS반영한경영정보시스템고도화\02. 개발산출물\03. 설계(DE)\02. 경영정보 기능개선(ME)\ME-DE007-페이지레이아웃\03. 급여\ME-DE007-페이지레이아웃(PMA620AA)-v0.1.docx"/>
    <hyperlink ref="S97" r:id="rId289"/>
    <hyperlink ref="S155" r:id="rId290"/>
    <hyperlink ref="K85" r:id="rId291" display="\\165.213.107.10\share\K-IFRS반영한경영정보시스템고도화\02. 개발산출물\03. 설계(DE)\02. 경영정보 기능개선(ME)\ME-DE009-보고서레이아웃\03. 급여\ME-DE009-보고서레이아웃(PMA620AA)-v0.1.docx"/>
    <hyperlink ref="E85" r:id="rId292" display="\\165.213.107.10\share\K-IFRS반영한경영정보시스템고도화\02. 개발산출물\03. 설계(DE)\02. 경영정보 기능개선(ME)\ME-DE005-프로그램사양서\03. 급여\ME-DE005-프로그램사양서(PMA620AA)-v0.1.docx"/>
    <hyperlink ref="F85" r:id="rId293" display="\\165.213.107.10\share\K-IFRS반영한경영정보시스템고도화\02. 개발산출물\03. 설계(DE)\02. 경영정보 기능개선(ME)\ME-DE007-페이지레이아웃\03. 급여\ME-DE007-페이지레이아웃(PMA620AA)-v0.1.docx"/>
    <hyperlink ref="S85" r:id="rId294"/>
    <hyperlink ref="K108" r:id="rId295" display="\\165.213.107.10\share\K-IFRS반영한경영정보시스템고도화\02. 개발산출물\03. 설계(DE)\02. 경영정보 기능개선(ME)\ME-DE009-보고서레이아웃\03. 급여\ME-DE009-보고서레이아웃(PMA620AA)-v0.1.docx"/>
    <hyperlink ref="E108" r:id="rId296" display="\\165.213.107.10\share\K-IFRS반영한경영정보시스템고도화\02. 개발산출물\03. 설계(DE)\02. 경영정보 기능개선(ME)\ME-DE005-프로그램사양서\03. 급여\ME-DE005-프로그램사양서(PMA620AA)-v0.1.docx"/>
    <hyperlink ref="F108" r:id="rId297" display="\\165.213.107.10\share\K-IFRS반영한경영정보시스템고도화\02. 개발산출물\03. 설계(DE)\02. 경영정보 기능개선(ME)\ME-DE007-페이지레이아웃\03. 급여\ME-DE007-페이지레이아웃(PMA620AA)-v0.1.docx"/>
    <hyperlink ref="S108" r:id="rId298"/>
    <hyperlink ref="K107" r:id="rId299" display="\\165.213.107.10\share\K-IFRS반영한경영정보시스템고도화\02. 개발산출물\03. 설계(DE)\02. 경영정보 기능개선(ME)\ME-DE009-보고서레이아웃\03. 급여\ME-DE009-보고서레이아웃(PMA620AA)-v0.1.docx"/>
    <hyperlink ref="E107" r:id="rId300" display="\\165.213.107.10\share\K-IFRS반영한경영정보시스템고도화\02. 개발산출물\03. 설계(DE)\02. 경영정보 기능개선(ME)\ME-DE005-프로그램사양서\03. 급여\ME-DE005-프로그램사양서(PMA620AA)-v0.1.docx"/>
    <hyperlink ref="F107" r:id="rId301" display="\\165.213.107.10\share\K-IFRS반영한경영정보시스템고도화\02. 개발산출물\03. 설계(DE)\02. 경영정보 기능개선(ME)\ME-DE007-페이지레이아웃\03. 급여\ME-DE007-페이지레이아웃(PMA620AA)-v0.1.docx"/>
    <hyperlink ref="S107" r:id="rId302"/>
    <hyperlink ref="K86" r:id="rId303" display="\\165.213.107.10\share\K-IFRS반영한경영정보시스템고도화\02. 개발산출물\03. 설계(DE)\02. 경영정보 기능개선(ME)\ME-DE009-보고서레이아웃\03. 급여\ME-DE009-보고서레이아웃(PMA620AA)-v0.1.docx"/>
    <hyperlink ref="E86" r:id="rId304" display="\\165.213.107.10\share\K-IFRS반영한경영정보시스템고도화\02. 개발산출물\03. 설계(DE)\02. 경영정보 기능개선(ME)\ME-DE005-프로그램사양서\03. 급여\ME-DE005-프로그램사양서(PMA620AA)-v0.1.docx"/>
    <hyperlink ref="F86" r:id="rId305" display="\\165.213.107.10\share\K-IFRS반영한경영정보시스템고도화\02. 개발산출물\03. 설계(DE)\02. 경영정보 기능개선(ME)\ME-DE007-페이지레이아웃\03. 급여\ME-DE007-페이지레이아웃(PMA620AA)-v0.1.docx"/>
    <hyperlink ref="S86" r:id="rId306"/>
    <hyperlink ref="K89" r:id="rId307" display="\\165.213.107.10\share\K-IFRS반영한경영정보시스템고도화\02. 개발산출물\03. 설계(DE)\02. 경영정보 기능개선(ME)\ME-DE009-보고서레이아웃\03. 급여\ME-DE009-보고서레이아웃(PMA600AA)-v0.1.docx"/>
    <hyperlink ref="E89" r:id="rId308" display="\\165.213.107.10\share\K-IFRS반영한경영정보시스템고도화\02. 개발산출물\03. 설계(DE)\02. 경영정보 기능개선(ME)\ME-DE005-프로그램사양서\03. 급여\ME-DE005-프로그램사양서(PMA600AA)-v0.1.docx"/>
    <hyperlink ref="F89" r:id="rId309" display="\\165.213.107.10\share\K-IFRS반영한경영정보시스템고도화\02. 개발산출물\03. 설계(DE)\02. 경영정보 기능개선(ME)\ME-DE007-페이지레이아웃\03. 급여\ME-DE007-페이지레이아웃(PMA600AA)-v0.1.docx"/>
    <hyperlink ref="S89" r:id="rId310"/>
    <hyperlink ref="K93" r:id="rId311" display="\\165.213.107.10\share\K-IFRS반영한경영정보시스템고도화\02. 개발산출물\03. 설계(DE)\02. 경영정보 기능개선(ME)\ME-DE009-보고서레이아웃\03. 급여\ME-DE009-보고서레이아웃(PMA620AA)-v0.1.docx"/>
    <hyperlink ref="E93" r:id="rId312" display="\\165.213.107.10\share\K-IFRS반영한경영정보시스템고도화\02. 개발산출물\03. 설계(DE)\02. 경영정보 기능개선(ME)\ME-DE005-프로그램사양서\03. 급여\ME-DE005-프로그램사양서(PMA620AA)-v0.1.docx"/>
    <hyperlink ref="F93" r:id="rId313" display="\\165.213.107.10\share\K-IFRS반영한경영정보시스템고도화\02. 개발산출물\03. 설계(DE)\02. 경영정보 기능개선(ME)\ME-DE007-페이지레이아웃\03. 급여\ME-DE007-페이지레이아웃(PMA620AA)-v0.1.docx"/>
    <hyperlink ref="S93" r:id="rId314"/>
    <hyperlink ref="K106" r:id="rId315" display="\\165.213.107.10\share\K-IFRS반영한경영정보시스템고도화\02. 개발산출물\03. 설계(DE)\02. 경영정보 기능개선(ME)\ME-DE009-보고서레이아웃\03. 급여\ME-DE009-보고서레이아웃(PMA620AA)-v0.1.docx"/>
    <hyperlink ref="E106" r:id="rId316" display="\\165.213.107.10\share\K-IFRS반영한경영정보시스템고도화\02. 개발산출물\03. 설계(DE)\02. 경영정보 기능개선(ME)\ME-DE005-프로그램사양서\03. 급여\ME-DE005-프로그램사양서(PMA620AA)-v0.1.docx"/>
    <hyperlink ref="F106" r:id="rId317" display="\\165.213.107.10\share\K-IFRS반영한경영정보시스템고도화\02. 개발산출물\03. 설계(DE)\02. 경영정보 기능개선(ME)\ME-DE007-페이지레이아웃\03. 급여\ME-DE007-페이지레이아웃(PMA620AA)-v0.1.docx"/>
    <hyperlink ref="S106" r:id="rId318" display="SP_PMA110AA_01_JI15_NEW.prc"/>
    <hyperlink ref="K95" r:id="rId319" display="\\165.213.107.10\share\K-IFRS반영한경영정보시스템고도화\02. 개발산출물\03. 설계(DE)\02. 경영정보 기능개선(ME)\ME-DE009-보고서레이아웃\03. 급여\ME-DE009-보고서레이아웃(PMA620AA)-v0.1.docx"/>
    <hyperlink ref="E95" r:id="rId320" display="\\165.213.107.10\share\K-IFRS반영한경영정보시스템고도화\02. 개발산출물\03. 설계(DE)\02. 경영정보 기능개선(ME)\ME-DE005-프로그램사양서\03. 급여\ME-DE005-프로그램사양서(PMA620AA)-v0.1.docx"/>
    <hyperlink ref="F95" r:id="rId321" display="\\165.213.107.10\share\K-IFRS반영한경영정보시스템고도화\02. 개발산출물\03. 설계(DE)\02. 경영정보 기능개선(ME)\ME-DE007-페이지레이아웃\03. 급여\ME-DE007-페이지레이아웃(PMA620AA)-v0.1.docx"/>
    <hyperlink ref="K91" r:id="rId322" display="\\165.213.107.10\share\K-IFRS반영한경영정보시스템고도화\02. 개발산출물\03. 설계(DE)\02. 경영정보 기능개선(ME)\ME-DE009-보고서레이아웃\03. 급여\ME-DE009-보고서레이아웃(PMA620AA)-v0.1.docx"/>
    <hyperlink ref="E91" r:id="rId323" display="\\165.213.107.10\share\K-IFRS반영한경영정보시스템고도화\02. 개발산출물\03. 설계(DE)\02. 경영정보 기능개선(ME)\ME-DE005-프로그램사양서\03. 급여\ME-DE005-프로그램사양서(PMA620AA)-v0.1.docx"/>
    <hyperlink ref="F91" r:id="rId324" display="\\165.213.107.10\share\K-IFRS반영한경영정보시스템고도화\02. 개발산출물\03. 설계(DE)\02. 경영정보 기능개선(ME)\ME-DE007-페이지레이아웃\03. 급여\ME-DE007-페이지레이아웃(PMA620AA)-v0.1.docx"/>
    <hyperlink ref="S91" r:id="rId325"/>
    <hyperlink ref="K96" r:id="rId326" display="\\165.213.107.10\share\K-IFRS반영한경영정보시스템고도화\02. 개발산출물\03. 설계(DE)\02. 경영정보 기능개선(ME)\ME-DE009-보고서레이아웃\03. 급여\ME-DE009-보고서레이아웃(PMA620AA)-v0.1.docx"/>
    <hyperlink ref="E96" r:id="rId327" display="\\165.213.107.10\share\K-IFRS반영한경영정보시스템고도화\02. 개발산출물\03. 설계(DE)\02. 경영정보 기능개선(ME)\ME-DE005-프로그램사양서\03. 급여\ME-DE005-프로그램사양서(PMA620AA)-v0.1.docx"/>
    <hyperlink ref="F96" r:id="rId328" display="\\165.213.107.10\share\K-IFRS반영한경영정보시스템고도화\02. 개발산출물\03. 설계(DE)\02. 경영정보 기능개선(ME)\ME-DE007-페이지레이아웃\03. 급여\ME-DE007-페이지레이아웃(PMA620AA)-v0.1.docx"/>
    <hyperlink ref="K92" r:id="rId329" display="\\165.213.107.10\share\K-IFRS반영한경영정보시스템고도화\02. 개발산출물\03. 설계(DE)\02. 경영정보 기능개선(ME)\ME-DE009-보고서레이아웃\03. 급여\ME-DE009-보고서레이아웃(PMA620AA)-v0.1.docx"/>
    <hyperlink ref="E92" r:id="rId330" display="\\165.213.107.10\share\K-IFRS반영한경영정보시스템고도화\02. 개발산출물\03. 설계(DE)\02. 경영정보 기능개선(ME)\ME-DE005-프로그램사양서\03. 급여\ME-DE005-프로그램사양서(PMA620AA)-v0.1.docx"/>
    <hyperlink ref="F92" r:id="rId331" display="\\165.213.107.10\share\K-IFRS반영한경영정보시스템고도화\02. 개발산출물\03. 설계(DE)\02. 경영정보 기능개선(ME)\ME-DE007-페이지레이아웃\03. 급여\ME-DE007-페이지레이아웃(PMA620AA)-v0.1.docx"/>
    <hyperlink ref="S96" r:id="rId332"/>
    <hyperlink ref="S95" r:id="rId333"/>
    <hyperlink ref="K99" r:id="rId334" display="\\165.213.107.10\share\K-IFRS반영한경영정보시스템고도화\02. 개발산출물\03. 설계(DE)\02. 경영정보 기능개선(ME)\ME-DE009-보고서레이아웃\03. 급여\ME-DE009-보고서레이아웃(PMA620AA)-v0.1.docx"/>
    <hyperlink ref="E99" r:id="rId335" display="\\165.213.107.10\share\K-IFRS반영한경영정보시스템고도화\02. 개발산출물\03. 설계(DE)\02. 경영정보 기능개선(ME)\ME-DE005-프로그램사양서\03. 급여\ME-DE005-프로그램사양서(PMA620AA)-v0.1.docx"/>
    <hyperlink ref="F99" r:id="rId336" display="\\165.213.107.10\share\K-IFRS반영한경영정보시스템고도화\02. 개발산출물\03. 설계(DE)\02. 경영정보 기능개선(ME)\ME-DE007-페이지레이아웃\03. 급여\ME-DE007-페이지레이아웃(PMA620AA)-v0.1.docx"/>
    <hyperlink ref="S99" r:id="rId337"/>
    <hyperlink ref="K94" r:id="rId338" display="\\165.213.107.10\share\K-IFRS반영한경영정보시스템고도화\02. 개발산출물\03. 설계(DE)\02. 경영정보 기능개선(ME)\ME-DE009-보고서레이아웃\03. 급여\ME-DE009-보고서레이아웃(PMA620AA)-v0.1.docx"/>
    <hyperlink ref="E94" r:id="rId339" display="\\165.213.107.10\share\K-IFRS반영한경영정보시스템고도화\02. 개발산출물\03. 설계(DE)\02. 경영정보 기능개선(ME)\ME-DE005-프로그램사양서\03. 급여\ME-DE005-프로그램사양서(PMA620AA)-v0.1.docx"/>
    <hyperlink ref="F94" r:id="rId340" display="\\165.213.107.10\share\K-IFRS반영한경영정보시스템고도화\02. 개발산출물\03. 설계(DE)\02. 경영정보 기능개선(ME)\ME-DE007-페이지레이아웃\03. 급여\ME-DE007-페이지레이아웃(PMA620AA)-v0.1.docx"/>
    <hyperlink ref="S94" r:id="rId341"/>
    <hyperlink ref="K87" r:id="rId342" display="\\165.213.107.10\share\K-IFRS반영한경영정보시스템고도화\02. 개발산출물\03. 설계(DE)\02. 경영정보 기능개선(ME)\ME-DE009-보고서레이아웃\03. 급여\ME-DE009-보고서레이아웃(PMA620AA)-v0.1.docx"/>
    <hyperlink ref="E87" r:id="rId343" display="\\165.213.107.10\share\K-IFRS반영한경영정보시스템고도화\02. 개발산출물\03. 설계(DE)\02. 경영정보 기능개선(ME)\ME-DE005-프로그램사양서\03. 급여\ME-DE005-프로그램사양서(PMA620AA)-v0.1.docx"/>
    <hyperlink ref="F87" r:id="rId344" display="\\165.213.107.10\share\K-IFRS반영한경영정보시스템고도화\02. 개발산출물\03. 설계(DE)\02. 경영정보 기능개선(ME)\ME-DE007-페이지레이아웃\03. 급여\ME-DE007-페이지레이아웃(PMA620AA)-v0.1.docx"/>
    <hyperlink ref="S87" r:id="rId345"/>
    <hyperlink ref="K78" r:id="rId346" display="\\165.213.107.10\share\K-IFRS반영한경영정보시스템고도화\02. 개발산출물\03. 설계(DE)\02. 경영정보 기능개선(ME)\ME-DE009-보고서레이아웃\03. 급여\ME-DE009-보고서레이아웃(PMA620AA)-v0.1.docx"/>
    <hyperlink ref="E78" r:id="rId347" display="\\165.213.107.10\share\K-IFRS반영한경영정보시스템고도화\02. 개발산출물\03. 설계(DE)\02. 경영정보 기능개선(ME)\ME-DE005-프로그램사양서\03. 급여\ME-DE005-프로그램사양서(PMA620AA)-v0.1.docx"/>
    <hyperlink ref="F78" r:id="rId348" display="\\165.213.107.10\share\K-IFRS반영한경영정보시스템고도화\02. 개발산출물\03. 설계(DE)\02. 경영정보 기능개선(ME)\ME-DE007-페이지레이아웃\03. 급여\ME-DE007-페이지레이아웃(PMA620AA)-v0.1.docx"/>
    <hyperlink ref="S78" r:id="rId349"/>
    <hyperlink ref="K109" r:id="rId350" display="\\165.213.107.10\share\K-IFRS반영한경영정보시스템고도화\02. 개발산출물\03. 설계(DE)\02. 경영정보 기능개선(ME)\ME-DE009-보고서레이아웃\03. 급여\ME-DE009-보고서레이아웃(-)-v0.1.docx"/>
    <hyperlink ref="E109" r:id="rId351" display="\\165.213.107.10\share\K-IFRS반영한경영정보시스템고도화\02. 개발산출물\03. 설계(DE)\02. 경영정보 기능개선(ME)\ME-DE005-프로그램사양서\03. 급여\ME-DE005-프로그램사양서(-)-v0.1.docx"/>
    <hyperlink ref="F109" r:id="rId352" display="\\165.213.107.10\share\K-IFRS반영한경영정보시스템고도화\02. 개발산출물\03. 설계(DE)\02. 경영정보 기능개선(ME)\ME-DE007-페이지레이아웃\03. 급여\ME-DE007-페이지레이아웃(-)-v0.1.docx"/>
    <hyperlink ref="S109" r:id="rId353"/>
    <hyperlink ref="S92" r:id="rId354"/>
    <hyperlink ref="K80" r:id="rId355" display="\\165.213.107.10\share\K-IFRS반영한경영정보시스템고도화\02. 개발산출물\03. 설계(DE)\02. 경영정보 기능개선(ME)\ME-DE009-보고서레이아웃\03. 급여\ME-DE009-보고서레이아웃(PMA110AA)-v0.1.docx"/>
    <hyperlink ref="E80" r:id="rId356" display="\\165.213.107.10\share\K-IFRS반영한경영정보시스템고도화\02. 개발산출물\03. 설계(DE)\02. 경영정보 기능개선(ME)\ME-DE005-프로그램사양서\03. 급여\ME-DE005-프로그램사양서(PMA110AA)-v0.1.docx"/>
    <hyperlink ref="F80" r:id="rId357" display="\\165.213.107.10\share\K-IFRS반영한경영정보시스템고도화\02. 개발산출물\03. 설계(DE)\02. 경영정보 기능개선(ME)\ME-DE007-페이지레이아웃\03. 급여\ME-DE007-페이지레이아웃(PMA110AA)-v0.1.docx"/>
    <hyperlink ref="S80" r:id="rId358"/>
    <hyperlink ref="K79" r:id="rId359" display="\\165.213.107.10\share\K-IFRS반영한경영정보시스템고도화\02. 개발산출물\03. 설계(DE)\02. 경영정보 기능개선(ME)\ME-DE009-보고서레이아웃\03. 급여\ME-DE009-보고서레이아웃(PMA110AA)-v0.1.docx"/>
    <hyperlink ref="E79" r:id="rId360" display="\\165.213.107.10\share\K-IFRS반영한경영정보시스템고도화\02. 개발산출물\03. 설계(DE)\02. 경영정보 기능개선(ME)\ME-DE005-프로그램사양서\03. 급여\ME-DE005-프로그램사양서(PMA110AA)-v0.1.docx"/>
    <hyperlink ref="F79" r:id="rId361" display="\\165.213.107.10\share\K-IFRS반영한경영정보시스템고도화\02. 개발산출물\03. 설계(DE)\02. 경영정보 기능개선(ME)\ME-DE007-페이지레이아웃\03. 급여\ME-DE007-페이지레이아웃(PMA110AA)-v0.1.docx"/>
    <hyperlink ref="S79" r:id="rId362"/>
    <hyperlink ref="K88" r:id="rId363" display="\\165.213.107.10\share\K-IFRS반영한경영정보시스템고도화\02. 개발산출물\03. 설계(DE)\02. 경영정보 기능개선(ME)\ME-DE009-보고서레이아웃\03. 급여\ME-DE009-보고서레이아웃(PMA600AA)-v0.1.docx"/>
    <hyperlink ref="E88" r:id="rId364" display="\\165.213.107.10\share\K-IFRS반영한경영정보시스템고도화\02. 개발산출물\03. 설계(DE)\02. 경영정보 기능개선(ME)\ME-DE005-프로그램사양서\03. 급여\ME-DE005-프로그램사양서(PMA600AA)-v0.1.docx"/>
    <hyperlink ref="F88" r:id="rId365" display="\\165.213.107.10\share\K-IFRS반영한경영정보시스템고도화\02. 개발산출물\03. 설계(DE)\02. 경영정보 기능개선(ME)\ME-DE007-페이지레이아웃\03. 급여\ME-DE007-페이지레이아웃(PMA600AA)-v0.1.docx"/>
    <hyperlink ref="S88" r:id="rId366"/>
    <hyperlink ref="K90" r:id="rId367" display="\\165.213.107.10\share\K-IFRS반영한경영정보시스템고도화\02. 개발산출물\03. 설계(DE)\02. 경영정보 기능개선(ME)\ME-DE009-보고서레이아웃\03. 급여\ME-DE009-보고서레이아웃(PMA600AA)-v0.1.docx"/>
    <hyperlink ref="E90" r:id="rId368" display="\\165.213.107.10\share\K-IFRS반영한경영정보시스템고도화\02. 개발산출물\03. 설계(DE)\02. 경영정보 기능개선(ME)\ME-DE005-프로그램사양서\03. 급여\ME-DE005-프로그램사양서(PMA600AA)-v0.1.docx"/>
    <hyperlink ref="F90" r:id="rId369" display="\\165.213.107.10\share\K-IFRS반영한경영정보시스템고도화\02. 개발산출물\03. 설계(DE)\02. 경영정보 기능개선(ME)\ME-DE007-페이지레이아웃\03. 급여\ME-DE007-페이지레이아웃(PMA600AA)-v0.1.docx"/>
    <hyperlink ref="S90" r:id="rId370"/>
    <hyperlink ref="K98" r:id="rId371" display="\\165.213.107.10\share\K-IFRS반영한경영정보시스템고도화\02. 개발산출물\03. 설계(DE)\02. 경영정보 기능개선(ME)\ME-DE009-보고서레이아웃\03. 급여\ME-DE009-보고서레이아웃(PMA600AA)-v0.1.docx"/>
    <hyperlink ref="E98" r:id="rId372" display="\\165.213.107.10\share\K-IFRS반영한경영정보시스템고도화\02. 개발산출물\03. 설계(DE)\02. 경영정보 기능개선(ME)\ME-DE005-프로그램사양서\03. 급여\ME-DE005-프로그램사양서(PMA600AA)-v0.1.docx"/>
    <hyperlink ref="F98" r:id="rId373" display="\\165.213.107.10\share\K-IFRS반영한경영정보시스템고도화\02. 개발산출물\03. 설계(DE)\02. 경영정보 기능개선(ME)\ME-DE007-페이지레이아웃\03. 급여\ME-DE007-페이지레이아웃(PMA600AA)-v0.1.docx"/>
    <hyperlink ref="S98" r:id="rId374"/>
    <hyperlink ref="K100" r:id="rId375" display="\\165.213.107.10\share\K-IFRS반영한경영정보시스템고도화\02. 개발산출물\03. 설계(DE)\02. 경영정보 기능개선(ME)\ME-DE009-보고서레이아웃\03. 급여\ME-DE009-보고서레이아웃(PMA620AA)-v0.1.docx"/>
    <hyperlink ref="E100" r:id="rId376" display="\\165.213.107.10\share\K-IFRS반영한경영정보시스템고도화\02. 개발산출물\03. 설계(DE)\02. 경영정보 기능개선(ME)\ME-DE005-프로그램사양서\03. 급여\ME-DE005-프로그램사양서(PMA620AA)-v0.1.docx"/>
    <hyperlink ref="F100" r:id="rId377" display="\\165.213.107.10\share\K-IFRS반영한경영정보시스템고도화\02. 개발산출물\03. 설계(DE)\02. 경영정보 기능개선(ME)\ME-DE007-페이지레이아웃\03. 급여\ME-DE007-페이지레이아웃(PMA620AA)-v0.1.docx"/>
    <hyperlink ref="S100" r:id="rId378"/>
    <hyperlink ref="K101" r:id="rId379" display="\\165.213.107.10\share\K-IFRS반영한경영정보시스템고도화\02. 개발산출물\03. 설계(DE)\02. 경영정보 기능개선(ME)\ME-DE009-보고서레이아웃\03. 급여\ME-DE009-보고서레이아웃(PMA110AA)-v0.1.docx"/>
    <hyperlink ref="E101" r:id="rId380" display="\\165.213.107.10\share\K-IFRS반영한경영정보시스템고도화\02. 개발산출물\03. 설계(DE)\02. 경영정보 기능개선(ME)\ME-DE005-프로그램사양서\03. 급여\ME-DE005-프로그램사양서(PMA110AA)-v0.1.docx"/>
    <hyperlink ref="F101" r:id="rId381" display="\\165.213.107.10\share\K-IFRS반영한경영정보시스템고도화\02. 개발산출물\03. 설계(DE)\02. 경영정보 기능개선(ME)\ME-DE007-페이지레이아웃\03. 급여\ME-DE007-페이지레이아웃(PMA110AA)-v0.1.docx"/>
    <hyperlink ref="S101" r:id="rId382"/>
    <hyperlink ref="K102" r:id="rId383" display="\\165.213.107.10\share\K-IFRS반영한경영정보시스템고도화\02. 개발산출물\03. 설계(DE)\02. 경영정보 기능개선(ME)\ME-DE009-보고서레이아웃\03. 급여\ME-DE009-보고서레이아웃(PMA110AA)-v0.1.docx"/>
    <hyperlink ref="E102" r:id="rId384" display="\\165.213.107.10\share\K-IFRS반영한경영정보시스템고도화\02. 개발산출물\03. 설계(DE)\02. 경영정보 기능개선(ME)\ME-DE005-프로그램사양서\03. 급여\ME-DE005-프로그램사양서(PMA110AA)-v0.1.docx"/>
    <hyperlink ref="F102" r:id="rId385" display="\\165.213.107.10\share\K-IFRS반영한경영정보시스템고도화\02. 개발산출물\03. 설계(DE)\02. 경영정보 기능개선(ME)\ME-DE007-페이지레이아웃\03. 급여\ME-DE007-페이지레이아웃(PMA110AA)-v0.1.docx"/>
    <hyperlink ref="S102" r:id="rId386"/>
    <hyperlink ref="K103" r:id="rId387" display="\\165.213.107.10\share\K-IFRS반영한경영정보시스템고도화\02. 개발산출물\03. 설계(DE)\02. 경영정보 기능개선(ME)\ME-DE009-보고서레이아웃\03. 급여\ME-DE009-보고서레이아웃(PMA110AA)-v0.1.docx"/>
    <hyperlink ref="E103" r:id="rId388" display="\\165.213.107.10\share\K-IFRS반영한경영정보시스템고도화\02. 개발산출물\03. 설계(DE)\02. 경영정보 기능개선(ME)\ME-DE005-프로그램사양서\03. 급여\ME-DE005-프로그램사양서(PMA110AA)-v0.1.docx"/>
    <hyperlink ref="F103" r:id="rId389" display="\\165.213.107.10\share\K-IFRS반영한경영정보시스템고도화\02. 개발산출물\03. 설계(DE)\02. 경영정보 기능개선(ME)\ME-DE007-페이지레이아웃\03. 급여\ME-DE007-페이지레이아웃(PMA110AA)-v0.1.docx"/>
    <hyperlink ref="S103" r:id="rId390"/>
    <hyperlink ref="K104" r:id="rId391" display="\\165.213.107.10\share\K-IFRS반영한경영정보시스템고도화\02. 개발산출물\03. 설계(DE)\02. 경영정보 기능개선(ME)\ME-DE009-보고서레이아웃\03. 급여\ME-DE009-보고서레이아웃(PMA110AA)-v0.1.docx"/>
    <hyperlink ref="E104" r:id="rId392" display="\\165.213.107.10\share\K-IFRS반영한경영정보시스템고도화\02. 개발산출물\03. 설계(DE)\02. 경영정보 기능개선(ME)\ME-DE005-프로그램사양서\03. 급여\ME-DE005-프로그램사양서(PMA110AA)-v0.1.docx"/>
    <hyperlink ref="F104" r:id="rId393" display="\\165.213.107.10\share\K-IFRS반영한경영정보시스템고도화\02. 개발산출물\03. 설계(DE)\02. 경영정보 기능개선(ME)\ME-DE007-페이지레이아웃\03. 급여\ME-DE007-페이지레이아웃(PMA110AA)-v0.1.docx"/>
    <hyperlink ref="S104" r:id="rId394"/>
    <hyperlink ref="K105" r:id="rId395" display="\\165.213.107.10\share\K-IFRS반영한경영정보시스템고도화\02. 개발산출물\03. 설계(DE)\02. 경영정보 기능개선(ME)\ME-DE009-보고서레이아웃\03. 급여\ME-DE009-보고서레이아웃(PMA110AA)-v0.1.docx"/>
    <hyperlink ref="E105" r:id="rId396" display="\\165.213.107.10\share\K-IFRS반영한경영정보시스템고도화\02. 개발산출물\03. 설계(DE)\02. 경영정보 기능개선(ME)\ME-DE005-프로그램사양서\03. 급여\ME-DE005-프로그램사양서(PMA110AA)-v0.1.docx"/>
    <hyperlink ref="F105" r:id="rId397" display="\\165.213.107.10\share\K-IFRS반영한경영정보시스템고도화\02. 개발산출물\03. 설계(DE)\02. 경영정보 기능개선(ME)\ME-DE007-페이지레이아웃\03. 급여\ME-DE007-페이지레이아웃(PMA110AA)-v0.1.docx"/>
    <hyperlink ref="S105" r:id="rId398"/>
    <hyperlink ref="K77" r:id="rId399" display="\\165.213.107.10\share\K-IFRS반영한경영정보시스템고도화\02. 개발산출물\03. 설계(DE)\02. 경영정보 기능개선(ME)\ME-DE009-보고서레이아웃\03. 급여\ME-DE009-보고서레이아웃(PMA600AA)-v0.1.docx"/>
    <hyperlink ref="E77" r:id="rId400" display="\\165.213.107.10\share\K-IFRS반영한경영정보시스템고도화\02. 개발산출물\03. 설계(DE)\02. 경영정보 기능개선(ME)\ME-DE005-프로그램사양서\03. 급여\ME-DE005-프로그램사양서(PMA600AA)-v0.1.docx"/>
    <hyperlink ref="F77" r:id="rId401" display="\\165.213.107.10\share\K-IFRS반영한경영정보시스템고도화\02. 개발산출물\03. 설계(DE)\02. 경영정보 기능개선(ME)\ME-DE007-페이지레이아웃\03. 급여\ME-DE007-페이지레이아웃(PMA600AA)-v0.1.docx"/>
    <hyperlink ref="S77" r:id="rId402"/>
    <hyperlink ref="K76" r:id="rId403" display="\\165.213.107.10\share\K-IFRS반영한경영정보시스템고도화\02. 개발산출물\03. 설계(DE)\02. 경영정보 기능개선(ME)\ME-DE009-보고서레이아웃\03. 급여\ME-DE009-보고서레이아웃(PMA600AA)-v0.1.docx"/>
    <hyperlink ref="E76" r:id="rId404" display="\\165.213.107.10\share\K-IFRS반영한경영정보시스템고도화\02. 개발산출물\03. 설계(DE)\02. 경영정보 기능개선(ME)\ME-DE005-프로그램사양서\03. 급여\ME-DE005-프로그램사양서(PMA600AA)-v0.1.docx"/>
    <hyperlink ref="F76" r:id="rId405" display="\\165.213.107.10\share\K-IFRS반영한경영정보시스템고도화\02. 개발산출물\03. 설계(DE)\02. 경영정보 기능개선(ME)\ME-DE007-페이지레이아웃\03. 급여\ME-DE007-페이지레이아웃(PMA600AA)-v0.1.docx"/>
    <hyperlink ref="S76" r:id="rId406"/>
    <hyperlink ref="K75" r:id="rId407" display="\\165.213.107.10\share\K-IFRS반영한경영정보시스템고도화\02. 개발산출물\03. 설계(DE)\02. 경영정보 기능개선(ME)\ME-DE009-보고서레이아웃\03. 급여\ME-DE009-보고서레이아웃(PMA600AA)-v0.1.docx"/>
    <hyperlink ref="E75" r:id="rId408" display="\\165.213.107.10\share\K-IFRS반영한경영정보시스템고도화\02. 개발산출물\03. 설계(DE)\02. 경영정보 기능개선(ME)\ME-DE005-프로그램사양서\03. 급여\ME-DE005-프로그램사양서(PMA600AA)-v0.1.docx"/>
    <hyperlink ref="F75" r:id="rId409" display="\\165.213.107.10\share\K-IFRS반영한경영정보시스템고도화\02. 개발산출물\03. 설계(DE)\02. 경영정보 기능개선(ME)\ME-DE007-페이지레이아웃\03. 급여\ME-DE007-페이지레이아웃(PMA600AA)-v0.1.docx"/>
    <hyperlink ref="S75" r:id="rId410"/>
    <hyperlink ref="K74" r:id="rId411" display="\\165.213.107.10\share\K-IFRS반영한경영정보시스템고도화\02. 개발산출물\03. 설계(DE)\02. 경영정보 기능개선(ME)\ME-DE009-보고서레이아웃\03. 급여\ME-DE009-보고서레이아웃(PMA600AA)-v0.1.docx"/>
    <hyperlink ref="E74" r:id="rId412" display="\\165.213.107.10\share\K-IFRS반영한경영정보시스템고도화\02. 개발산출물\03. 설계(DE)\02. 경영정보 기능개선(ME)\ME-DE005-프로그램사양서\03. 급여\ME-DE005-프로그램사양서(PMA600AA)-v0.1.docx"/>
    <hyperlink ref="F74" r:id="rId413" display="\\165.213.107.10\share\K-IFRS반영한경영정보시스템고도화\02. 개발산출물\03. 설계(DE)\02. 경영정보 기능개선(ME)\ME-DE007-페이지레이아웃\03. 급여\ME-DE007-페이지레이아웃(PMA600AA)-v0.1.docx"/>
    <hyperlink ref="S74" r:id="rId414"/>
    <hyperlink ref="E73" r:id="rId415" display="\\165.213.107.10\share\K-IFRS반영한경영정보시스템고도화\02. 개발산출물\03. 설계(DE)\02. 경영정보 기능개선(ME)\ME-DE005-프로그램사양서\02. 인사\ME-DE005-프로그램사양서(HMA320AA)-v0.1.docx"/>
    <hyperlink ref="F73" r:id="rId416" display="\\165.213.107.10\share\K-IFRS반영한경영정보시스템고도화\02. 개발산출물\03. 설계(DE)\02. 경영정보 기능개선(ME)\ME-DE007-페이지레이아웃\02. 인사\ME-DE007-페이지레이아웃(HMA320AA)-v0.1.docx"/>
    <hyperlink ref="K73" r:id="rId417" display="\\165.213.107.10\share\K-IFRS반영한경영정보시스템고도화\02. 개발산출물\03. 설계(DE)\02. 경영정보 기능개선(ME)\ME-DE009-보고서레이아웃\02. 인사\ME-DE009-보고서레이아웃(HMA320AA)-v0.1.docx"/>
    <hyperlink ref="K72" r:id="rId418" display="\\165.213.107.10\share\K-IFRS반영한경영정보시스템고도화\02. 개발산출물\03. 설계(DE)\02. 경영정보 기능개선(ME)\ME-DE009-보고서레이아웃\03. 급여\ME-DE009-보고서레이아웃(PMA620AA)-v0.1.docx"/>
    <hyperlink ref="E72" r:id="rId419" display="\\165.213.107.10\share\K-IFRS반영한경영정보시스템고도화\02. 개발산출물\03. 설계(DE)\02. 경영정보 기능개선(ME)\ME-DE005-프로그램사양서\03. 급여\ME-DE005-프로그램사양서(PMA620AA)-v0.1.docx"/>
    <hyperlink ref="F72" r:id="rId420" display="\\165.213.107.10\share\K-IFRS반영한경영정보시스템고도화\02. 개발산출물\03. 설계(DE)\02. 경영정보 기능개선(ME)\ME-DE007-페이지레이아웃\03. 급여\ME-DE007-페이지레이아웃(PMA620AA)-v0.1.docx"/>
    <hyperlink ref="S72" r:id="rId421"/>
    <hyperlink ref="K70" r:id="rId422" display="\\165.213.107.10\share\K-IFRS반영한경영정보시스템고도화\02. 개발산출물\03. 설계(DE)\02. 경영정보 기능개선(ME)\ME-DE009-보고서레이아웃\03. 급여\ME-DE009-보고서레이아웃(PMA620AA)-v0.1.docx"/>
    <hyperlink ref="E70" r:id="rId423" display="\\165.213.107.10\share\K-IFRS반영한경영정보시스템고도화\02. 개발산출물\03. 설계(DE)\02. 경영정보 기능개선(ME)\ME-DE005-프로그램사양서\03. 급여\ME-DE005-프로그램사양서(PMA620AA)-v0.1.docx"/>
    <hyperlink ref="F70" r:id="rId424" display="\\165.213.107.10\share\K-IFRS반영한경영정보시스템고도화\02. 개발산출물\03. 설계(DE)\02. 경영정보 기능개선(ME)\ME-DE007-페이지레이아웃\03. 급여\ME-DE007-페이지레이아웃(PMA620AA)-v0.1.docx"/>
    <hyperlink ref="S70" r:id="rId425"/>
    <hyperlink ref="K69" r:id="rId426" display="\\165.213.107.10\share\K-IFRS반영한경영정보시스템고도화\02. 개발산출물\03. 설계(DE)\02. 경영정보 기능개선(ME)\ME-DE009-보고서레이아웃\03. 급여\ME-DE009-보고서레이아웃(PMA620AA)-v0.1.docx"/>
    <hyperlink ref="E69" r:id="rId427" display="\\165.213.107.10\share\K-IFRS반영한경영정보시스템고도화\02. 개발산출물\03. 설계(DE)\02. 경영정보 기능개선(ME)\ME-DE005-프로그램사양서\03. 급여\ME-DE005-프로그램사양서(PMA620AA)-v0.1.docx"/>
    <hyperlink ref="F69" r:id="rId428" display="\\165.213.107.10\share\K-IFRS반영한경영정보시스템고도화\02. 개발산출물\03. 설계(DE)\02. 경영정보 기능개선(ME)\ME-DE007-페이지레이아웃\03. 급여\ME-DE007-페이지레이아웃(PMA620AA)-v0.1.docx"/>
    <hyperlink ref="S69" r:id="rId429"/>
    <hyperlink ref="K71" r:id="rId430" display="\\165.213.107.10\share\K-IFRS반영한경영정보시스템고도화\02. 개발산출물\03. 설계(DE)\02. 경영정보 기능개선(ME)\ME-DE009-보고서레이아웃\03. 급여\ME-DE009-보고서레이아웃(PMA620AA)-v0.1.docx"/>
    <hyperlink ref="E71" r:id="rId431" display="\\165.213.107.10\share\K-IFRS반영한경영정보시스템고도화\02. 개발산출물\03. 설계(DE)\02. 경영정보 기능개선(ME)\ME-DE005-프로그램사양서\03. 급여\ME-DE005-프로그램사양서(PMA620AA)-v0.1.docx"/>
    <hyperlink ref="F71" r:id="rId432" display="\\165.213.107.10\share\K-IFRS반영한경영정보시스템고도화\02. 개발산출물\03. 설계(DE)\02. 경영정보 기능개선(ME)\ME-DE007-페이지레이아웃\03. 급여\ME-DE007-페이지레이아웃(PMA620AA)-v0.1.docx"/>
    <hyperlink ref="S71" r:id="rId433"/>
    <hyperlink ref="K68" r:id="rId434" display="\\165.213.107.10\share\K-IFRS반영한경영정보시스템고도화\02. 개발산출물\03. 설계(DE)\02. 경영정보 기능개선(ME)\ME-DE009-보고서레이아웃\03. 급여\ME-DE009-보고서레이아웃(PMA600AA)-v0.1.docx"/>
    <hyperlink ref="E68" r:id="rId435" display="\\165.213.107.10\share\K-IFRS반영한경영정보시스템고도화\02. 개발산출물\03. 설계(DE)\02. 경영정보 기능개선(ME)\ME-DE005-프로그램사양서\03. 급여\ME-DE005-프로그램사양서(PMA600AA)-v0.1.docx"/>
    <hyperlink ref="F68" r:id="rId436" display="\\165.213.107.10\share\K-IFRS반영한경영정보시스템고도화\02. 개발산출물\03. 설계(DE)\02. 경영정보 기능개선(ME)\ME-DE007-페이지레이아웃\03. 급여\ME-DE007-페이지레이아웃(PMA600AA)-v0.1.docx"/>
    <hyperlink ref="K67" r:id="rId437" display="\\165.213.107.10\share\K-IFRS반영한경영정보시스템고도화\02. 개발산출물\03. 설계(DE)\02. 경영정보 기능개선(ME)\ME-DE009-보고서레이아웃\03. 급여\ME-DE009-보고서레이아웃(PMA650AA)-v0.1.docx"/>
    <hyperlink ref="E67" r:id="rId438" display="\\165.213.107.10\share\K-IFRS반영한경영정보시스템고도화\02. 개발산출물\03. 설계(DE)\02. 경영정보 기능개선(ME)\ME-DE005-프로그램사양서\03. 급여\ME-DE005-프로그램사양서(PMA650AA)-v0.1.docx"/>
    <hyperlink ref="F67" r:id="rId439" display="\\165.213.107.10\share\K-IFRS반영한경영정보시스템고도화\02. 개발산출물\03. 설계(DE)\02. 경영정보 기능개선(ME)\ME-DE007-페이지레이아웃\03. 급여\ME-DE007-페이지레이아웃(PMA650AA)-v0.1.docx"/>
    <hyperlink ref="S67" r:id="rId440"/>
    <hyperlink ref="K66" r:id="rId441" display="\\165.213.107.10\share\K-IFRS반영한경영정보시스템고도화\02. 개발산출물\03. 설계(DE)\02. 경영정보 기능개선(ME)\ME-DE009-보고서레이아웃\03. 급여\ME-DE009-보고서레이아웃(PMA650AA)-v0.1.docx"/>
    <hyperlink ref="E66" r:id="rId442" display="\\165.213.107.10\share\K-IFRS반영한경영정보시스템고도화\02. 개발산출물\03. 설계(DE)\02. 경영정보 기능개선(ME)\ME-DE005-프로그램사양서\03. 급여\ME-DE005-프로그램사양서(PMA650AA)-v0.1.docx"/>
    <hyperlink ref="F66" r:id="rId443" display="\\165.213.107.10\share\K-IFRS반영한경영정보시스템고도화\02. 개발산출물\03. 설계(DE)\02. 경영정보 기능개선(ME)\ME-DE007-페이지레이아웃\03. 급여\ME-DE007-페이지레이아웃(PMA650AA)-v0.1.docx"/>
    <hyperlink ref="K64" r:id="rId444" display="\\165.213.107.10\share\K-IFRS반영한경영정보시스템고도화\02. 개발산출물\03. 설계(DE)\02. 경영정보 기능개선(ME)\ME-DE009-보고서레이아웃\03. 급여\ME-DE009-보고서레이아웃(PMA650AA)-v0.1.docx"/>
    <hyperlink ref="E64" r:id="rId445" display="\\165.213.107.10\share\K-IFRS반영한경영정보시스템고도화\02. 개발산출물\03. 설계(DE)\02. 경영정보 기능개선(ME)\ME-DE005-프로그램사양서\03. 급여\ME-DE005-프로그램사양서(PMA650AA)-v0.1.docx"/>
    <hyperlink ref="F64" r:id="rId446" display="\\165.213.107.10\share\K-IFRS반영한경영정보시스템고도화\02. 개발산출물\03. 설계(DE)\02. 경영정보 기능개선(ME)\ME-DE007-페이지레이아웃\03. 급여\ME-DE007-페이지레이아웃(PMA650AA)-v0.1.docx"/>
    <hyperlink ref="K65" r:id="rId447" display="\\165.213.107.10\share\K-IFRS반영한경영정보시스템고도화\02. 개발산출물\03. 설계(DE)\02. 경영정보 기능개선(ME)\ME-DE009-보고서레이아웃\03. 급여\ME-DE009-보고서레이아웃(PMA650AA)-v0.1.docx"/>
    <hyperlink ref="E65" r:id="rId448" display="\\165.213.107.10\share\K-IFRS반영한경영정보시스템고도화\02. 개발산출물\03. 설계(DE)\02. 경영정보 기능개선(ME)\ME-DE005-프로그램사양서\03. 급여\ME-DE005-프로그램사양서(PMA650AA)-v0.1.docx"/>
    <hyperlink ref="F65" r:id="rId449" display="\\165.213.107.10\share\K-IFRS반영한경영정보시스템고도화\02. 개발산출물\03. 설계(DE)\02. 경영정보 기능개선(ME)\ME-DE007-페이지레이아웃\03. 급여\ME-DE007-페이지레이아웃(PMA650AA)-v0.1.docx"/>
    <hyperlink ref="S64" r:id="rId450"/>
    <hyperlink ref="S65" r:id="rId451"/>
    <hyperlink ref="K63" r:id="rId452" display="\\165.213.107.10\share\K-IFRS반영한경영정보시스템고도화\02. 개발산출물\03. 설계(DE)\02. 경영정보 기능개선(ME)\ME-DE009-보고서레이아웃\03. 급여\ME-DE009-보고서레이아웃(PMA620AA)-v0.1.docx"/>
    <hyperlink ref="E63" r:id="rId453" display="\\165.213.107.10\share\K-IFRS반영한경영정보시스템고도화\02. 개발산출물\03. 설계(DE)\02. 경영정보 기능개선(ME)\ME-DE005-프로그램사양서\03. 급여\ME-DE005-프로그램사양서(PMA620AA)-v0.1.docx"/>
    <hyperlink ref="F63" r:id="rId454" display="\\165.213.107.10\share\K-IFRS반영한경영정보시스템고도화\02. 개발산출물\03. 설계(DE)\02. 경영정보 기능개선(ME)\ME-DE007-페이지레이아웃\03. 급여\ME-DE007-페이지레이아웃(PMA620AA)-v0.1.docx"/>
    <hyperlink ref="S63" r:id="rId455"/>
    <hyperlink ref="K62" r:id="rId456" display="\\165.213.107.10\share\K-IFRS반영한경영정보시스템고도화\02. 개발산출물\03. 설계(DE)\02. 경영정보 기능개선(ME)\ME-DE009-보고서레이아웃\03. 급여\ME-DE009-보고서레이아웃(PMA620AA)-v0.1.docx"/>
    <hyperlink ref="E62" r:id="rId457" display="\\165.213.107.10\share\K-IFRS반영한경영정보시스템고도화\02. 개발산출물\03. 설계(DE)\02. 경영정보 기능개선(ME)\ME-DE005-프로그램사양서\03. 급여\ME-DE005-프로그램사양서(PMA620AA)-v0.1.docx"/>
    <hyperlink ref="F62" r:id="rId458" display="\\165.213.107.10\share\K-IFRS반영한경영정보시스템고도화\02. 개발산출물\03. 설계(DE)\02. 경영정보 기능개선(ME)\ME-DE007-페이지레이아웃\03. 급여\ME-DE007-페이지레이아웃(PMA620AA)-v0.1.docx"/>
    <hyperlink ref="S62" r:id="rId459"/>
    <hyperlink ref="K61" r:id="rId460" display="\\165.213.107.10\share\K-IFRS반영한경영정보시스템고도화\02. 개발산출물\03. 설계(DE)\02. 경영정보 기능개선(ME)\ME-DE009-보고서레이아웃\03. 급여\ME-DE009-보고서레이아웃(PMA650AA)-v0.1.docx"/>
    <hyperlink ref="E61" r:id="rId461" display="\\165.213.107.10\share\K-IFRS반영한경영정보시스템고도화\02. 개발산출물\03. 설계(DE)\02. 경영정보 기능개선(ME)\ME-DE005-프로그램사양서\03. 급여\ME-DE005-프로그램사양서(PMA650AA)-v0.1.docx"/>
    <hyperlink ref="F61" r:id="rId462" display="\\165.213.107.10\share\K-IFRS반영한경영정보시스템고도화\02. 개발산출물\03. 설계(DE)\02. 경영정보 기능개선(ME)\ME-DE007-페이지레이아웃\03. 급여\ME-DE007-페이지레이아웃(PMA650AA)-v0.1.docx"/>
    <hyperlink ref="S61" r:id="rId463" display="SP_PMA650AA_01.prc"/>
    <hyperlink ref="K60" r:id="rId464" display="\\165.213.107.10\share\K-IFRS반영한경영정보시스템고도화\02. 개발산출물\03. 설계(DE)\02. 경영정보 기능개선(ME)\ME-DE009-보고서레이아웃\03. 급여\ME-DE009-보고서레이아웃(PMA660AA)-v0.1.docx"/>
    <hyperlink ref="E60" r:id="rId465" display="\\165.213.107.10\share\K-IFRS반영한경영정보시스템고도화\02. 개발산출물\03. 설계(DE)\02. 경영정보 기능개선(ME)\ME-DE005-프로그램사양서\03. 급여\ME-DE005-프로그램사양서(PMA660AA)-v0.1.docx"/>
    <hyperlink ref="F60" r:id="rId466" display="\\165.213.107.10\share\K-IFRS반영한경영정보시스템고도화\02. 개발산출물\03. 설계(DE)\02. 경영정보 기능개선(ME)\ME-DE007-페이지레이아웃\03. 급여\ME-DE007-페이지레이아웃(PMA660AA)-v0.1.docx"/>
    <hyperlink ref="K59" r:id="rId467" display="\\165.213.107.10\share\K-IFRS반영한경영정보시스템고도화\02. 개발산출물\03. 설계(DE)\02. 경영정보 기능개선(ME)\ME-DE009-보고서레이아웃\03. 급여\ME-DE009-보고서레이아웃(PMA660AA)-v0.1.docx"/>
    <hyperlink ref="E59" r:id="rId468" display="\\165.213.107.10\share\K-IFRS반영한경영정보시스템고도화\02. 개발산출물\03. 설계(DE)\02. 경영정보 기능개선(ME)\ME-DE005-프로그램사양서\03. 급여\ME-DE005-프로그램사양서(PMA660AA)-v0.1.docx"/>
    <hyperlink ref="F59" r:id="rId469" display="\\165.213.107.10\share\K-IFRS반영한경영정보시스템고도화\02. 개발산출물\03. 설계(DE)\02. 경영정보 기능개선(ME)\ME-DE007-페이지레이아웃\03. 급여\ME-DE007-페이지레이아웃(PMA660AA)-v0.1.docx"/>
    <hyperlink ref="K58" r:id="rId470" display="\\165.213.107.10\share\K-IFRS반영한경영정보시스템고도화\02. 개발산출물\03. 설계(DE)\02. 경영정보 기능개선(ME)\ME-DE009-보고서레이아웃\03. 급여\ME-DE009-보고서레이아웃(PMA660AA)-v0.1.docx"/>
    <hyperlink ref="E58" r:id="rId471" display="\\165.213.107.10\share\K-IFRS반영한경영정보시스템고도화\02. 개발산출물\03. 설계(DE)\02. 경영정보 기능개선(ME)\ME-DE005-프로그램사양서\03. 급여\ME-DE005-프로그램사양서(PMA660AA)-v0.1.docx"/>
    <hyperlink ref="F58" r:id="rId472" display="\\165.213.107.10\share\K-IFRS반영한경영정보시스템고도화\02. 개발산출물\03. 설계(DE)\02. 경영정보 기능개선(ME)\ME-DE007-페이지레이아웃\03. 급여\ME-DE007-페이지레이아웃(PMA660AA)-v0.1.docx"/>
    <hyperlink ref="K57" r:id="rId473" display="\\165.213.107.10\share\K-IFRS반영한경영정보시스템고도화\02. 개발산출물\03. 설계(DE)\02. 경영정보 기능개선(ME)\ME-DE009-보고서레이아웃\03. 급여\ME-DE009-보고서레이아웃(PMA660AA)-v0.1.docx"/>
    <hyperlink ref="E57" r:id="rId474" display="\\165.213.107.10\share\K-IFRS반영한경영정보시스템고도화\02. 개발산출물\03. 설계(DE)\02. 경영정보 기능개선(ME)\ME-DE005-프로그램사양서\03. 급여\ME-DE005-프로그램사양서(PMA660AA)-v0.1.docx"/>
    <hyperlink ref="F57" r:id="rId475" display="\\165.213.107.10\share\K-IFRS반영한경영정보시스템고도화\02. 개발산출물\03. 설계(DE)\02. 경영정보 기능개선(ME)\ME-DE007-페이지레이아웃\03. 급여\ME-DE007-페이지레이아웃(PMA660AA)-v0.1.docx"/>
    <hyperlink ref="K56" r:id="rId476" display="\\165.213.107.10\share\K-IFRS반영한경영정보시스템고도화\02. 개발산출물\03. 설계(DE)\02. 경영정보 기능개선(ME)\ME-DE009-보고서레이아웃\03. 급여\ME-DE009-보고서레이아웃(PMA660AA)-v0.1.docx"/>
    <hyperlink ref="E56" r:id="rId477" display="\\165.213.107.10\share\K-IFRS반영한경영정보시스템고도화\02. 개발산출물\03. 설계(DE)\02. 경영정보 기능개선(ME)\ME-DE005-프로그램사양서\03. 급여\ME-DE005-프로그램사양서(PMA660AA)-v0.1.docx"/>
    <hyperlink ref="F56" r:id="rId478" display="\\165.213.107.10\share\K-IFRS반영한경영정보시스템고도화\02. 개발산출물\03. 설계(DE)\02. 경영정보 기능개선(ME)\ME-DE007-페이지레이아웃\03. 급여\ME-DE007-페이지레이아웃(PMA660AA)-v0.1.docx"/>
    <hyperlink ref="K55" r:id="rId479" display="\\165.213.107.10\share\K-IFRS반영한경영정보시스템고도화\02. 개발산출물\03. 설계(DE)\02. 경영정보 기능개선(ME)\ME-DE009-보고서레이아웃\03. 급여\ME-DE009-보고서레이아웃(PMA660AA)-v0.1.docx"/>
    <hyperlink ref="E55" r:id="rId480" display="\\165.213.107.10\share\K-IFRS반영한경영정보시스템고도화\02. 개발산출물\03. 설계(DE)\02. 경영정보 기능개선(ME)\ME-DE005-프로그램사양서\03. 급여\ME-DE005-프로그램사양서(PMA660AA)-v0.1.docx"/>
    <hyperlink ref="F55" r:id="rId481" display="\\165.213.107.10\share\K-IFRS반영한경영정보시스템고도화\02. 개발산출물\03. 설계(DE)\02. 경영정보 기능개선(ME)\ME-DE007-페이지레이아웃\03. 급여\ME-DE007-페이지레이아웃(PMA660AA)-v0.1.docx"/>
    <hyperlink ref="S55" r:id="rId482"/>
    <hyperlink ref="K54" r:id="rId483" display="\\165.213.107.10\share\K-IFRS반영한경영정보시스템고도화\02. 개발산출물\03. 설계(DE)\02. 경영정보 기능개선(ME)\ME-DE009-보고서레이아웃\03. 급여\ME-DE009-보고서레이아웃(PMA600AA)-v0.1.docx"/>
    <hyperlink ref="E54" r:id="rId484" display="\\165.213.107.10\share\K-IFRS반영한경영정보시스템고도화\02. 개발산출물\03. 설계(DE)\02. 경영정보 기능개선(ME)\ME-DE005-프로그램사양서\03. 급여\ME-DE005-프로그램사양서(PMA600AA)-v0.1.docx"/>
    <hyperlink ref="F54" r:id="rId485" display="\\165.213.107.10\share\K-IFRS반영한경영정보시스템고도화\02. 개발산출물\03. 설계(DE)\02. 경영정보 기능개선(ME)\ME-DE007-페이지레이아웃\03. 급여\ME-DE007-페이지레이아웃(PMA600AA)-v0.1.docx"/>
    <hyperlink ref="S54" r:id="rId486"/>
    <hyperlink ref="K53" r:id="rId487" display="\\165.213.107.10\share\K-IFRS반영한경영정보시스템고도화\02. 개발산출물\03. 설계(DE)\02. 경영정보 기능개선(ME)\ME-DE009-보고서레이아웃\03. 급여\ME-DE009-보고서레이아웃(PMA620AA)-v0.1.docx"/>
    <hyperlink ref="E53" r:id="rId488" display="\\165.213.107.10\share\K-IFRS반영한경영정보시스템고도화\02. 개발산출물\03. 설계(DE)\02. 경영정보 기능개선(ME)\ME-DE005-프로그램사양서\03. 급여\ME-DE005-프로그램사양서(PMA620AA)-v0.1.docx"/>
    <hyperlink ref="F53" r:id="rId489" display="\\165.213.107.10\share\K-IFRS반영한경영정보시스템고도화\02. 개발산출물\03. 설계(DE)\02. 경영정보 기능개선(ME)\ME-DE007-페이지레이아웃\03. 급여\ME-DE007-페이지레이아웃(PMA620AA)-v0.1.docx"/>
    <hyperlink ref="S53" r:id="rId490"/>
    <hyperlink ref="K52" r:id="rId491" display="\\165.213.107.10\share\K-IFRS반영한경영정보시스템고도화\02. 개발산출물\03. 설계(DE)\02. 경영정보 기능개선(ME)\ME-DE009-보고서레이아웃\03. 급여\ME-DE009-보고서레이아웃(PMA600AA)-v0.1.docx"/>
    <hyperlink ref="E52" r:id="rId492" display="\\165.213.107.10\share\K-IFRS반영한경영정보시스템고도화\02. 개발산출물\03. 설계(DE)\02. 경영정보 기능개선(ME)\ME-DE005-프로그램사양서\03. 급여\ME-DE005-프로그램사양서(PMA600AA)-v0.1.docx"/>
    <hyperlink ref="F52" r:id="rId493" display="\\165.213.107.10\share\K-IFRS반영한경영정보시스템고도화\02. 개발산출물\03. 설계(DE)\02. 경영정보 기능개선(ME)\ME-DE007-페이지레이아웃\03. 급여\ME-DE007-페이지레이아웃(PMA600AA)-v0.1.docx"/>
    <hyperlink ref="K51" r:id="rId494" display="\\165.213.107.10\share\K-IFRS반영한경영정보시스템고도화\02. 개발산출물\03. 설계(DE)\02. 경영정보 기능개선(ME)\ME-DE009-보고서레이아웃\03. 급여\ME-DE009-보고서레이아웃(PMA610AA)-v0.1.docx"/>
    <hyperlink ref="E51" r:id="rId495" display="\\165.213.107.10\share\K-IFRS반영한경영정보시스템고도화\02. 개발산출물\03. 설계(DE)\02. 경영정보 기능개선(ME)\ME-DE005-프로그램사양서\03. 급여\ME-DE005-프로그램사양서(PMA610AA)-v0.1.docx"/>
    <hyperlink ref="F51" r:id="rId496" display="\\165.213.107.10\share\K-IFRS반영한경영정보시스템고도화\02. 개발산출물\03. 설계(DE)\02. 경영정보 기능개선(ME)\ME-DE007-페이지레이아웃\03. 급여\ME-DE007-페이지레이아웃(PMA610AA)-v0.1.docx"/>
    <hyperlink ref="S51" r:id="rId497"/>
    <hyperlink ref="K49" r:id="rId498" display="\\165.213.107.10\share\K-IFRS반영한경영정보시스템고도화\02. 개발산출물\03. 설계(DE)\02. 경영정보 기능개선(ME)\ME-DE009-보고서레이아웃\03. 급여\ME-DE009-보고서레이아웃(PMA650AA)-v0.1.docx"/>
    <hyperlink ref="E49" r:id="rId499" display="\\165.213.107.10\share\K-IFRS반영한경영정보시스템고도화\02. 개발산출물\03. 설계(DE)\02. 경영정보 기능개선(ME)\ME-DE005-프로그램사양서\03. 급여\ME-DE005-프로그램사양서(PMA650AA)-v0.1.docx"/>
    <hyperlink ref="F49" r:id="rId500" display="\\165.213.107.10\share\K-IFRS반영한경영정보시스템고도화\02. 개발산출물\03. 설계(DE)\02. 경영정보 기능개선(ME)\ME-DE007-페이지레이아웃\03. 급여\ME-DE007-페이지레이아웃(PMA650AA)-v0.1.docx"/>
    <hyperlink ref="K50" r:id="rId501" display="\\165.213.107.10\share\K-IFRS반영한경영정보시스템고도화\02. 개발산출물\03. 설계(DE)\02. 경영정보 기능개선(ME)\ME-DE009-보고서레이아웃\03. 급여\ME-DE009-보고서레이아웃(PMA610AA)-v0.1.docx"/>
    <hyperlink ref="E50" r:id="rId502" display="\\165.213.107.10\share\K-IFRS반영한경영정보시스템고도화\02. 개발산출물\03. 설계(DE)\02. 경영정보 기능개선(ME)\ME-DE005-프로그램사양서\03. 급여\ME-DE005-프로그램사양서(PMA610AA)-v0.1.docx"/>
    <hyperlink ref="F50" r:id="rId503" display="\\165.213.107.10\share\K-IFRS반영한경영정보시스템고도화\02. 개발산출물\03. 설계(DE)\02. 경영정보 기능개선(ME)\ME-DE007-페이지레이아웃\03. 급여\ME-DE007-페이지레이아웃(PMA610AA)-v0.1.docx"/>
    <hyperlink ref="K48" r:id="rId504" display="\\165.213.107.10\share\K-IFRS반영한경영정보시스템고도화\02. 개발산출물\03. 설계(DE)\02. 경영정보 기능개선(ME)\ME-DE009-보고서레이아웃\03. 급여\ME-DE009-보고서레이아웃(PMA600AA)-v0.1.docx"/>
    <hyperlink ref="E48" r:id="rId505" display="\\165.213.107.10\share\K-IFRS반영한경영정보시스템고도화\02. 개발산출물\03. 설계(DE)\02. 경영정보 기능개선(ME)\ME-DE005-프로그램사양서\03. 급여\ME-DE005-프로그램사양서(PMA600AA)-v0.1.docx"/>
    <hyperlink ref="F48" r:id="rId506" display="\\165.213.107.10\share\K-IFRS반영한경영정보시스템고도화\02. 개발산출물\03. 설계(DE)\02. 경영정보 기능개선(ME)\ME-DE007-페이지레이아웃\03. 급여\ME-DE007-페이지레이아웃(PMA600AA)-v0.1.docx"/>
    <hyperlink ref="K47" r:id="rId507" display="\\165.213.107.10\share\K-IFRS반영한경영정보시스템고도화\02. 개발산출물\03. 설계(DE)\02. 경영정보 기능개선(ME)\ME-DE009-보고서레이아웃\03. 급여\ME-DE009-보고서레이아웃(PMA650AA)-v0.1.docx"/>
    <hyperlink ref="E47" r:id="rId508" display="\\165.213.107.10\share\K-IFRS반영한경영정보시스템고도화\02. 개발산출물\03. 설계(DE)\02. 경영정보 기능개선(ME)\ME-DE005-프로그램사양서\03. 급여\ME-DE005-프로그램사양서(PMA650AA)-v0.1.docx"/>
    <hyperlink ref="F47" r:id="rId509" display="\\165.213.107.10\share\K-IFRS반영한경영정보시스템고도화\02. 개발산출물\03. 설계(DE)\02. 경영정보 기능개선(ME)\ME-DE007-페이지레이아웃\03. 급여\ME-DE007-페이지레이아웃(PMA650AA)-v0.1.docx"/>
    <hyperlink ref="S47" r:id="rId510"/>
    <hyperlink ref="K46" r:id="rId511" display="\\165.213.107.10\share\K-IFRS반영한경영정보시스템고도화\02. 개발산출물\03. 설계(DE)\02. 경영정보 기능개선(ME)\ME-DE009-보고서레이아웃\03. 급여\ME-DE009-보고서레이아웃(PMA650AA)-v0.1.docx"/>
    <hyperlink ref="E46" r:id="rId512" display="\\165.213.107.10\share\K-IFRS반영한경영정보시스템고도화\02. 개발산출물\03. 설계(DE)\02. 경영정보 기능개선(ME)\ME-DE005-프로그램사양서\03. 급여\ME-DE005-프로그램사양서(PMA650AA)-v0.1.docx"/>
    <hyperlink ref="F46" r:id="rId513" display="\\165.213.107.10\share\K-IFRS반영한경영정보시스템고도화\02. 개발산출물\03. 설계(DE)\02. 경영정보 기능개선(ME)\ME-DE007-페이지레이아웃\03. 급여\ME-DE007-페이지레이아웃(PMA650AA)-v0.1.docx"/>
    <hyperlink ref="S46" r:id="rId514"/>
    <hyperlink ref="K45" r:id="rId515" display="\\165.213.107.10\share\K-IFRS반영한경영정보시스템고도화\02. 개발산출물\03. 설계(DE)\02. 경영정보 기능개선(ME)\ME-DE009-보고서레이아웃\03. 급여\ME-DE009-보고서레이아웃(PMA600AA)-v0.1.docx"/>
    <hyperlink ref="F45" r:id="rId516" display="\\165.213.107.10\share\K-IFRS반영한경영정보시스템고도화\02. 개발산출물\03. 설계(DE)\02. 경영정보 기능개선(ME)\ME-DE007-페이지레이아웃\03. 급여\ME-DE007-페이지레이아웃(PMA600AA)-v0.1.docx"/>
    <hyperlink ref="S45" r:id="rId517"/>
    <hyperlink ref="E45" r:id="rId518" display="\\165.213.107.10\share\K-IFRS반영한경영정보시스템고도화\02. 개발산출물\03. 설계(DE)\02. 경영정보 기능개선(ME)\ME-DE005-프로그램사양서\03. 급여\ME-DE005-프로그램사양서(PMA600AA)-v0.1.docx"/>
    <hyperlink ref="E44" r:id="rId519" display="\\165.213.107.10\share\K-IFRS반영한경영정보시스템고도화\02. 개발산출물\03. 설계(DE)\02. 경영정보 기능개선(ME)\ME-DE005-프로그램사양서\02. 인사\ME-DE005-프로그램사양서(HMA620AS)-v0.1.docx"/>
    <hyperlink ref="F44" r:id="rId520" display="\\165.213.107.10\share\K-IFRS반영한경영정보시스템고도화\02. 개발산출물\03. 설계(DE)\02. 경영정보 기능개선(ME)\ME-DE007-페이지레이아웃\02. 인사\ME-DE007-페이지레이아웃(HMA620AS)-v0.1.docx"/>
    <hyperlink ref="K44" r:id="rId521" display="\\165.213.107.10\share\K-IFRS반영한경영정보시스템고도화\02. 개발산출물\03. 설계(DE)\02. 경영정보 기능개선(ME)\ME-DE009-보고서레이아웃\02. 인사\ME-DE009-보고서레이아웃(HMA620AS)-v0.1.docx"/>
    <hyperlink ref="K43" r:id="rId522" display="\\165.213.107.10\share\K-IFRS반영한경영정보시스템고도화\02. 개발산출물\03. 설계(DE)\02. 경영정보 기능개선(ME)\ME-DE009-보고서레이아웃\02. 인사\ME-DE009-보고서레이아웃(HMA950AA)-v0.1.docx"/>
    <hyperlink ref="E43" r:id="rId523" display="\\165.213.107.10\share\K-IFRS반영한경영정보시스템고도화\02. 개발산출물\03. 설계(DE)\02. 경영정보 기능개선(ME)\ME-DE005-프로그램사양서\02. 인사\ME-DE005-프로그램사양서(HMA950AA)-v0.1.docx"/>
    <hyperlink ref="F43" r:id="rId524" display="\\165.213.107.10\share\K-IFRS반영한경영정보시스템고도화\02. 개발산출물\03. 설계(DE)\02. 경영정보 기능개선(ME)\ME-DE007-페이지레이아웃\02. 인사\ME-DE007-페이지레이아웃(HMA950AA)-v0.1.docx"/>
    <hyperlink ref="K42" r:id="rId525" display="\\165.213.107.10\share\K-IFRS반영한경영정보시스템고도화\02. 개발산출물\03. 설계(DE)\02. 경영정보 기능개선(ME)\ME-DE009-보고서레이아웃\02. 인사\ME-DE009-보고서레이아웃(HMA950AA)-v0.1.docx"/>
    <hyperlink ref="E42" r:id="rId526" display="\\165.213.107.10\share\K-IFRS반영한경영정보시스템고도화\02. 개발산출물\03. 설계(DE)\02. 경영정보 기능개선(ME)\ME-DE005-프로그램사양서\02. 인사\ME-DE005-프로그램사양서(HMA950AA)-v0.1.docx"/>
    <hyperlink ref="F42" r:id="rId527" display="\\165.213.107.10\share\K-IFRS반영한경영정보시스템고도화\02. 개발산출물\03. 설계(DE)\02. 경영정보 기능개선(ME)\ME-DE007-페이지레이아웃\02. 인사\ME-DE007-페이지레이아웃(HMA950AA)-v0.1.docx"/>
    <hyperlink ref="S42" r:id="rId528"/>
    <hyperlink ref="K41" r:id="rId529" display="\\165.213.107.10\share\K-IFRS반영한경영정보시스템고도화\02. 개발산출물\03. 설계(DE)\02. 경영정보 기능개선(ME)\ME-DE009-보고서레이아웃\02. 인사\ME-DE009-보고서레이아웃(HMA950AA)-v0.1.docx"/>
    <hyperlink ref="E41" r:id="rId530" display="\\165.213.107.10\share\K-IFRS반영한경영정보시스템고도화\02. 개발산출물\03. 설계(DE)\02. 경영정보 기능개선(ME)\ME-DE005-프로그램사양서\02. 인사\ME-DE005-프로그램사양서(HMA950AA)-v0.1.docx"/>
    <hyperlink ref="F41" r:id="rId531" display="\\165.213.107.10\share\K-IFRS반영한경영정보시스템고도화\02. 개발산출물\03. 설계(DE)\02. 경영정보 기능개선(ME)\ME-DE007-페이지레이아웃\02. 인사\ME-DE007-페이지레이아웃(HMA950AA)-v0.1.docx"/>
    <hyperlink ref="S41" r:id="rId532"/>
    <hyperlink ref="E40" r:id="rId533" display="\\165.213.107.10\share\K-IFRS반영한경영정보시스템고도화\02. 개발산출물\03. 설계(DE)\02. 경영정보 기능개선(ME)\ME-DE005-프로그램사양서\03. 급여\ME-DE005-프로그램사양서(PMA500AA)-v0.1.docx"/>
    <hyperlink ref="F40" r:id="rId534" display="\\165.213.107.10\share\K-IFRS반영한경영정보시스템고도화\02. 개발산출물\03. 설계(DE)\02. 경영정보 기능개선(ME)\ME-DE007-페이지레이아웃\03. 급여\ME-DE007-페이지레이아웃(PMA500AA)-v0.1.docx"/>
    <hyperlink ref="K40" r:id="rId535" display="\\165.213.107.10\share\K-IFRS반영한경영정보시스템고도화\02. 개발산출물\03. 설계(DE)\02. 경영정보 기능개선(ME)\ME-DE009-보고서레이아웃\03. 급여\ME-DE009-보고서레이아웃(PMA500AA)-v0.1.docx"/>
    <hyperlink ref="K39" r:id="rId536" display="\\165.213.107.10\share\K-IFRS반영한경영정보시스템고도화\02. 개발산출물\03. 설계(DE)\02. 경영정보 기능개선(ME)\ME-DE009-보고서레이아웃\03. 급여\ME-DE009-보고서레이아웃(PMA520AA)-v0.1.docx"/>
    <hyperlink ref="E39" r:id="rId537" display="\\165.213.107.10\share\K-IFRS반영한경영정보시스템고도화\02. 개발산출물\03. 설계(DE)\02. 경영정보 기능개선(ME)\ME-DE005-프로그램사양서\03. 급여\ME-DE005-프로그램사양서(PMA520AA)-v0.1.docx"/>
    <hyperlink ref="F39" r:id="rId538" display="\\165.213.107.10\share\K-IFRS반영한경영정보시스템고도화\02. 개발산출물\03. 설계(DE)\02. 경영정보 기능개선(ME)\ME-DE007-페이지레이아웃\03. 급여\ME-DE007-페이지레이아웃(PMA520AA)-v0.1.docx"/>
    <hyperlink ref="K38" r:id="rId539" display="\\165.213.107.10\share\K-IFRS반영한경영정보시스템고도화\02. 개발산출물\03. 설계(DE)\02. 경영정보 기능개선(ME)\ME-DE009-보고서레이아웃\03. 급여\ME-DE009-보고서레이아웃(PMA550AA)-v0.1.docx"/>
    <hyperlink ref="E38" r:id="rId540" display="\\165.213.107.10\share\K-IFRS반영한경영정보시스템고도화\02. 개발산출물\03. 설계(DE)\02. 경영정보 기능개선(ME)\ME-DE005-프로그램사양서\03. 급여\ME-DE005-프로그램사양서(PMA550AA)-v0.1.docx"/>
    <hyperlink ref="F38" r:id="rId541" display="\\165.213.107.10\share\K-IFRS반영한경영정보시스템고도화\02. 개발산출물\03. 설계(DE)\02. 경영정보 기능개선(ME)\ME-DE007-페이지레이아웃\03. 급여\ME-DE007-페이지레이아웃(PMA550AA)-v0.1.docx"/>
    <hyperlink ref="K37" r:id="rId542" display="\\165.213.107.10\share\K-IFRS반영한경영정보시스템고도화\02. 개발산출물\03. 설계(DE)\02. 경영정보 기능개선(ME)\ME-DE009-보고서레이아웃\03. 급여\ME-DE009-보고서레이아웃(PMA550AA)-v0.1.docx"/>
    <hyperlink ref="E37" r:id="rId543" display="\\165.213.107.10\share\K-IFRS반영한경영정보시스템고도화\02. 개발산출물\03. 설계(DE)\02. 경영정보 기능개선(ME)\ME-DE005-프로그램사양서\03. 급여\ME-DE005-프로그램사양서(PMA580AA)-v0.1.docx"/>
    <hyperlink ref="F37" r:id="rId544" display="\\165.213.107.10\share\K-IFRS반영한경영정보시스템고도화\02. 개발산출물\03. 설계(DE)\02. 경영정보 기능개선(ME)\ME-DE007-페이지레이아웃\03. 급여\ME-DE007-페이지레이아웃(PMA580AA)-v0.1.docx"/>
    <hyperlink ref="K36" r:id="rId545" display="\\165.213.107.10\share\K-IFRS반영한경영정보시스템고도화\02. 개발산출물\03. 설계(DE)\02. 경영정보 기능개선(ME)\ME-DE009-보고서레이아웃\03. 급여\ME-DE009-보고서레이아웃(PMA550AA)-v0.1.docx"/>
    <hyperlink ref="E36" r:id="rId546" display="\\165.213.107.10\share\K-IFRS반영한경영정보시스템고도화\02. 개발산출물\03. 설계(DE)\02. 경영정보 기능개선(ME)\ME-DE005-프로그램사양서\03. 급여\ME-DE005-프로그램사양서(PMA630AA)-v0.1.docx"/>
    <hyperlink ref="F36" r:id="rId547" display="품질보증 계획서"/>
    <hyperlink ref="K33" r:id="rId548" display="\\165.213.107.10\share\K-IFRS반영한경영정보시스템고도화\02. 개발산출물\03. 설계(DE)\02. 경영정보 기능개선(ME)\ME-DE009-보고서레이아웃\03. 급여\ME-DE009-보고서레이아웃(PMA610AA)-v0.1.docx"/>
    <hyperlink ref="E33" r:id="rId549" display="\\165.213.107.10\share\K-IFRS반영한경영정보시스템고도화\02. 개발산출물\03. 설계(DE)\02. 경영정보 기능개선(ME)\ME-DE005-프로그램사양서\03. 급여\ME-DE005-프로그램사양서(PMA610AA)-v0.1.docx"/>
    <hyperlink ref="F33" r:id="rId550" display="\\165.213.107.10\share\K-IFRS반영한경영정보시스템고도화\02. 개발산출물\03. 설계(DE)\02. 경영정보 기능개선(ME)\ME-DE007-페이지레이아웃\03. 급여\ME-DE007-페이지레이아웃(PMA610AA)-v0.1.docx"/>
    <hyperlink ref="S33" r:id="rId551"/>
    <hyperlink ref="K32" r:id="rId552" display="\\165.213.107.10\share\K-IFRS반영한경영정보시스템고도화\02. 개발산출물\03. 설계(DE)\02. 경영정보 기능개선(ME)\ME-DE009-보고서레이아웃\03. 급여\ME-DE009-보고서레이아웃(PMA110AA)-v0.1.docx"/>
    <hyperlink ref="E32" r:id="rId553" display="\\165.213.107.10\share\K-IFRS반영한경영정보시스템고도화\02. 개발산출물\03. 설계(DE)\02. 경영정보 기능개선(ME)\ME-DE005-프로그램사양서\03. 급여\ME-DE005-프로그램사양서(PMA110AA)-v0.1.docx"/>
    <hyperlink ref="F32" r:id="rId554" display="\\165.213.107.10\share\K-IFRS반영한경영정보시스템고도화\02. 개발산출물\03. 설계(DE)\02. 경영정보 기능개선(ME)\ME-DE007-페이지레이아웃\03. 급여\ME-DE007-페이지레이아웃(PMA110AA)-v0.1.docx"/>
    <hyperlink ref="G188" r:id="rId555" display="\\165.213.107.10\share\K-IFRS반영한경영정보시스템고도화\02. 개발산출물\03. 설계(DE)\02. 경영정보 기능개선(ME)\ME-DE009-보고서레이아웃\02. 인사\ME-DE009-보고서레이아웃(HMA010RP1)-v0.1.docx"/>
    <hyperlink ref="G160" r:id="rId556" display="\\165.213.107.10\share\K-IFRS반영한경영정보시스템고도화\02. 개발산출물\03. 설계(DE)\02. 경영정보 기능개선(ME)\ME-DE009-보고서레이아웃\02. 인사\ME-DE009-보고서레이아웃(HMA200AA)-v0.1.docx"/>
    <hyperlink ref="G161" r:id="rId557" display="\\165.213.107.10\share\K-IFRS반영한경영정보시스템고도화\02. 개발산출물\03. 설계(DE)\02. 경영정보 기능개선(ME)\ME-DE009-보고서레이아웃\02. 인사\ME-DE009-보고서레이아웃(HMA950AA)-v0.1.docx"/>
    <hyperlink ref="G162" r:id="rId558" display="\\165.213.107.10\share\K-IFRS반영한경영정보시스템고도화\02. 개발산출물\03. 설계(DE)\02. 경영정보 기능개선(ME)\ME-DE009-보고서레이아웃\03. 급여\ME-DE009-보고서레이아웃(PMA380AA)-v0.1.docx"/>
    <hyperlink ref="G163" r:id="rId559" display="\\165.213.107.10\share\K-IFRS반영한경영정보시스템고도화\02. 개발산출물\03. 설계(DE)\02. 경영정보 기능개선(ME)\ME-DE009-보고서레이아웃\03. 급여\ME-DE009-보고서레이아웃(PMA070AA)-v0.1.docx"/>
    <hyperlink ref="G164" r:id="rId560" display="\\165.213.107.10\share\K-IFRS반영한경영정보시스템고도화\02. 개발산출물\03. 설계(DE)\02. 경영정보 기능개선(ME)\ME-DE009-보고서레이아웃\03. 급여\ME-DE009-보고서레이아웃(PMA090AA)-v0.1.docx"/>
    <hyperlink ref="G165" r:id="rId561" display="\\165.213.107.10\share\K-IFRS반영한경영정보시스템고도화\02. 개발산출물\03. 설계(DE)\02. 경영정보 기능개선(ME)\ME-DE009-보고서레이아웃\03. 급여\ME-DE009-보고서레이아웃(PMA095AA)-v0.1.docx"/>
    <hyperlink ref="G166" r:id="rId562" display="\\165.213.107.10\share\K-IFRS반영한경영정보시스템고도화\02. 개발산출물\03. 설계(DE)\02. 경영정보 기능개선(ME)\ME-DE009-보고서레이아웃\03. 급여\ME-DE009-보고서레이아웃(PMA105AA)-v0.1.docx"/>
    <hyperlink ref="G167" r:id="rId563" display="\\165.213.107.10\share\K-IFRS반영한경영정보시스템고도화\02. 개발산출물\03. 설계(DE)\02. 경영정보 기능개선(ME)\ME-DE009-보고서레이아웃\03. 급여\ME-DE009-보고서레이아웃(PMA115AA)-v0.1.docx"/>
    <hyperlink ref="G168" r:id="rId564" display="\\165.213.107.10\share\K-IFRS반영한경영정보시스템고도화\02. 개발산출물\03. 설계(DE)\02. 경영정보 기능개선(ME)\ME-DE009-보고서레이아웃\03. 급여\ME-DE009-보고서레이아웃(PMA108AA)-v0.1.docx"/>
    <hyperlink ref="G169" r:id="rId565" display="\\165.213.107.10\share\K-IFRS반영한경영정보시스템고도화\02. 개발산출물\03. 설계(DE)\02. 경영정보 기능개선(ME)\ME-DE009-보고서레이아웃\03. 급여\ME-DE009-보고서레이아웃(PMA108AA)-v0.1.docx"/>
    <hyperlink ref="G170" r:id="rId566" display="\\165.213.107.10\share\K-IFRS반영한경영정보시스템고도화\02. 개발산출물\03. 설계(DE)\02. 경영정보 기능개선(ME)\ME-DE009-보고서레이아웃\03. 급여\ME-DE009-보고서레이아웃(PMA115AS)-v0.1.docx"/>
    <hyperlink ref="G171" r:id="rId567" display="\\165.213.107.10\share\K-IFRS반영한경영정보시스템고도화\02. 개발산출물\03. 설계(DE)\02. 경영정보 기능개선(ME)\ME-DE009-보고서레이아웃\03. 급여\ME-DE009-보고서레이아웃(PMA120AA)-v0.1.docx"/>
    <hyperlink ref="G172" r:id="rId568" display="\\165.213.107.10\share\K-IFRS반영한경영정보시스템고도화\02. 개발산출물\03. 설계(DE)\02. 경영정보 기능개선(ME)\ME-DE009-보고서레이아웃\03. 급여\ME-DE009-보고서레이아웃(PMA122AA)-v0.1.docx"/>
    <hyperlink ref="G173" r:id="rId569" display="\\165.213.107.10\share\K-IFRS반영한경영정보시스템고도화\02. 개발산출물\03. 설계(DE)\02. 경영정보 기능개선(ME)\ME-DE009-보고서레이아웃\03. 급여\ME-DE009-보고서레이아웃(PMA130AA)-v0.1.docx"/>
    <hyperlink ref="G174" r:id="rId570" display="\\165.213.107.10\share\K-IFRS반영한경영정보시스템고도화\02. 개발산출물\03. 설계(DE)\02. 경영정보 기능개선(ME)\ME-DE009-보고서레이아웃\03. 급여\ME-DE009-보고서레이아웃(PMA145AA)-v0.1.docx"/>
    <hyperlink ref="G175" r:id="rId571" display="\\165.213.107.10\share\K-IFRS반영한경영정보시스템고도화\02. 개발산출물\03. 설계(DE)\02. 경영정보 기능개선(ME)\ME-DE009-보고서레이아웃\03. 급여\ME-DE009-보고서레이아웃(PMH205AA)-v0.1.docx"/>
    <hyperlink ref="G176" r:id="rId572" display="\\165.213.107.10\share\K-IFRS반영한경영정보시스템고도화\02. 개발산출물\03. 설계(DE)\02. 경영정보 기능개선(ME)\ME-DE009-보고서레이아웃\02. 인사\ME-DE009-보고서레이아웃(HMA600AA)-v0.1.docx"/>
    <hyperlink ref="G177" r:id="rId573" display="\\165.213.107.10\share\K-IFRS반영한경영정보시스템고도화\02. 개발산출물\03. 설계(DE)\02. 경영정보 기능개선(ME)\ME-DE009-보고서레이아웃\02. 인사\ME-DE009-보고서레이아웃(HMA290AA)-v0.1.docx"/>
    <hyperlink ref="G178" r:id="rId574" display="\\165.213.107.10\share\K-IFRS반영한경영정보시스템고도화\02. 개발산출물\03. 설계(DE)\02. 경영정보 기능개선(ME)\ME-DE009-보고서레이아웃\02. 인사\ME-DE009-보고서레이아웃(HMA030AA)-v0.1.docx"/>
    <hyperlink ref="G179" r:id="rId575" display="\\165.213.107.10\share\K-IFRS반영한경영정보시스템고도화\02. 개발산출물\03. 설계(DE)\02. 경영정보 기능개선(ME)\ME-DE009-보고서레이아웃\02. 인사\ME-DE009-보고서레이아웃(HMA090AA)-v0.1.docx"/>
    <hyperlink ref="G180" r:id="rId576" display="\\165.213.107.10\share\K-IFRS반영한경영정보시스템고도화\02. 개발산출물\03. 설계(DE)\02. 경영정보 기능개선(ME)\ME-DE009-보고서레이아웃\02. 인사\ME-DE009-보고서레이아웃(HMA011AS)-v0.1.docx"/>
    <hyperlink ref="G181" r:id="rId577" display="\\165.213.107.10\share\K-IFRS반영한경영정보시스템고도화\02. 개발산출물\03. 설계(DE)\02. 경영정보 기능개선(ME)\ME-DE009-보고서레이아웃\02. 인사\ME-DE009-보고서레이아웃(HMA011AS)-v0.1.docx"/>
    <hyperlink ref="G182" r:id="rId578" display="\\165.213.107.10\share\K-IFRS반영한경영정보시스템고도화\02. 개발산출물\03. 설계(DE)\02. 경영정보 기능개선(ME)\ME-DE009-보고서레이아웃\03. 급여\ME-DE009-보고서레이아웃(PMA156AS)-v0.1.docx"/>
    <hyperlink ref="G183" r:id="rId579" display="\\165.213.107.10\share\K-IFRS반영한경영정보시스템고도화\02. 개발산출물\03. 설계(DE)\02. 경영정보 기능개선(ME)\ME-DE009-보고서레이아웃\03. 급여\ME-DE009-보고서레이아웃(PMA156AS)-v0.1.docx"/>
    <hyperlink ref="G185" r:id="rId580" display="\\165.213.107.10\share\K-IFRS반영한경영정보시스템고도화\02. 개발산출물\03. 설계(DE)\02. 경영정보 기능개선(ME)\ME-DE009-보고서레이아웃\03. 급여\ME-DE009-보고서레이아웃(SF_FIND_OFO_DAT)-v0.1.docx"/>
    <hyperlink ref="G186" r:id="rId581" display="\\165.213.107.10\share\K-IFRS반영한경영정보시스템고도화\02. 개발산출물\03. 설계(DE)\02. 경영정보 기능개선(ME)\ME-DE009-보고서레이아웃\02. 인사\ME-DE009-보고서레이아웃(HMB470AS)-v0.1.docx"/>
    <hyperlink ref="G187" r:id="rId582" display="\\165.213.107.10\share\K-IFRS반영한경영정보시스템고도화\02. 개발산출물\03. 설계(DE)\02. 경영정보 기능개선(ME)\ME-DE009-보고서레이아웃\02. 인사\ME-DE009-보고서레이아웃(HMA145AA)-v0.1.docx"/>
    <hyperlink ref="G190" r:id="rId583" display="\\165.213.107.10\share\K-IFRS반영한경영정보시스템고도화\02. 개발산출물\03. 설계(DE)\02. 경영정보 기능개선(ME)\ME-DE009-보고서레이아웃\07. 자산\ME-DE009-보고서레이아웃(AMA290AS)-v0.1.docx"/>
    <hyperlink ref="G191" r:id="rId584" display="\\165.213.107.10\share\K-IFRS반영한경영정보시스템고도화\02. 개발산출물\03. 설계(DE)\02. 경영정보 기능개선(ME)\ME-DE009-보고서레이아웃\07. 자산\ME-DE009-보고서레이아웃(AMA280AS)-v0.1.docx"/>
    <hyperlink ref="G192" r:id="rId585" display="\\165.213.107.10\share\K-IFRS반영한경영정보시스템고도화\02. 개발산출물\03. 설계(DE)\02. 경영정보 기능개선(ME)\ME-DE009-보고서레이아웃\07. 자산\ME-DE009-보고서레이아웃(AMA210AS)-v0.1.docx"/>
    <hyperlink ref="G193" r:id="rId586" display="\\165.213.107.10\share\K-IFRS반영한경영정보시스템고도화\02. 개발산출물\03. 설계(DE)\02. 경영정보 기능개선(ME)\ME-DE009-보고서레이아웃\07. 자산\ME-DE009-보고서레이아웃(AMA601AA)-v0.1.docx"/>
    <hyperlink ref="G194" r:id="rId587" display="\\165.213.107.10\share\K-IFRS반영한경영정보시스템고도화\02. 개발산출물\03. 설계(DE)\02. 경영정보 기능개선(ME)\ME-DE009-보고서레이아웃\02. 인사\ME-DE009-보고서레이아웃(HMA620AS)-v0.1.docx"/>
    <hyperlink ref="G195" r:id="rId588" display="\\165.213.107.10\share\K-IFRS반영한경영정보시스템고도화\02. 개발산출물\03. 설계(DE)\02. 경영정보 기능개선(ME)\ME-DE009-보고서레이아웃\ME-DE009-보고서레이아웃(-)-v0.1.docx"/>
    <hyperlink ref="G196" r:id="rId589" display="\\165.213.107.10\share\K-IFRS반영한경영정보시스템고도화\02. 개발산출물\03. 설계(DE)\02. 경영정보 기능개선(ME)\ME-DE009-보고서레이아웃\ME-DE009-보고서레이아웃(-)-v0.1.docx"/>
    <hyperlink ref="G197" r:id="rId590" display="\\165.213.107.10\share\K-IFRS반영한경영정보시스템고도화\02. 개발산출물\03. 설계(DE)\02. 경영정보 기능개선(ME)\ME-DE009-보고서레이아웃\ME-DE009-보고서레이아웃(-)-v0.1.docx"/>
    <hyperlink ref="G198" r:id="rId591" display="\\165.213.107.10\share\K-IFRS반영한경영정보시스템고도화\02. 개발산출물\03. 설계(DE)\02. 경영정보 기능개선(ME)\ME-DE009-보고서레이아웃\ME-DE009-보고서레이아웃(-)-v0.1.docx"/>
    <hyperlink ref="G199" r:id="rId592" display="\\165.213.107.10\share\K-IFRS반영한경영정보시스템고도화\02. 개발산출물\03. 설계(DE)\02. 경영정보 기능개선(ME)\ME-DE009-보고서레이아웃\ME-DE009-보고서레이아웃(-)-v0.1.docx"/>
    <hyperlink ref="G156" r:id="rId593" display="\\165.213.107.10\share\K-IFRS반영한경영정보시스템고도화\02. 개발산출물\03. 설계(DE)\02. 경영정보 기능개선(ME)\ME-DE009-보고서레이아웃\02. 인사\ME-DE009-보고서레이아웃(HMA950AA)-v0.1.docx"/>
    <hyperlink ref="G158" r:id="rId594" display="\\165.213.107.10\share\K-IFRS반영한경영정보시스템고도화\02. 개발산출물\03. 설계(DE)\02. 경영정보 기능개선(ME)\ME-DE009-보고서레이아웃\02. 인사\ME-DE009-보고서레이아웃(HMA950AA)-v0.1.docx"/>
    <hyperlink ref="G159" r:id="rId595" display="\\165.213.107.10\share\K-IFRS반영한경영정보시스템고도화\02. 개발산출물\03. 설계(DE)\02. 경영정보 기능개선(ME)\ME-DE009-보고서레이아웃\02. 인사\ME-DE009-보고서레이아웃(HMA320AA)-v0.1.docx"/>
    <hyperlink ref="G155" r:id="rId596" display="\\165.213.107.10\share\K-IFRS반영한경영정보시스템고도화\02. 개발산출물\03. 설계(DE)\02. 경영정보 기능개선(ME)\ME-DE009-보고서레이아웃\02. 인사\ME-DE009-보고서레이아웃(HMA950AA)-v0.1.docx"/>
    <hyperlink ref="G157" r:id="rId597" display="\\165.213.107.10\share\K-IFRS반영한경영정보시스템고도화\02. 개발산출물\03. 설계(DE)\02. 경영정보 기능개선(ME)\ME-DE009-보고서레이아웃\02. 인사\ME-DE009-보고서레이아웃(HMA950AA)-v0.1.docx"/>
    <hyperlink ref="G154" r:id="rId598" display="\\165.213.107.10\share\K-IFRS반영한경영정보시스템고도화\02. 개발산출물\03. 설계(DE)\02. 경영정보 기능개선(ME)\ME-DE009-보고서레이아웃\02. 인사\ME-DE009-보고서레이아웃(HMA340AA)-v0.1.docx"/>
    <hyperlink ref="G153" r:id="rId599" display="\\165.213.107.10\share\K-IFRS반영한경영정보시스템고도화\02. 개발산출물\03. 설계(DE)\02. 경영정보 기능개선(ME)\ME-DE009-보고서레이아웃\03. 급여\ME-DE009-보고서레이아웃(PMA260AS_x000a_PMA265AS)-v0.1.docx"/>
    <hyperlink ref="G147" r:id="rId600" display="\\165.213.107.10\share\K-IFRS반영한경영정보시스템고도화\02. 개발산출물\03. 설계(DE)\02. 경영정보 기능개선(ME)\ME-DE009-보고서레이아웃\03. 급여\ME-DE009-보고서레이아웃(PMA130AA)-v0.1.docx"/>
    <hyperlink ref="G148" r:id="rId601" display="\\165.213.107.10\share\K-IFRS반영한경영정보시스템고도화\02. 개발산출물\03. 설계(DE)\02. 경영정보 기능개선(ME)\ME-DE009-보고서레이아웃\03. 급여\ME-DE009-보고서레이아웃(PMA120AA)-v0.1.docx"/>
    <hyperlink ref="G122" r:id="rId602" display="\\165.213.107.10\share\K-IFRS반영한경영정보시스템고도화\02. 개발산출물\03. 설계(DE)\02. 경영정보 기능개선(ME)\ME-DE009-보고서레이아웃\03. 급여\ME-DE009-보고서레이아웃(PMA140AA)-v0.1.docx"/>
    <hyperlink ref="G146" r:id="rId603" display="\\165.213.107.10\share\K-IFRS반영한경영정보시스템고도화\02. 개발산출물\03. 설계(DE)\02. 경영정보 기능개선(ME)\ME-DE009-보고서레이아웃\03. 급여\ME-DE009-보고서레이아웃(PMA120AA)-v0.1.docx"/>
    <hyperlink ref="G139" r:id="rId604" display="\\165.213.107.10\share\K-IFRS반영한경영정보시스템고도화\02. 개발산출물\03. 설계(DE)\02. 경영정보 기능개선(ME)\ME-DE009-보고서레이아웃\03. 급여\ME-DE009-보고서레이아웃(PMA110AA)-v0.1.docx"/>
    <hyperlink ref="G149" r:id="rId605" display="\\165.213.107.10\share\K-IFRS반영한경영정보시스템고도화\02. 개발산출물\03. 설계(DE)\02. 경영정보 기능개선(ME)\ME-DE009-보고서레이아웃\03. 급여\ME-DE009-보고서레이아웃(PMA110AA)-v0.1.docx"/>
    <hyperlink ref="G152" r:id="rId606" display="\\165.213.107.10\share\K-IFRS반영한경영정보시스템고도화\02. 개발산출물\03. 설계(DE)\02. 경영정보 기능개선(ME)\ME-DE009-보고서레이아웃\03. 급여\ME-DE009-보고서레이아웃(PMA230AA)-v0.1.docx"/>
    <hyperlink ref="G150" r:id="rId607" display="\\165.213.107.10\share\K-IFRS반영한경영정보시스템고도화\02. 개발산출물\03. 설계(DE)\02. 경영정보 기능개선(ME)\ME-DE009-보고서레이아웃\03. 급여\ME-DE009-보고서레이아웃(PMA110AA)-v0.1.docx"/>
    <hyperlink ref="G151" r:id="rId608" display="\\165.213.107.10\share\K-IFRS반영한경영정보시스템고도화\02. 개발산출물\03. 설계(DE)\02. 경영정보 기능개선(ME)\ME-DE009-보고서레이아웃\03. 급여\ME-DE009-보고서레이아웃(PMA140AA)-v0.1.docx"/>
    <hyperlink ref="G121" r:id="rId609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G134" r:id="rId610" display="\\165.213.107.10\share\K-IFRS반영한경영정보시스템고도화\02. 개발산출물\03. 설계(DE)\02. 경영정보 기능개선(ME)\ME-DE009-보고서레이아웃\03. 급여\ME-DE009-보고서레이아웃(PMA510AA)-v0.1.docx"/>
    <hyperlink ref="G135" r:id="rId611" display="\\165.213.107.10\share\K-IFRS반영한경영정보시스템고도화\02. 개발산출물\03. 설계(DE)\02. 경영정보 기능개선(ME)\ME-DE009-보고서레이아웃\03. 급여\ME-DE009-보고서레이아웃(PMA550AA)-v0.1.docx"/>
    <hyperlink ref="G138" r:id="rId612" display="\\165.213.107.10\share\K-IFRS반영한경영정보시스템고도화\02. 개발산출물\03. 설계(DE)\02. 경영정보 기능개선(ME)\ME-DE009-보고서레이아웃\03. 급여\ME-DE009-보고서레이아웃(PMA100AA)-v0.1.docx"/>
    <hyperlink ref="G132" r:id="rId613" display="\\165.213.107.10\share\K-IFRS반영한경영정보시스템고도화\02. 개발산출물\03. 설계(DE)\02. 경영정보 기능개선(ME)\ME-DE009-보고서레이아웃\03. 급여\ME-DE009-보고서레이아웃(PMA520AA)-v0.1.docx"/>
    <hyperlink ref="G137" r:id="rId614" display="\\165.213.107.10\share\K-IFRS반영한경영정보시스템고도화\02. 개발산출물\03. 설계(DE)\02. 경영정보 기능개선(ME)\ME-DE009-보고서레이아웃\03. 급여\ME-DE009-보고서레이아웃(PMA540AA)-v0.1.docx"/>
    <hyperlink ref="G140" r:id="rId615" display="\\165.213.107.10\share\K-IFRS반영한경영정보시스템고도화\02. 개발산출물\03. 설계(DE)\02. 경영정보 기능개선(ME)\ME-DE009-보고서레이아웃\03. 급여\ME-DE009-보고서레이아웃(PMA110AA)-v0.1.docx"/>
    <hyperlink ref="G131" r:id="rId616" display="\\165.213.107.10\share\K-IFRS반영한경영정보시스템고도화\02. 개발산출물\03. 설계(DE)\02. 경영정보 기능개선(ME)\ME-DE009-보고서레이아웃\03. 급여\ME-DE009-보고서레이아웃(PMA140AA)-v0.1.docx"/>
    <hyperlink ref="G130" r:id="rId617" display="\\165.213.107.10\share\K-IFRS반영한경영정보시스템고도화\02. 개발산출물\03. 설계(DE)\02. 경영정보 기능개선(ME)\ME-DE009-보고서레이아웃\03. 급여\ME-DE009-보고서레이아웃(PMA110AA)-v0.1.docx"/>
    <hyperlink ref="G133" r:id="rId618" display="\\165.213.107.10\share\K-IFRS반영한경영정보시스템고도화\02. 개발산출물\03. 설계(DE)\02. 경영정보 기능개선(ME)\ME-DE009-보고서레이아웃\03. 급여\ME-DE009-보고서레이아웃(PMA560AA)-v0.1.docx"/>
    <hyperlink ref="G141" r:id="rId619" display="\\165.213.107.10\share\K-IFRS반영한경영정보시스템고도화\02. 개발산출물\03. 설계(DE)\02. 경영정보 기능개선(ME)\ME-DE009-보고서레이아웃\03. 급여\ME-DE009-보고서레이아웃(PMA110AA)-v0.1.docx"/>
    <hyperlink ref="G142" r:id="rId620" display="\\165.213.107.10\share\K-IFRS반영한경영정보시스템고도화\02. 개발산출물\03. 설계(DE)\02. 경영정보 기능개선(ME)\ME-DE009-보고서레이아웃\03. 급여\ME-DE009-보고서레이아웃(PMA110AA)-v0.1.docx"/>
    <hyperlink ref="G143" r:id="rId621" display="\\165.213.107.10\share\K-IFRS반영한경영정보시스템고도화\02. 개발산출물\03. 설계(DE)\02. 경영정보 기능개선(ME)\ME-DE009-보고서레이아웃\03. 급여\ME-DE009-보고서레이아웃(PMA110AA)-v0.1.docx"/>
    <hyperlink ref="G144" r:id="rId622" display="\\165.213.107.10\share\K-IFRS반영한경영정보시스템고도화\02. 개발산출물\03. 설계(DE)\02. 경영정보 기능개선(ME)\ME-DE009-보고서레이아웃\03. 급여\ME-DE009-보고서레이아웃(PMA110AA)-v0.1.docx"/>
    <hyperlink ref="G145" r:id="rId623" display="\\165.213.107.10\share\K-IFRS반영한경영정보시스템고도화\02. 개발산출물\03. 설계(DE)\02. 경영정보 기능개선(ME)\ME-DE009-보고서레이아웃\03. 급여\ME-DE009-보고서레이아웃(PMA110AA)-v0.1.docx"/>
    <hyperlink ref="G136" r:id="rId624" display="\\165.213.107.10\share\K-IFRS반영한경영정보시스템고도화\02. 개발산출물\03. 설계(DE)\02. 경영정보 기능개선(ME)\ME-DE009-보고서레이아웃\03. 급여\ME-DE009-보고서레이아웃(PMA500AA)-v0.1.docx"/>
    <hyperlink ref="G129" r:id="rId625" display="\\165.213.107.10\share\K-IFRS반영한경영정보시스템고도화\02. 개발산출물\03. 설계(DE)\02. 경영정보 기능개선(ME)\ME-DE009-보고서레이아웃\03. 급여\ME-DE009-보고서레이아웃(PMA110AA)-v0.1.docx"/>
    <hyperlink ref="G126" r:id="rId626" display="\\165.213.107.10\share\K-IFRS반영한경영정보시스템고도화\02. 개발산출물\03. 설계(DE)\02. 경영정보 기능개선(ME)\ME-DE009-보고서레이아웃\03. 급여\ME-DE009-보고서레이아웃(PMC270AA)-v0.1.docx"/>
    <hyperlink ref="G128" r:id="rId627" display="\\165.213.107.10\share\K-IFRS반영한경영정보시스템고도화\02. 개발산출물\03. 설계(DE)\02. 경영정보 기능개선(ME)\ME-DE009-보고서레이아웃\03. 급여\ME-DE009-보고서레이아웃(PMA110AA)-v0.1.docx"/>
    <hyperlink ref="G125" r:id="rId628" display="\\165.213.107.10\share\K-IFRS반영한경영정보시스템고도화\02. 개발산출물\03. 설계(DE)\02. 경영정보 기능개선(ME)\ME-DE009-보고서레이아웃\03. 급여\ME-DE009-보고서레이아웃(PMC050AS)-v0.1.docx"/>
    <hyperlink ref="G127" r:id="rId629" display="\\165.213.107.10\share\K-IFRS반영한경영정보시스템고도화\02. 개발산출물\03. 설계(DE)\02. 경영정보 기능개선(ME)\ME-DE009-보고서레이아웃\03. 급여\ME-DE009-보고서레이아웃(PMA440AS)-v0.1.docx"/>
    <hyperlink ref="G123" r:id="rId630" display="\\165.213.107.10\share\K-IFRS반영한경영정보시스템고도화\02. 개발산출물\03. 설계(DE)\02. 경영정보 기능개선(ME)\ME-DE009-보고서레이아웃\03. 급여\ME-DE009-보고서레이아웃(PMA260AS_x000a_PMA265AS)-v0.1.docx"/>
    <hyperlink ref="G124" r:id="rId631" display="\\165.213.107.10\share\K-IFRS반영한경영정보시스템고도화\02. 개발산출물\03. 설계(DE)\02. 경영정보 기능개선(ME)\ME-DE009-보고서레이아웃\02. 인사\ME-DE009-보고서레이아웃(-)-v0.1.docx"/>
    <hyperlink ref="G118" r:id="rId632" display="\\165.213.107.10\share\K-IFRS반영한경영정보시스템고도화\02. 개발산출물\03. 설계(DE)\02. 경영정보 기능개선(ME)\ME-DE009-보고서레이아웃\03. 급여\ME-DE009-보고서레이아웃(PMA600AA)-v0.1.docx"/>
    <hyperlink ref="G116" r:id="rId633" display="\\165.213.107.10\share\K-IFRS반영한경영정보시스템고도화\02. 개발산출물\03. 설계(DE)\02. 경영정보 기능개선(ME)\ME-DE009-보고서레이아웃\03. 급여\ME-DE009-보고서레이아웃(PMA610AA)-v0.1.docx"/>
    <hyperlink ref="G117" r:id="rId634" display="\\165.213.107.10\share\K-IFRS반영한경영정보시스템고도화\02. 개발산출물\03. 설계(DE)\02. 경영정보 기능개선(ME)\ME-DE009-보고서레이아웃\03. 급여\ME-DE009-보고서레이아웃(PMA600AA)-v0.1.docx"/>
    <hyperlink ref="G119" r:id="rId635" display="\\165.213.107.10\share\K-IFRS반영한경영정보시스템고도화\02. 개발산출물\03. 설계(DE)\02. 경영정보 기능개선(ME)\ME-DE009-보고서레이아웃\03. 급여\ME-DE009-보고서레이아웃(PMA600AA)-v0.1.docx"/>
    <hyperlink ref="G120" r:id="rId636" display="\\165.213.107.10\share\K-IFRS반영한경영정보시스템고도화\02. 개발산출물\03. 설계(DE)\02. 경영정보 기능개선(ME)\ME-DE009-보고서레이아웃\03. 급여\ME-DE009-보고서레이아웃(PMA600AA)-v0.1.docx"/>
    <hyperlink ref="G113" r:id="rId637" display="\\165.213.107.10\share\K-IFRS반영한경영정보시스템고도화\02. 개발산출물\03. 설계(DE)\02. 경영정보 기능개선(ME)\ME-DE009-보고서레이아웃\ME-DE009-보고서레이아웃(No)-v0.1.docx"/>
    <hyperlink ref="G112" r:id="rId638" display="\\165.213.107.10\share\K-IFRS반영한경영정보시스템고도화\02. 개발산출물\03. 설계(DE)\02. 경영정보 기능개선(ME)\ME-DE009-보고서레이아웃\ME-DE009-보고서레이아웃(No)-v0.1.docx"/>
    <hyperlink ref="G114" r:id="rId639" display="\\165.213.107.10\share\K-IFRS반영한경영정보시스템고도화\02. 개발산출물\03. 설계(DE)\02. 경영정보 기능개선(ME)\ME-DE009-보고서레이아웃\03. 급여\ME-DE009-보고서레이아웃(PMA620AA)-v0.1.docx"/>
    <hyperlink ref="G115" r:id="rId640" display="\\165.213.107.10\share\K-IFRS반영한경영정보시스템고도화\02. 개발산출물\03. 설계(DE)\02. 경영정보 기능개선(ME)\ME-DE009-보고서레이아웃\03. 급여\ME-DE009-보고서레이아웃(PMA620AA)-v0.1.docx"/>
    <hyperlink ref="G111" r:id="rId641" display="\\165.213.107.10\share\K-IFRS반영한경영정보시스템고도화\02. 개발산출물\03. 설계(DE)\02. 경영정보 기능개선(ME)\ME-DE009-보고서레이아웃\03. 급여\ME-DE009-보고서레이아웃(PMA630AA)-v0.1.docx"/>
    <hyperlink ref="G110" r:id="rId642" display="\\165.213.107.10\share\K-IFRS반영한경영정보시스템고도화\02. 개발산출물\03. 설계(DE)\02. 경영정보 기능개선(ME)\ME-DE009-보고서레이아웃\03. 급여\ME-DE009-보고서레이아웃(PMA630AA)-v0.1.docx"/>
    <hyperlink ref="G97" r:id="rId643" display="\\165.213.107.10\share\K-IFRS반영한경영정보시스템고도화\02. 개발산출물\03. 설계(DE)\02. 경영정보 기능개선(ME)\ME-DE009-보고서레이아웃\03. 급여\ME-DE009-보고서레이아웃(PMA620AA)-v0.1.docx"/>
    <hyperlink ref="G85" r:id="rId644" display="\\165.213.107.10\share\K-IFRS반영한경영정보시스템고도화\02. 개발산출물\03. 설계(DE)\02. 경영정보 기능개선(ME)\ME-DE009-보고서레이아웃\03. 급여\ME-DE009-보고서레이아웃(PMA620AA)-v0.1.docx"/>
    <hyperlink ref="G108" r:id="rId645" display="\\165.213.107.10\share\K-IFRS반영한경영정보시스템고도화\02. 개발산출물\03. 설계(DE)\02. 경영정보 기능개선(ME)\ME-DE009-보고서레이아웃\03. 급여\ME-DE009-보고서레이아웃(PMA620AA)-v0.1.docx"/>
    <hyperlink ref="G107" r:id="rId646" display="\\165.213.107.10\share\K-IFRS반영한경영정보시스템고도화\02. 개발산출물\03. 설계(DE)\02. 경영정보 기능개선(ME)\ME-DE009-보고서레이아웃\03. 급여\ME-DE009-보고서레이아웃(PMA620AA)-v0.1.docx"/>
    <hyperlink ref="G86" r:id="rId647" display="\\165.213.107.10\share\K-IFRS반영한경영정보시스템고도화\02. 개발산출물\03. 설계(DE)\02. 경영정보 기능개선(ME)\ME-DE009-보고서레이아웃\03. 급여\ME-DE009-보고서레이아웃(PMA620AA)-v0.1.docx"/>
    <hyperlink ref="G89" r:id="rId648" display="\\165.213.107.10\share\K-IFRS반영한경영정보시스템고도화\02. 개발산출물\03. 설계(DE)\02. 경영정보 기능개선(ME)\ME-DE009-보고서레이아웃\ME-DE009-보고서레이아웃(No)-v0.1.docx"/>
    <hyperlink ref="G93" r:id="rId649" display="\\165.213.107.10\share\K-IFRS반영한경영정보시스템고도화\02. 개발산출물\03. 설계(DE)\02. 경영정보 기능개선(ME)\ME-DE009-보고서레이아웃\03. 급여\ME-DE009-보고서레이아웃(PMA620AA)-v0.1.docx"/>
    <hyperlink ref="G106" r:id="rId650" display="\\165.213.107.10\share\K-IFRS반영한경영정보시스템고도화\02. 개발산출물\03. 설계(DE)\02. 경영정보 기능개선(ME)\ME-DE009-보고서레이아웃\03. 급여\ME-DE009-보고서레이아웃(PMA620AA)-v0.1.docx"/>
    <hyperlink ref="G95" r:id="rId651" display="\\165.213.107.10\share\K-IFRS반영한경영정보시스템고도화\02. 개발산출물\03. 설계(DE)\02. 경영정보 기능개선(ME)\ME-DE009-보고서레이아웃\03. 급여\ME-DE009-보고서레이아웃(PMA620AA)-v0.1.docx"/>
    <hyperlink ref="G91" r:id="rId652" display="\\165.213.107.10\share\K-IFRS반영한경영정보시스템고도화\02. 개발산출물\03. 설계(DE)\02. 경영정보 기능개선(ME)\ME-DE009-보고서레이아웃\03. 급여\ME-DE009-보고서레이아웃(PMA620AA)-v0.1.docx"/>
    <hyperlink ref="G96" r:id="rId653" display="\\165.213.107.10\share\K-IFRS반영한경영정보시스템고도화\02. 개발산출물\03. 설계(DE)\02. 경영정보 기능개선(ME)\ME-DE009-보고서레이아웃\03. 급여\ME-DE009-보고서레이아웃(PMA620AA)-v0.1.docx"/>
    <hyperlink ref="G92" r:id="rId654" display="\\165.213.107.10\share\K-IFRS반영한경영정보시스템고도화\02. 개발산출물\03. 설계(DE)\02. 경영정보 기능개선(ME)\ME-DE009-보고서레이아웃\03. 급여\ME-DE009-보고서레이아웃(PMA620AA)-v0.1.docx"/>
    <hyperlink ref="G99" r:id="rId655" display="\\165.213.107.10\share\K-IFRS반영한경영정보시스템고도화\02. 개발산출물\03. 설계(DE)\02. 경영정보 기능개선(ME)\ME-DE009-보고서레이아웃\03. 급여\ME-DE009-보고서레이아웃(PMA620AA)-v0.1.docx"/>
    <hyperlink ref="G94" r:id="rId656" display="\\165.213.107.10\share\K-IFRS반영한경영정보시스템고도화\02. 개발산출물\03. 설계(DE)\02. 경영정보 기능개선(ME)\ME-DE009-보고서레이아웃\03. 급여\ME-DE009-보고서레이아웃(PMA620AA)-v0.1.docx"/>
    <hyperlink ref="G87" r:id="rId657" display="\\165.213.107.10\share\K-IFRS반영한경영정보시스템고도화\02. 개발산출물\03. 설계(DE)\02. 경영정보 기능개선(ME)\ME-DE009-보고서레이아웃\03. 급여\ME-DE009-보고서레이아웃(PMA620AA)-v0.1.docx"/>
    <hyperlink ref="G78" r:id="rId658" display="\\165.213.107.10\share\K-IFRS반영한경영정보시스템고도화\02. 개발산출물\03. 설계(DE)\02. 경영정보 기능개선(ME)\ME-DE009-보고서레이아웃\03. 급여\ME-DE009-보고서레이아웃(PMA620AA)-v0.1.docx"/>
    <hyperlink ref="G109" r:id="rId659" display="\\165.213.107.10\share\K-IFRS반영한경영정보시스템고도화\02. 개발산출물\03. 설계(DE)\02. 경영정보 기능개선(ME)\ME-DE009-보고서레이아웃\03. 급여\ME-DE009-보고서레이아웃(-)-v0.1.docx"/>
    <hyperlink ref="G80" r:id="rId660" display="\\165.213.107.10\share\K-IFRS반영한경영정보시스템고도화\02. 개발산출물\03. 설계(DE)\02. 경영정보 기능개선(ME)\ME-DE009-보고서레이아웃\ME-DE009-보고서레이아웃(No)-v0.1.docx"/>
    <hyperlink ref="G79" r:id="rId661" display="\\165.213.107.10\share\K-IFRS반영한경영정보시스템고도화\02. 개발산출물\03. 설계(DE)\02. 경영정보 기능개선(ME)\ME-DE009-보고서레이아웃\ME-DE009-보고서레이아웃(No)-v0.1.docx"/>
    <hyperlink ref="G88" r:id="rId662" display="\\165.213.107.10\share\K-IFRS반영한경영정보시스템고도화\02. 개발산출물\03. 설계(DE)\02. 경영정보 기능개선(ME)\ME-DE009-보고서레이아웃\ME-DE009-보고서레이아웃(No)-v0.1.docx"/>
    <hyperlink ref="G90" r:id="rId663" display="\\165.213.107.10\share\K-IFRS반영한경영정보시스템고도화\02. 개발산출물\03. 설계(DE)\02. 경영정보 기능개선(ME)\ME-DE009-보고서레이아웃\ME-DE009-보고서레이아웃(No)-v0.1.docx"/>
    <hyperlink ref="G98" r:id="rId664" display="\\165.213.107.10\share\K-IFRS반영한경영정보시스템고도화\02. 개발산출물\03. 설계(DE)\02. 경영정보 기능개선(ME)\ME-DE009-보고서레이아웃\ME-DE009-보고서레이아웃(No)-v0.1.docx"/>
    <hyperlink ref="G100" r:id="rId665" display="\\165.213.107.10\share\K-IFRS반영한경영정보시스템고도화\02. 개발산출물\03. 설계(DE)\02. 경영정보 기능개선(ME)\ME-DE009-보고서레이아웃\03. 급여\ME-DE009-보고서레이아웃(PMA620AA)-v0.1.docx"/>
    <hyperlink ref="G101" r:id="rId666" display="\\165.213.107.10\share\K-IFRS반영한경영정보시스템고도화\02. 개발산출물\03. 설계(DE)\02. 경영정보 기능개선(ME)\ME-DE009-보고서레이아웃\ME-DE009-보고서레이아웃(No)-v0.1.docx"/>
    <hyperlink ref="G102" r:id="rId667" display="\\165.213.107.10\share\K-IFRS반영한경영정보시스템고도화\02. 개발산출물\03. 설계(DE)\02. 경영정보 기능개선(ME)\ME-DE009-보고서레이아웃\ME-DE009-보고서레이아웃(No)-v0.1.docx"/>
    <hyperlink ref="G103" r:id="rId668" display="\\165.213.107.10\share\K-IFRS반영한경영정보시스템고도화\02. 개발산출물\03. 설계(DE)\02. 경영정보 기능개선(ME)\ME-DE009-보고서레이아웃\ME-DE009-보고서레이아웃(No)-v0.1.docx"/>
    <hyperlink ref="G104" r:id="rId669" display="\\165.213.107.10\share\K-IFRS반영한경영정보시스템고도화\02. 개발산출물\03. 설계(DE)\02. 경영정보 기능개선(ME)\ME-DE009-보고서레이아웃\ME-DE009-보고서레이아웃(No)-v0.1.docx"/>
    <hyperlink ref="G105" r:id="rId670" display="\\165.213.107.10\share\K-IFRS반영한경영정보시스템고도화\02. 개발산출물\03. 설계(DE)\02. 경영정보 기능개선(ME)\ME-DE009-보고서레이아웃\ME-DE009-보고서레이아웃(No)-v0.1.docx"/>
    <hyperlink ref="G77" r:id="rId671" display="\\165.213.107.10\share\K-IFRS반영한경영정보시스템고도화\02. 개발산출물\03. 설계(DE)\02. 경영정보 기능개선(ME)\ME-DE009-보고서레이아웃\ME-DE009-보고서레이아웃(No)-v0.1.docx"/>
    <hyperlink ref="G76" r:id="rId672" display="\\165.213.107.10\share\K-IFRS반영한경영정보시스템고도화\02. 개발산출물\03. 설계(DE)\02. 경영정보 기능개선(ME)\ME-DE009-보고서레이아웃\ME-DE009-보고서레이아웃(No)-v0.1.docx"/>
    <hyperlink ref="G75" r:id="rId673" display="\\165.213.107.10\share\K-IFRS반영한경영정보시스템고도화\02. 개발산출물\03. 설계(DE)\02. 경영정보 기능개선(ME)\ME-DE009-보고서레이아웃\ME-DE009-보고서레이아웃(No)-v0.1.docx"/>
    <hyperlink ref="G74" r:id="rId674" display="\\165.213.107.10\share\K-IFRS반영한경영정보시스템고도화\02. 개발산출물\03. 설계(DE)\02. 경영정보 기능개선(ME)\ME-DE009-보고서레이아웃\ME-DE009-보고서레이아웃(No)-v0.1.docx"/>
    <hyperlink ref="G73" r:id="rId675" display="\\165.213.107.10\share\K-IFRS반영한경영정보시스템고도화\02. 개발산출물\03. 설계(DE)\02. 경영정보 기능개선(ME)\ME-DE009-보고서레이아웃\02. 인사\ME-DE009-보고서레이아웃(HMA320AA)-v0.1.docx"/>
    <hyperlink ref="G72" r:id="rId676" display="\\165.213.107.10\share\K-IFRS반영한경영정보시스템고도화\02. 개발산출물\03. 설계(DE)\02. 경영정보 기능개선(ME)\ME-DE009-보고서레이아웃\03. 급여\ME-DE009-보고서레이아웃(PMA620AA)-v0.1.docx"/>
    <hyperlink ref="G70" r:id="rId677" display="\\165.213.107.10\share\K-IFRS반영한경영정보시스템고도화\02. 개발산출물\03. 설계(DE)\02. 경영정보 기능개선(ME)\ME-DE009-보고서레이아웃\03. 급여\ME-DE009-보고서레이아웃(PMA620AA)-v0.1.docx"/>
    <hyperlink ref="G69" r:id="rId678" display="\\165.213.107.10\share\K-IFRS반영한경영정보시스템고도화\02. 개발산출물\03. 설계(DE)\02. 경영정보 기능개선(ME)\ME-DE009-보고서레이아웃\03. 급여\ME-DE009-보고서레이아웃(PMA620AA)-v0.1.docx"/>
    <hyperlink ref="G71" r:id="rId679" display="\\165.213.107.10\share\K-IFRS반영한경영정보시스템고도화\02. 개발산출물\03. 설계(DE)\02. 경영정보 기능개선(ME)\ME-DE009-보고서레이아웃\03. 급여\ME-DE009-보고서레이아웃(PMA620AA)-v0.1.docx"/>
    <hyperlink ref="G68" r:id="rId680" display="\\165.213.107.10\share\K-IFRS반영한경영정보시스템고도화\02. 개발산출물\03. 설계(DE)\02. 경영정보 기능개선(ME)\ME-DE009-보고서레이아웃\ME-DE009-보고서레이아웃(No)-v0.1.docx"/>
    <hyperlink ref="G67" r:id="rId681" display="\\165.213.107.10\share\K-IFRS반영한경영정보시스템고도화\02. 개발산출물\03. 설계(DE)\02. 경영정보 기능개선(ME)\ME-DE009-보고서레이아웃\03. 급여\ME-DE009-보고서레이아웃(PMA650AA)-v0.1.docx"/>
    <hyperlink ref="G66" r:id="rId682" display="\\165.213.107.10\share\K-IFRS반영한경영정보시스템고도화\02. 개발산출물\03. 설계(DE)\02. 경영정보 기능개선(ME)\ME-DE009-보고서레이아웃\03. 급여\ME-DE009-보고서레이아웃(PMA650AA)-v0.1.docx"/>
    <hyperlink ref="G64" r:id="rId683" display="\\165.213.107.10\share\K-IFRS반영한경영정보시스템고도화\02. 개발산출물\03. 설계(DE)\02. 경영정보 기능개선(ME)\ME-DE009-보고서레이아웃\03. 급여\ME-DE009-보고서레이아웃(PMA650AA)-v0.1.docx"/>
    <hyperlink ref="G65" r:id="rId684" display="\\165.213.107.10\share\K-IFRS반영한경영정보시스템고도화\02. 개발산출물\03. 설계(DE)\02. 경영정보 기능개선(ME)\ME-DE009-보고서레이아웃\03. 급여\ME-DE009-보고서레이아웃(PMA650AA)-v0.1.docx"/>
    <hyperlink ref="G63" r:id="rId685" display="\\165.213.107.10\share\K-IFRS반영한경영정보시스템고도화\02. 개발산출물\03. 설계(DE)\02. 경영정보 기능개선(ME)\ME-DE009-보고서레이아웃\03. 급여\ME-DE009-보고서레이아웃(PMA620AA)-v0.1.docx"/>
    <hyperlink ref="G62" r:id="rId686" display="\\165.213.107.10\share\K-IFRS반영한경영정보시스템고도화\02. 개발산출물\03. 설계(DE)\02. 경영정보 기능개선(ME)\ME-DE009-보고서레이아웃\03. 급여\ME-DE009-보고서레이아웃(PMA620AA)-v0.1.docx"/>
    <hyperlink ref="G61" r:id="rId687" display="\\165.213.107.10\share\K-IFRS반영한경영정보시스템고도화\02. 개발산출물\03. 설계(DE)\02. 경영정보 기능개선(ME)\ME-DE009-보고서레이아웃\03. 급여\ME-DE009-보고서레이아웃(PMA650AA)-v0.1.docx"/>
    <hyperlink ref="G60" r:id="rId688" display="\\165.213.107.10\share\K-IFRS반영한경영정보시스템고도화\02. 개발산출물\03. 설계(DE)\02. 경영정보 기능개선(ME)\ME-DE009-보고서레이아웃\03. 급여\ME-DE009-보고서레이아웃(PMA660AA)-v0.1.docx"/>
    <hyperlink ref="G59" r:id="rId689" display="\\165.213.107.10\share\K-IFRS반영한경영정보시스템고도화\02. 개발산출물\03. 설계(DE)\02. 경영정보 기능개선(ME)\ME-DE009-보고서레이아웃\ME-DE009-보고서레이아웃(No)-v0.1.docx"/>
    <hyperlink ref="G58" r:id="rId690" display="\\165.213.107.10\share\K-IFRS반영한경영정보시스템고도화\02. 개발산출물\03. 설계(DE)\02. 경영정보 기능개선(ME)\ME-DE009-보고서레이아웃\ME-DE009-보고서레이아웃(No)-v0.1.docx"/>
    <hyperlink ref="G57" r:id="rId691" display="\\165.213.107.10\share\K-IFRS반영한경영정보시스템고도화\02. 개발산출물\03. 설계(DE)\02. 경영정보 기능개선(ME)\ME-DE009-보고서레이아웃\ME-DE009-보고서레이아웃(No)-v0.1.docx"/>
    <hyperlink ref="G56" r:id="rId692" display="\\165.213.107.10\share\K-IFRS반영한경영정보시스템고도화\02. 개발산출물\03. 설계(DE)\02. 경영정보 기능개선(ME)\ME-DE009-보고서레이아웃\ME-DE009-보고서레이아웃(No)-v0.1.docx"/>
    <hyperlink ref="G55" r:id="rId693" display="\\165.213.107.10\share\K-IFRS반영한경영정보시스템고도화\02. 개발산출물\03. 설계(DE)\02. 경영정보 기능개선(ME)\ME-DE009-보고서레이아웃\ME-DE009-보고서레이아웃(No)-v0.1.docx"/>
    <hyperlink ref="G54" r:id="rId694" display="\\165.213.107.10\share\K-IFRS반영한경영정보시스템고도화\02. 개발산출물\03. 설계(DE)\02. 경영정보 기능개선(ME)\ME-DE009-보고서레이아웃\03. 급여\ME-DE009-보고서레이아웃(PMA600AA)-v0.1.docx"/>
    <hyperlink ref="G53" r:id="rId695" display="\\165.213.107.10\share\K-IFRS반영한경영정보시스템고도화\02. 개발산출물\03. 설계(DE)\02. 경영정보 기능개선(ME)\ME-DE009-보고서레이아웃\03. 급여\ME-DE009-보고서레이아웃(PMA620AA)-v0.1.docx"/>
    <hyperlink ref="G52" r:id="rId696" display="\\165.213.107.10\share\K-IFRS반영한경영정보시스템고도화\02. 개발산출물\03. 설계(DE)\02. 경영정보 기능개선(ME)\ME-DE009-보고서레이아웃\03. 급여\ME-DE009-보고서레이아웃(PMA600AA)-v0.1.docx"/>
    <hyperlink ref="G51" r:id="rId697" display="\\165.213.107.10\share\K-IFRS반영한경영정보시스템고도화\02. 개발산출물\03. 설계(DE)\02. 경영정보 기능개선(ME)\ME-DE009-보고서레이아웃\ME-DE009-보고서레이아웃(No)-v0.1.docx"/>
    <hyperlink ref="G49" r:id="rId698" display="\\165.213.107.10\share\K-IFRS반영한경영정보시스템고도화\02. 개발산출물\03. 설계(DE)\02. 경영정보 기능개선(ME)\ME-DE009-보고서레이아웃\03. 급여\ME-DE009-보고서레이아웃(PMA650AA)-v0.1.docx"/>
    <hyperlink ref="G50" r:id="rId699" display="\\165.213.107.10\share\K-IFRS반영한경영정보시스템고도화\02. 개발산출물\03. 설계(DE)\02. 경영정보 기능개선(ME)\ME-DE009-보고서레이아웃\03. 급여\ME-DE009-보고서레이아웃(PMA610AA)-v0.1.docx"/>
    <hyperlink ref="G48" r:id="rId700" display="\\165.213.107.10\share\K-IFRS반영한경영정보시스템고도화\02. 개발산출물\03. 설계(DE)\02. 경영정보 기능개선(ME)\ME-DE009-보고서레이아웃\03. 급여\ME-DE009-보고서레이아웃(PMA600AA)-v0.1.docx"/>
    <hyperlink ref="G47" r:id="rId701" display="\\165.213.107.10\share\K-IFRS반영한경영정보시스템고도화\02. 개발산출물\03. 설계(DE)\02. 경영정보 기능개선(ME)\ME-DE009-보고서레이아웃\03. 급여\ME-DE009-보고서레이아웃(PMA650AA)-v0.1.docx"/>
    <hyperlink ref="G46" r:id="rId702" display="\\165.213.107.10\share\K-IFRS반영한경영정보시스템고도화\02. 개발산출물\03. 설계(DE)\02. 경영정보 기능개선(ME)\ME-DE009-보고서레이아웃\03. 급여\ME-DE009-보고서레이아웃(PMA650AA)-v0.1.docx"/>
    <hyperlink ref="G45" r:id="rId703" display="\\165.213.107.10\share\K-IFRS반영한경영정보시스템고도화\02. 개발산출물\03. 설계(DE)\02. 경영정보 기능개선(ME)\ME-DE009-보고서레이아웃\03. 급여\ME-DE009-보고서레이아웃(PMA600AA)-v0.1.docx"/>
    <hyperlink ref="G44" r:id="rId704" display="\\165.213.107.10\share\K-IFRS반영한경영정보시스템고도화\02. 개발산출물\03. 설계(DE)\02. 경영정보 기능개선(ME)\ME-DE009-보고서레이아웃\02. 인사\ME-DE009-보고서레이아웃(HMA620AS)-v0.1.docx"/>
    <hyperlink ref="G43" r:id="rId705" display="\\165.213.107.10\share\K-IFRS반영한경영정보시스템고도화\02. 개발산출물\03. 설계(DE)\02. 경영정보 기능개선(ME)\ME-DE009-보고서레이아웃\02. 인사\ME-DE009-보고서레이아웃(HMA950AA)-v0.1.docx"/>
    <hyperlink ref="G42" r:id="rId706" display="\\165.213.107.10\share\K-IFRS반영한경영정보시스템고도화\02. 개발산출물\03. 설계(DE)\02. 경영정보 기능개선(ME)\ME-DE009-보고서레이아웃\02. 인사\ME-DE009-보고서레이아웃(HMA950AA)-v0.1.docx"/>
    <hyperlink ref="G41" r:id="rId707" display="\\165.213.107.10\share\K-IFRS반영한경영정보시스템고도화\02. 개발산출물\03. 설계(DE)\02. 경영정보 기능개선(ME)\ME-DE009-보고서레이아웃\02. 인사\ME-DE009-보고서레이아웃(HMA950AA)-v0.1.docx"/>
    <hyperlink ref="G40" r:id="rId708" display="\\165.213.107.10\share\K-IFRS반영한경영정보시스템고도화\02. 개발산출물\03. 설계(DE)\02. 경영정보 기능개선(ME)\ME-DE009-보고서레이아웃\03. 급여\ME-DE009-보고서레이아웃(PMA500AA)-v0.1.docx"/>
    <hyperlink ref="G39" r:id="rId709" display="\\165.213.107.10\share\K-IFRS반영한경영정보시스템고도화\02. 개발산출물\03. 설계(DE)\02. 경영정보 기능개선(ME)\ME-DE009-보고서레이아웃\03. 급여\ME-DE009-보고서레이아웃(PMA520AA)-v0.1.docx"/>
    <hyperlink ref="G38" r:id="rId710" display="\\165.213.107.10\share\K-IFRS반영한경영정보시스템고도화\02. 개발산출물\03. 설계(DE)\02. 경영정보 기능개선(ME)\ME-DE009-보고서레이아웃\03. 급여\ME-DE009-보고서레이아웃(PMA550AA)-v0.1.docx"/>
    <hyperlink ref="G37" r:id="rId711" display="\\165.213.107.10\share\K-IFRS반영한경영정보시스템고도화\02. 개발산출물\03. 설계(DE)\02. 경영정보 기능개선(ME)\ME-DE009-보고서레이아웃\03. 급여\ME-DE009-보고서레이아웃(PMA580AA)-v0.1.docx"/>
    <hyperlink ref="G36" r:id="rId712" display="\\165.213.107.10\share\K-IFRS반영한경영정보시스템고도화\02. 개발산출물\03. 설계(DE)\02. 경영정보 기능개선(ME)\ME-DE009-보고서레이아웃\03. 급여\ME-DE009-보고서레이아웃(PMA630AA)-v0.1.docx"/>
    <hyperlink ref="G33" r:id="rId713" display="\\165.213.107.10\share\K-IFRS반영한경영정보시스템고도화\02. 개발산출물\03. 설계(DE)\02. 경영정보 기능개선(ME)\ME-DE009-보고서레이아웃\ME-DE009-보고서레이아웃(No)-v0.1.docx"/>
    <hyperlink ref="G32" r:id="rId714" display="\\165.213.107.10\share\K-IFRS반영한경영정보시스템고도화\02. 개발산출물\03. 설계(DE)\02. 경영정보 기능개선(ME)\ME-DE009-보고서레이아웃\03. 급여\ME-DE009-보고서레이아웃(PMA110AA)-v0.1.docx"/>
    <hyperlink ref="J188" r:id="rId715" display="\\165.213.107.10\share\K-IFRS반영한경영정보시스템고도화\02. 개발산출물\03. 설계(DE)\02. 경영정보 기능개선(ME)\ME-DE009-보고서레이아웃\02. 인사\ME-DE009-보고서레이아웃(HMA010RP1)-v0.1.docx"/>
    <hyperlink ref="J160" r:id="rId716" display="\\165.213.107.10\share\K-IFRS반영한경영정보시스템고도화\02. 개발산출물\03. 설계(DE)\02. 경영정보 기능개선(ME)\ME-DE009-보고서레이아웃\02. 인사\ME-DE009-보고서레이아웃(HMA200AA)-v0.1.docx"/>
    <hyperlink ref="J161" r:id="rId717" display="\\165.213.107.10\share\K-IFRS반영한경영정보시스템고도화\02. 개발산출물\03. 설계(DE)\02. 경영정보 기능개선(ME)\ME-DE009-보고서레이아웃\02. 인사\ME-DE009-보고서레이아웃(HMA950AA)-v0.1.docx"/>
    <hyperlink ref="J162" r:id="rId718" display="\\165.213.107.10\share\K-IFRS반영한경영정보시스템고도화\02. 개발산출물\03. 설계(DE)\02. 경영정보 기능개선(ME)\ME-DE009-보고서레이아웃\03. 급여\ME-DE009-보고서레이아웃(PMA380AA)-v0.1.docx"/>
    <hyperlink ref="J163" r:id="rId719" display="\\165.213.107.10\share\K-IFRS반영한경영정보시스템고도화\02. 개발산출물\03. 설계(DE)\02. 경영정보 기능개선(ME)\ME-DE009-보고서레이아웃\03. 급여\ME-DE009-보고서레이아웃(PMA070AA)-v0.1.docx"/>
    <hyperlink ref="J164" r:id="rId720" display="\\165.213.107.10\share\K-IFRS반영한경영정보시스템고도화\02. 개발산출물\03. 설계(DE)\02. 경영정보 기능개선(ME)\ME-DE009-보고서레이아웃\03. 급여\ME-DE009-보고서레이아웃(PMA090AA)-v0.1.docx"/>
    <hyperlink ref="J165" r:id="rId721" display="\\165.213.107.10\share\K-IFRS반영한경영정보시스템고도화\02. 개발산출물\03. 설계(DE)\02. 경영정보 기능개선(ME)\ME-DE009-보고서레이아웃\03. 급여\ME-DE009-보고서레이아웃(PMA095AA)-v0.1.docx"/>
    <hyperlink ref="J166" r:id="rId722" display="\\165.213.107.10\share\K-IFRS반영한경영정보시스템고도화\02. 개발산출물\03. 설계(DE)\02. 경영정보 기능개선(ME)\ME-DE009-보고서레이아웃\03. 급여\ME-DE009-보고서레이아웃(PMA105AA)-v0.1.docx"/>
    <hyperlink ref="J167" r:id="rId723" display="\\165.213.107.10\share\K-IFRS반영한경영정보시스템고도화\02. 개발산출물\03. 설계(DE)\02. 경영정보 기능개선(ME)\ME-DE009-보고서레이아웃\03. 급여\ME-DE009-보고서레이아웃(PMA115AA)-v0.1.docx"/>
    <hyperlink ref="J168" r:id="rId724" display="\\165.213.107.10\share\K-IFRS반영한경영정보시스템고도화\02. 개발산출물\03. 설계(DE)\02. 경영정보 기능개선(ME)\ME-DE009-보고서레이아웃\03. 급여\ME-DE009-보고서레이아웃(PMA108AA)-v0.1.docx"/>
    <hyperlink ref="J169" r:id="rId725" display="\\165.213.107.10\share\K-IFRS반영한경영정보시스템고도화\02. 개발산출물\03. 설계(DE)\02. 경영정보 기능개선(ME)\ME-DE009-보고서레이아웃\03. 급여\ME-DE009-보고서레이아웃(PMA108AA)-v0.1.docx"/>
    <hyperlink ref="J170" r:id="rId726" display="\\165.213.107.10\share\K-IFRS반영한경영정보시스템고도화\02. 개발산출물\03. 설계(DE)\02. 경영정보 기능개선(ME)\ME-DE009-보고서레이아웃\03. 급여\ME-DE009-보고서레이아웃(PMA115AS)-v0.1.docx"/>
    <hyperlink ref="J171" r:id="rId727" display="\\165.213.107.10\share\K-IFRS반영한경영정보시스템고도화\02. 개발산출물\03. 설계(DE)\02. 경영정보 기능개선(ME)\ME-DE009-보고서레이아웃\03. 급여\ME-DE009-보고서레이아웃(PMA120AA)-v0.1.docx"/>
    <hyperlink ref="J172" r:id="rId728" display="\\165.213.107.10\share\K-IFRS반영한경영정보시스템고도화\02. 개발산출물\03. 설계(DE)\02. 경영정보 기능개선(ME)\ME-DE009-보고서레이아웃\03. 급여\ME-DE009-보고서레이아웃(PMA122AA)-v0.1.docx"/>
    <hyperlink ref="J173" r:id="rId729" display="\\165.213.107.10\share\K-IFRS반영한경영정보시스템고도화\02. 개발산출물\03. 설계(DE)\02. 경영정보 기능개선(ME)\ME-DE009-보고서레이아웃\03. 급여\ME-DE009-보고서레이아웃(PMA130AA)-v0.1.docx"/>
    <hyperlink ref="J174" r:id="rId730" display="\\165.213.107.10\share\K-IFRS반영한경영정보시스템고도화\02. 개발산출물\03. 설계(DE)\02. 경영정보 기능개선(ME)\ME-DE009-보고서레이아웃\03. 급여\ME-DE009-보고서레이아웃(PMA145AA)-v0.1.docx"/>
    <hyperlink ref="J175" r:id="rId731" display="\\165.213.107.10\share\K-IFRS반영한경영정보시스템고도화\02. 개발산출물\03. 설계(DE)\02. 경영정보 기능개선(ME)\ME-DE009-보고서레이아웃\03. 급여\ME-DE009-보고서레이아웃(PMH205AA)-v0.1.docx"/>
    <hyperlink ref="J176" r:id="rId732" display="\\165.213.107.10\share\K-IFRS반영한경영정보시스템고도화\02. 개발산출물\03. 설계(DE)\02. 경영정보 기능개선(ME)\ME-DE009-보고서레이아웃\02. 인사\ME-DE009-보고서레이아웃(HMA600AA)-v0.1.docx"/>
    <hyperlink ref="J177" r:id="rId733" display="\\165.213.107.10\share\K-IFRS반영한경영정보시스템고도화\02. 개발산출물\03. 설계(DE)\02. 경영정보 기능개선(ME)\ME-DE009-보고서레이아웃\02. 인사\ME-DE009-보고서레이아웃(HMA290AA)-v0.1.docx"/>
    <hyperlink ref="J178" r:id="rId734" display="\\165.213.107.10\share\K-IFRS반영한경영정보시스템고도화\02. 개발산출물\03. 설계(DE)\02. 경영정보 기능개선(ME)\ME-DE009-보고서레이아웃\02. 인사\ME-DE009-보고서레이아웃(HMA030AA)-v0.1.docx"/>
    <hyperlink ref="J179" r:id="rId735" display="\\165.213.107.10\share\K-IFRS반영한경영정보시스템고도화\02. 개발산출물\03. 설계(DE)\02. 경영정보 기능개선(ME)\ME-DE009-보고서레이아웃\02. 인사\ME-DE009-보고서레이아웃(HMA090AA)-v0.1.docx"/>
    <hyperlink ref="J180" r:id="rId736" display="\\165.213.107.10\share\K-IFRS반영한경영정보시스템고도화\02. 개발산출물\03. 설계(DE)\02. 경영정보 기능개선(ME)\ME-DE009-보고서레이아웃\02. 인사\ME-DE009-보고서레이아웃(HMA011AS)-v0.1.docx"/>
    <hyperlink ref="J181" r:id="rId737" display="\\165.213.107.10\share\K-IFRS반영한경영정보시스템고도화\02. 개발산출물\03. 설계(DE)\02. 경영정보 기능개선(ME)\ME-DE009-보고서레이아웃\02. 인사\ME-DE009-보고서레이아웃(HMA011AS)-v0.1.docx"/>
    <hyperlink ref="J182" r:id="rId738" display="\\165.213.107.10\share\K-IFRS반영한경영정보시스템고도화\02. 개발산출물\03. 설계(DE)\02. 경영정보 기능개선(ME)\ME-DE009-보고서레이아웃\03. 급여\ME-DE009-보고서레이아웃(PMA156AS)-v0.1.docx"/>
    <hyperlink ref="J183" r:id="rId739" display="\\165.213.107.10\share\K-IFRS반영한경영정보시스템고도화\02. 개발산출물\03. 설계(DE)\02. 경영정보 기능개선(ME)\ME-DE009-보고서레이아웃\03. 급여\ME-DE009-보고서레이아웃(PMA156AS)-v0.1.docx"/>
    <hyperlink ref="J185" r:id="rId740" display="\\165.213.107.10\share\K-IFRS반영한경영정보시스템고도화\02. 개발산출물\03. 설계(DE)\02. 경영정보 기능개선(ME)\ME-DE009-보고서레이아웃\03. 급여\ME-DE009-보고서레이아웃(SF_FIND_OFO_DAT)-v0.1.docx"/>
    <hyperlink ref="J186" r:id="rId741" display="\\165.213.107.10\share\K-IFRS반영한경영정보시스템고도화\02. 개발산출물\03. 설계(DE)\02. 경영정보 기능개선(ME)\ME-DE009-보고서레이아웃\02. 인사\ME-DE009-보고서레이아웃(HMB470AS)-v0.1.docx"/>
    <hyperlink ref="J187" r:id="rId742" display="\\165.213.107.10\share\K-IFRS반영한경영정보시스템고도화\02. 개발산출물\03. 설계(DE)\02. 경영정보 기능개선(ME)\ME-DE009-보고서레이아웃\02. 인사\ME-DE009-보고서레이아웃(HMA145AA)-v0.1.docx"/>
    <hyperlink ref="J190" r:id="rId743" display="\\165.213.107.10\share\K-IFRS반영한경영정보시스템고도화\02. 개발산출물\03. 설계(DE)\02. 경영정보 기능개선(ME)\ME-DE009-보고서레이아웃\07. 자산\ME-DE009-보고서레이아웃(AMA290AS)-v0.1.docx"/>
    <hyperlink ref="J191" r:id="rId744" display="\\165.213.107.10\share\K-IFRS반영한경영정보시스템고도화\02. 개발산출물\03. 설계(DE)\02. 경영정보 기능개선(ME)\ME-DE009-보고서레이아웃\07. 자산\ME-DE009-보고서레이아웃(AMA280AS)-v0.1.docx"/>
    <hyperlink ref="J192" r:id="rId745" display="\\165.213.107.10\share\K-IFRS반영한경영정보시스템고도화\02. 개발산출물\03. 설계(DE)\02. 경영정보 기능개선(ME)\ME-DE009-보고서레이아웃\07. 자산\ME-DE009-보고서레이아웃(AMA210AS)-v0.1.docx"/>
    <hyperlink ref="J193" r:id="rId746" display="\\165.213.107.10\share\K-IFRS반영한경영정보시스템고도화\02. 개발산출물\03. 설계(DE)\02. 경영정보 기능개선(ME)\ME-DE009-보고서레이아웃\07. 자산\ME-DE009-보고서레이아웃(AMA601AA)-v0.1.docx"/>
    <hyperlink ref="J194" r:id="rId747" display="\\165.213.107.10\share\K-IFRS반영한경영정보시스템고도화\02. 개발산출물\03. 설계(DE)\02. 경영정보 기능개선(ME)\ME-DE009-보고서레이아웃\02. 인사\ME-DE009-보고서레이아웃(HMA620AS)-v0.1.docx"/>
    <hyperlink ref="J195" r:id="rId748" display="\\165.213.107.10\share\K-IFRS반영한경영정보시스템고도화\02. 개발산출물\03. 설계(DE)\02. 경영정보 기능개선(ME)\ME-DE009-보고서레이아웃\ME-DE009-보고서레이아웃(-)-v0.1.docx"/>
    <hyperlink ref="J196" r:id="rId749" display="\\165.213.107.10\share\K-IFRS반영한경영정보시스템고도화\02. 개발산출물\03. 설계(DE)\02. 경영정보 기능개선(ME)\ME-DE009-보고서레이아웃\ME-DE009-보고서레이아웃(-)-v0.1.docx"/>
    <hyperlink ref="J197" r:id="rId750" display="\\165.213.107.10\share\K-IFRS반영한경영정보시스템고도화\02. 개발산출물\03. 설계(DE)\02. 경영정보 기능개선(ME)\ME-DE009-보고서레이아웃\ME-DE009-보고서레이아웃(-)-v0.1.docx"/>
    <hyperlink ref="J198" r:id="rId751" display="\\165.213.107.10\share\K-IFRS반영한경영정보시스템고도화\02. 개발산출물\03. 설계(DE)\02. 경영정보 기능개선(ME)\ME-DE009-보고서레이아웃\ME-DE009-보고서레이아웃(-)-v0.1.docx"/>
    <hyperlink ref="J199" r:id="rId752" display="\\165.213.107.10\share\K-IFRS반영한경영정보시스템고도화\02. 개발산출물\03. 설계(DE)\02. 경영정보 기능개선(ME)\ME-DE009-보고서레이아웃\ME-DE009-보고서레이아웃(-)-v0.1.docx"/>
    <hyperlink ref="J156" r:id="rId753" display="\\165.213.107.10\share\K-IFRS반영한경영정보시스템고도화\02. 개발산출물\03. 설계(DE)\02. 경영정보 기능개선(ME)\ME-DE009-보고서레이아웃\02. 인사\ME-DE009-보고서레이아웃(HMA950AA)-v0.1.docx"/>
    <hyperlink ref="J158" r:id="rId754" display="\\165.213.107.10\share\K-IFRS반영한경영정보시스템고도화\02. 개발산출물\03. 설계(DE)\02. 경영정보 기능개선(ME)\ME-DE009-보고서레이아웃\02. 인사\ME-DE009-보고서레이아웃(HMA950AA)-v0.1.docx"/>
    <hyperlink ref="J159" r:id="rId755" display="\\165.213.107.10\share\K-IFRS반영한경영정보시스템고도화\02. 개발산출물\03. 설계(DE)\02. 경영정보 기능개선(ME)\ME-DE009-보고서레이아웃\02. 인사\ME-DE009-보고서레이아웃(HMA320AA)-v0.1.docx"/>
    <hyperlink ref="J155" r:id="rId756" display="\\165.213.107.10\share\K-IFRS반영한경영정보시스템고도화\02. 개발산출물\03. 설계(DE)\02. 경영정보 기능개선(ME)\ME-DE009-보고서레이아웃\02. 인사\ME-DE009-보고서레이아웃(HMA950AA)-v0.1.docx"/>
    <hyperlink ref="J157" r:id="rId757" display="\\165.213.107.10\share\K-IFRS반영한경영정보시스템고도화\02. 개발산출물\03. 설계(DE)\02. 경영정보 기능개선(ME)\ME-DE009-보고서레이아웃\02. 인사\ME-DE009-보고서레이아웃(HMA950AA)-v0.1.docx"/>
    <hyperlink ref="J154" r:id="rId758" display="\\165.213.107.10\share\K-IFRS반영한경영정보시스템고도화\02. 개발산출물\03. 설계(DE)\02. 경영정보 기능개선(ME)\ME-DE009-보고서레이아웃\02. 인사\ME-DE009-보고서레이아웃(HMA340AA)-v0.1.docx"/>
    <hyperlink ref="J153" r:id="rId759" display="\\165.213.107.10\share\K-IFRS반영한경영정보시스템고도화\02. 개발산출물\03. 설계(DE)\02. 경영정보 기능개선(ME)\ME-DE009-보고서레이아웃\03. 급여\ME-DE009-보고서레이아웃(PMA260AS_x000a_PMA265AS)-v0.1.docx"/>
    <hyperlink ref="J147" r:id="rId760" display="\\165.213.107.10\share\K-IFRS반영한경영정보시스템고도화\02. 개발산출물\03. 설계(DE)\02. 경영정보 기능개선(ME)\ME-DE009-보고서레이아웃\03. 급여\ME-DE009-보고서레이아웃(PMA130AA)-v0.1.docx"/>
    <hyperlink ref="J148" r:id="rId761" display="\\165.213.107.10\share\K-IFRS반영한경영정보시스템고도화\02. 개발산출물\03. 설계(DE)\02. 경영정보 기능개선(ME)\ME-DE009-보고서레이아웃\03. 급여\ME-DE009-보고서레이아웃(PMA120AA)-v0.1.docx"/>
    <hyperlink ref="J122" r:id="rId762" display="\\165.213.107.10\share\K-IFRS반영한경영정보시스템고도화\02. 개발산출물\03. 설계(DE)\02. 경영정보 기능개선(ME)\ME-DE009-보고서레이아웃\03. 급여\ME-DE009-보고서레이아웃(PMA140AA)-v0.1.docx"/>
    <hyperlink ref="J146" r:id="rId763" display="\\165.213.107.10\share\K-IFRS반영한경영정보시스템고도화\02. 개발산출물\03. 설계(DE)\02. 경영정보 기능개선(ME)\ME-DE009-보고서레이아웃\03. 급여\ME-DE009-보고서레이아웃(PMA120AA)-v0.1.docx"/>
    <hyperlink ref="J139" r:id="rId764" display="\\165.213.107.10\share\K-IFRS반영한경영정보시스템고도화\02. 개발산출물\03. 설계(DE)\02. 경영정보 기능개선(ME)\ME-DE009-보고서레이아웃\03. 급여\ME-DE009-보고서레이아웃(PMA110AA)-v0.1.docx"/>
    <hyperlink ref="J149" r:id="rId765" display="\\165.213.107.10\share\K-IFRS반영한경영정보시스템고도화\02. 개발산출물\03. 설계(DE)\02. 경영정보 기능개선(ME)\ME-DE009-보고서레이아웃\03. 급여\ME-DE009-보고서레이아웃(PMA110AA)-v0.1.docx"/>
    <hyperlink ref="J152" r:id="rId766" display="\\165.213.107.10\share\K-IFRS반영한경영정보시스템고도화\02. 개발산출물\03. 설계(DE)\02. 경영정보 기능개선(ME)\ME-DE009-보고서레이아웃\03. 급여\ME-DE009-보고서레이아웃(PMA230AA)-v0.1.docx"/>
    <hyperlink ref="J150" r:id="rId767" display="\\165.213.107.10\share\K-IFRS반영한경영정보시스템고도화\02. 개발산출물\03. 설계(DE)\02. 경영정보 기능개선(ME)\ME-DE009-보고서레이아웃\03. 급여\ME-DE009-보고서레이아웃(PMA110AA)-v0.1.docx"/>
    <hyperlink ref="J151" r:id="rId768" display="\\165.213.107.10\share\K-IFRS반영한경영정보시스템고도화\02. 개발산출물\03. 설계(DE)\02. 경영정보 기능개선(ME)\ME-DE009-보고서레이아웃\03. 급여\ME-DE009-보고서레이아웃(PMA140AA)-v0.1.docx"/>
    <hyperlink ref="J121" r:id="rId769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J134" r:id="rId770" display="\\165.213.107.10\share\K-IFRS반영한경영정보시스템고도화\02. 개발산출물\03. 설계(DE)\02. 경영정보 기능개선(ME)\ME-DE009-보고서레이아웃\03. 급여\ME-DE009-보고서레이아웃(PMA510AA)-v0.1.docx"/>
    <hyperlink ref="J135" r:id="rId771" display="\\165.213.107.10\share\K-IFRS반영한경영정보시스템고도화\02. 개발산출물\03. 설계(DE)\02. 경영정보 기능개선(ME)\ME-DE009-보고서레이아웃\03. 급여\ME-DE009-보고서레이아웃(PMA550AA)-v0.1.docx"/>
    <hyperlink ref="J138" r:id="rId772" display="\\165.213.107.10\share\K-IFRS반영한경영정보시스템고도화\02. 개발산출물\03. 설계(DE)\02. 경영정보 기능개선(ME)\ME-DE009-보고서레이아웃\03. 급여\ME-DE009-보고서레이아웃(PMA100AA)-v0.1.docx"/>
    <hyperlink ref="J132" r:id="rId773" display="\\165.213.107.10\share\K-IFRS반영한경영정보시스템고도화\02. 개발산출물\03. 설계(DE)\02. 경영정보 기능개선(ME)\ME-DE009-보고서레이아웃\03. 급여\ME-DE009-보고서레이아웃(PMA520AA)-v0.1.docx"/>
    <hyperlink ref="J137" r:id="rId774" display="\\165.213.107.10\share\K-IFRS반영한경영정보시스템고도화\02. 개발산출물\03. 설계(DE)\02. 경영정보 기능개선(ME)\ME-DE009-보고서레이아웃\03. 급여\ME-DE009-보고서레이아웃(PMA540AA)-v0.1.docx"/>
    <hyperlink ref="J140" r:id="rId775" display="\\165.213.107.10\share\K-IFRS반영한경영정보시스템고도화\02. 개발산출물\03. 설계(DE)\02. 경영정보 기능개선(ME)\ME-DE009-보고서레이아웃\03. 급여\ME-DE009-보고서레이아웃(PMA110AA)-v0.1.docx"/>
    <hyperlink ref="J131" r:id="rId776" display="\\165.213.107.10\share\K-IFRS반영한경영정보시스템고도화\02. 개발산출물\03. 설계(DE)\02. 경영정보 기능개선(ME)\ME-DE009-보고서레이아웃\03. 급여\ME-DE009-보고서레이아웃(PMA140AA)-v0.1.docx"/>
    <hyperlink ref="J130" r:id="rId777" display="\\165.213.107.10\share\K-IFRS반영한경영정보시스템고도화\02. 개발산출물\03. 설계(DE)\02. 경영정보 기능개선(ME)\ME-DE009-보고서레이아웃\03. 급여\ME-DE009-보고서레이아웃(PMA110AA)-v0.1.docx"/>
    <hyperlink ref="J133" r:id="rId778" display="\\165.213.107.10\share\K-IFRS반영한경영정보시스템고도화\02. 개발산출물\03. 설계(DE)\02. 경영정보 기능개선(ME)\ME-DE009-보고서레이아웃\03. 급여\ME-DE009-보고서레이아웃(PMA560AA)-v0.1.docx"/>
    <hyperlink ref="J141" r:id="rId779" display="\\165.213.107.10\share\K-IFRS반영한경영정보시스템고도화\02. 개발산출물\03. 설계(DE)\02. 경영정보 기능개선(ME)\ME-DE009-보고서레이아웃\03. 급여\ME-DE009-보고서레이아웃(PMA110AA)-v0.1.docx"/>
    <hyperlink ref="J142" r:id="rId780" display="\\165.213.107.10\share\K-IFRS반영한경영정보시스템고도화\02. 개발산출물\03. 설계(DE)\02. 경영정보 기능개선(ME)\ME-DE009-보고서레이아웃\03. 급여\ME-DE009-보고서레이아웃(PMA110AA)-v0.1.docx"/>
    <hyperlink ref="J143" r:id="rId781" display="\\165.213.107.10\share\K-IFRS반영한경영정보시스템고도화\02. 개발산출물\03. 설계(DE)\02. 경영정보 기능개선(ME)\ME-DE009-보고서레이아웃\03. 급여\ME-DE009-보고서레이아웃(PMA110AA)-v0.1.docx"/>
    <hyperlink ref="J144" r:id="rId782" display="\\165.213.107.10\share\K-IFRS반영한경영정보시스템고도화\02. 개발산출물\03. 설계(DE)\02. 경영정보 기능개선(ME)\ME-DE009-보고서레이아웃\03. 급여\ME-DE009-보고서레이아웃(PMA110AA)-v0.1.docx"/>
    <hyperlink ref="J145" r:id="rId783" display="\\165.213.107.10\share\K-IFRS반영한경영정보시스템고도화\02. 개발산출물\03. 설계(DE)\02. 경영정보 기능개선(ME)\ME-DE009-보고서레이아웃\03. 급여\ME-DE009-보고서레이아웃(PMA110AA)-v0.1.docx"/>
    <hyperlink ref="J136" r:id="rId784" display="\\165.213.107.10\share\K-IFRS반영한경영정보시스템고도화\02. 개발산출물\03. 설계(DE)\02. 경영정보 기능개선(ME)\ME-DE009-보고서레이아웃\03. 급여\ME-DE009-보고서레이아웃(PMA500AA)-v0.1.docx"/>
    <hyperlink ref="J129" r:id="rId785" display="\\165.213.107.10\share\K-IFRS반영한경영정보시스템고도화\02. 개발산출물\03. 설계(DE)\02. 경영정보 기능개선(ME)\ME-DE009-보고서레이아웃\03. 급여\ME-DE009-보고서레이아웃(PMA110AA)-v0.1.docx"/>
    <hyperlink ref="J126" r:id="rId786" display="\\165.213.107.10\share\K-IFRS반영한경영정보시스템고도화\02. 개발산출물\03. 설계(DE)\02. 경영정보 기능개선(ME)\ME-DE009-보고서레이아웃\03. 급여\ME-DE009-보고서레이아웃(PMC270AA)-v0.1.docx"/>
    <hyperlink ref="J128" r:id="rId787" display="\\165.213.107.10\share\K-IFRS반영한경영정보시스템고도화\02. 개발산출물\03. 설계(DE)\02. 경영정보 기능개선(ME)\ME-DE009-보고서레이아웃\03. 급여\ME-DE009-보고서레이아웃(PMA110AA)-v0.1.docx"/>
    <hyperlink ref="J125" r:id="rId788" display="\\165.213.107.10\share\K-IFRS반영한경영정보시스템고도화\02. 개발산출물\03. 설계(DE)\02. 경영정보 기능개선(ME)\ME-DE009-보고서레이아웃\03. 급여\ME-DE009-보고서레이아웃(PMC050AS)-v0.1.docx"/>
    <hyperlink ref="J127" r:id="rId789" display="\\165.213.107.10\share\K-IFRS반영한경영정보시스템고도화\02. 개발산출물\03. 설계(DE)\02. 경영정보 기능개선(ME)\ME-DE009-보고서레이아웃\03. 급여\ME-DE009-보고서레이아웃(PMA440AS)-v0.1.docx"/>
    <hyperlink ref="J123" r:id="rId790" display="\\165.213.107.10\share\K-IFRS반영한경영정보시스템고도화\02. 개발산출물\03. 설계(DE)\02. 경영정보 기능개선(ME)\ME-DE009-보고서레이아웃\03. 급여\ME-DE009-보고서레이아웃(PMA260AS_x000a_PMA265AS)-v0.1.docx"/>
    <hyperlink ref="J124" r:id="rId791" display="\\165.213.107.10\share\K-IFRS반영한경영정보시스템고도화\02. 개발산출물\03. 설계(DE)\02. 경영정보 기능개선(ME)\ME-DE009-보고서레이아웃\02. 인사\ME-DE009-보고서레이아웃(-)-v0.1.docx"/>
    <hyperlink ref="J118" r:id="rId792" display="\\165.213.107.10\share\K-IFRS반영한경영정보시스템고도화\02. 개발산출물\03. 설계(DE)\02. 경영정보 기능개선(ME)\ME-DE009-보고서레이아웃\03. 급여\ME-DE009-보고서레이아웃(PMA600AA)-v0.1.docx"/>
    <hyperlink ref="J116" r:id="rId793" display="\\165.213.107.10\share\K-IFRS반영한경영정보시스템고도화\02. 개발산출물\03. 설계(DE)\02. 경영정보 기능개선(ME)\ME-DE009-보고서레이아웃\03. 급여\ME-DE009-보고서레이아웃(PMA610AA)-v0.1.docx"/>
    <hyperlink ref="J117" r:id="rId794" display="\\165.213.107.10\share\K-IFRS반영한경영정보시스템고도화\02. 개발산출물\03. 설계(DE)\02. 경영정보 기능개선(ME)\ME-DE009-보고서레이아웃\03. 급여\ME-DE009-보고서레이아웃(PMA600AA)-v0.1.docx"/>
    <hyperlink ref="J119" r:id="rId795" display="\\165.213.107.10\share\K-IFRS반영한경영정보시스템고도화\02. 개발산출물\03. 설계(DE)\02. 경영정보 기능개선(ME)\ME-DE009-보고서레이아웃\03. 급여\ME-DE009-보고서레이아웃(PMA600AA)-v0.1.docx"/>
    <hyperlink ref="J120" r:id="rId796" display="\\165.213.107.10\share\K-IFRS반영한경영정보시스템고도화\02. 개발산출물\03. 설계(DE)\02. 경영정보 기능개선(ME)\ME-DE009-보고서레이아웃\03. 급여\ME-DE009-보고서레이아웃(PMA600AA)-v0.1.docx"/>
    <hyperlink ref="J113" r:id="rId797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J112" r:id="rId798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J114" r:id="rId799" display="\\165.213.107.10\share\K-IFRS반영한경영정보시스템고도화\02. 개발산출물\03. 설계(DE)\02. 경영정보 기능개선(ME)\ME-DE009-보고서레이아웃\03. 급여\ME-DE009-보고서레이아웃(PMA620AA)-v0.1.docx"/>
    <hyperlink ref="J115" r:id="rId800" display="\\165.213.107.10\share\K-IFRS반영한경영정보시스템고도화\02. 개발산출물\03. 설계(DE)\02. 경영정보 기능개선(ME)\ME-DE009-보고서레이아웃\03. 급여\ME-DE009-보고서레이아웃(PMA620AA)-v0.1.docx"/>
    <hyperlink ref="J111" r:id="rId801" display="\\165.213.107.10\share\K-IFRS반영한경영정보시스템고도화\02. 개발산출물\03. 설계(DE)\02. 경영정보 기능개선(ME)\ME-DE009-보고서레이아웃\03. 급여\ME-DE009-보고서레이아웃(PMA630AA)-v0.1.docx"/>
    <hyperlink ref="J110" r:id="rId802" display="\\165.213.107.10\share\K-IFRS반영한경영정보시스템고도화\02. 개발산출물\03. 설계(DE)\02. 경영정보 기능개선(ME)\ME-DE009-보고서레이아웃\03. 급여\ME-DE009-보고서레이아웃(PMA630AA)-v0.1.docx"/>
    <hyperlink ref="J97" r:id="rId803" display="\\165.213.107.10\share\K-IFRS반영한경영정보시스템고도화\02. 개발산출물\03. 설계(DE)\02. 경영정보 기능개선(ME)\ME-DE009-보고서레이아웃\03. 급여\ME-DE009-보고서레이아웃(PMA620AA)-v0.1.docx"/>
    <hyperlink ref="J85" r:id="rId804" display="\\165.213.107.10\share\K-IFRS반영한경영정보시스템고도화\02. 개발산출물\03. 설계(DE)\02. 경영정보 기능개선(ME)\ME-DE009-보고서레이아웃\03. 급여\ME-DE009-보고서레이아웃(PMA620AA)-v0.1.docx"/>
    <hyperlink ref="J108" r:id="rId805" display="\\165.213.107.10\share\K-IFRS반영한경영정보시스템고도화\02. 개발산출물\03. 설계(DE)\02. 경영정보 기능개선(ME)\ME-DE009-보고서레이아웃\03. 급여\ME-DE009-보고서레이아웃(PMA620AA)-v0.1.docx"/>
    <hyperlink ref="J107" r:id="rId806" display="\\165.213.107.10\share\K-IFRS반영한경영정보시스템고도화\02. 개발산출물\03. 설계(DE)\02. 경영정보 기능개선(ME)\ME-DE009-보고서레이아웃\03. 급여\ME-DE009-보고서레이아웃(PMA620AA)-v0.1.docx"/>
    <hyperlink ref="J86" r:id="rId807" display="\\165.213.107.10\share\K-IFRS반영한경영정보시스템고도화\02. 개발산출물\03. 설계(DE)\02. 경영정보 기능개선(ME)\ME-DE009-보고서레이아웃\03. 급여\ME-DE009-보고서레이아웃(PMA620AA)-v0.1.docx"/>
    <hyperlink ref="J89" r:id="rId808" display="\\165.213.107.10\share\K-IFRS반영한경영정보시스템고도화\02. 개발산출물\03. 설계(DE)\02. 경영정보 기능개선(ME)\ME-DE009-보고서레이아웃\03. 급여\ME-DE009-보고서레이아웃(PMA600AA)-v0.1.docx"/>
    <hyperlink ref="J93" r:id="rId809" display="\\165.213.107.10\share\K-IFRS반영한경영정보시스템고도화\02. 개발산출물\03. 설계(DE)\02. 경영정보 기능개선(ME)\ME-DE009-보고서레이아웃\03. 급여\ME-DE009-보고서레이아웃(PMA620AA)-v0.1.docx"/>
    <hyperlink ref="J106" r:id="rId810" display="\\165.213.107.10\share\K-IFRS반영한경영정보시스템고도화\02. 개발산출물\03. 설계(DE)\02. 경영정보 기능개선(ME)\ME-DE009-보고서레이아웃\03. 급여\ME-DE009-보고서레이아웃(PMA620AA)-v0.1.docx"/>
    <hyperlink ref="J95" r:id="rId811" display="\\165.213.107.10\share\K-IFRS반영한경영정보시스템고도화\02. 개발산출물\03. 설계(DE)\02. 경영정보 기능개선(ME)\ME-DE009-보고서레이아웃\03. 급여\ME-DE009-보고서레이아웃(PMA620AA)-v0.1.docx"/>
    <hyperlink ref="J91" r:id="rId812" display="\\165.213.107.10\share\K-IFRS반영한경영정보시스템고도화\02. 개발산출물\03. 설계(DE)\02. 경영정보 기능개선(ME)\ME-DE009-보고서레이아웃\03. 급여\ME-DE009-보고서레이아웃(PMA620AA)-v0.1.docx"/>
    <hyperlink ref="J96" r:id="rId813" display="\\165.213.107.10\share\K-IFRS반영한경영정보시스템고도화\02. 개발산출물\03. 설계(DE)\02. 경영정보 기능개선(ME)\ME-DE009-보고서레이아웃\03. 급여\ME-DE009-보고서레이아웃(PMA620AA)-v0.1.docx"/>
    <hyperlink ref="J92" r:id="rId814" display="\\165.213.107.10\share\K-IFRS반영한경영정보시스템고도화\02. 개발산출물\03. 설계(DE)\02. 경영정보 기능개선(ME)\ME-DE009-보고서레이아웃\03. 급여\ME-DE009-보고서레이아웃(PMA620AA)-v0.1.docx"/>
    <hyperlink ref="J99" r:id="rId815" display="\\165.213.107.10\share\K-IFRS반영한경영정보시스템고도화\02. 개발산출물\03. 설계(DE)\02. 경영정보 기능개선(ME)\ME-DE009-보고서레이아웃\03. 급여\ME-DE009-보고서레이아웃(PMA620AA)-v0.1.docx"/>
    <hyperlink ref="J94" r:id="rId816" display="\\165.213.107.10\share\K-IFRS반영한경영정보시스템고도화\02. 개발산출물\03. 설계(DE)\02. 경영정보 기능개선(ME)\ME-DE009-보고서레이아웃\03. 급여\ME-DE009-보고서레이아웃(PMA620AA)-v0.1.docx"/>
    <hyperlink ref="J87" r:id="rId817" display="\\165.213.107.10\share\K-IFRS반영한경영정보시스템고도화\02. 개발산출물\03. 설계(DE)\02. 경영정보 기능개선(ME)\ME-DE009-보고서레이아웃\03. 급여\ME-DE009-보고서레이아웃(PMA620AA)-v0.1.docx"/>
    <hyperlink ref="J78" r:id="rId818" display="\\165.213.107.10\share\K-IFRS반영한경영정보시스템고도화\02. 개발산출물\03. 설계(DE)\02. 경영정보 기능개선(ME)\ME-DE009-보고서레이아웃\03. 급여\ME-DE009-보고서레이아웃(PMA620AA)-v0.1.docx"/>
    <hyperlink ref="J109" r:id="rId819" display="\\165.213.107.10\share\K-IFRS반영한경영정보시스템고도화\02. 개발산출물\03. 설계(DE)\02. 경영정보 기능개선(ME)\ME-DE009-보고서레이아웃\03. 급여\ME-DE009-보고서레이아웃(-)-v0.1.docx"/>
    <hyperlink ref="J80" r:id="rId820" display="\\165.213.107.10\share\K-IFRS반영한경영정보시스템고도화\02. 개발산출물\03. 설계(DE)\02. 경영정보 기능개선(ME)\ME-DE009-보고서레이아웃\03. 급여\ME-DE009-보고서레이아웃(PMA110AA)-v0.1.docx"/>
    <hyperlink ref="J79" r:id="rId821" display="\\165.213.107.10\share\K-IFRS반영한경영정보시스템고도화\02. 개발산출물\03. 설계(DE)\02. 경영정보 기능개선(ME)\ME-DE009-보고서레이아웃\03. 급여\ME-DE009-보고서레이아웃(PMA110AA)-v0.1.docx"/>
    <hyperlink ref="J88" r:id="rId822" display="\\165.213.107.10\share\K-IFRS반영한경영정보시스템고도화\02. 개발산출물\03. 설계(DE)\02. 경영정보 기능개선(ME)\ME-DE009-보고서레이아웃\03. 급여\ME-DE009-보고서레이아웃(PMA600AA)-v0.1.docx"/>
    <hyperlink ref="J90" r:id="rId823" display="\\165.213.107.10\share\K-IFRS반영한경영정보시스템고도화\02. 개발산출물\03. 설계(DE)\02. 경영정보 기능개선(ME)\ME-DE009-보고서레이아웃\03. 급여\ME-DE009-보고서레이아웃(PMA600AA)-v0.1.docx"/>
    <hyperlink ref="J98" r:id="rId824" display="\\165.213.107.10\share\K-IFRS반영한경영정보시스템고도화\02. 개발산출물\03. 설계(DE)\02. 경영정보 기능개선(ME)\ME-DE009-보고서레이아웃\03. 급여\ME-DE009-보고서레이아웃(PMA600AA)-v0.1.docx"/>
    <hyperlink ref="J100" r:id="rId825" display="\\165.213.107.10\share\K-IFRS반영한경영정보시스템고도화\02. 개발산출물\03. 설계(DE)\02. 경영정보 기능개선(ME)\ME-DE009-보고서레이아웃\03. 급여\ME-DE009-보고서레이아웃(PMA620AA)-v0.1.docx"/>
    <hyperlink ref="J101" r:id="rId826" display="\\165.213.107.10\share\K-IFRS반영한경영정보시스템고도화\02. 개발산출물\03. 설계(DE)\02. 경영정보 기능개선(ME)\ME-DE009-보고서레이아웃\03. 급여\ME-DE009-보고서레이아웃(PMA110AA)-v0.1.docx"/>
    <hyperlink ref="J102" r:id="rId827" display="\\165.213.107.10\share\K-IFRS반영한경영정보시스템고도화\02. 개발산출물\03. 설계(DE)\02. 경영정보 기능개선(ME)\ME-DE009-보고서레이아웃\03. 급여\ME-DE009-보고서레이아웃(PMA110AA)-v0.1.docx"/>
    <hyperlink ref="J103" r:id="rId828" display="\\165.213.107.10\share\K-IFRS반영한경영정보시스템고도화\02. 개발산출물\03. 설계(DE)\02. 경영정보 기능개선(ME)\ME-DE009-보고서레이아웃\03. 급여\ME-DE009-보고서레이아웃(PMA110AA)-v0.1.docx"/>
    <hyperlink ref="J104" r:id="rId829" display="\\165.213.107.10\share\K-IFRS반영한경영정보시스템고도화\02. 개발산출물\03. 설계(DE)\02. 경영정보 기능개선(ME)\ME-DE009-보고서레이아웃\03. 급여\ME-DE009-보고서레이아웃(PMA110AA)-v0.1.docx"/>
    <hyperlink ref="J105" r:id="rId830" display="\\165.213.107.10\share\K-IFRS반영한경영정보시스템고도화\02. 개발산출물\03. 설계(DE)\02. 경영정보 기능개선(ME)\ME-DE009-보고서레이아웃\03. 급여\ME-DE009-보고서레이아웃(PMA110AA)-v0.1.docx"/>
    <hyperlink ref="J77" r:id="rId831" display="\\165.213.107.10\share\K-IFRS반영한경영정보시스템고도화\02. 개발산출물\03. 설계(DE)\02. 경영정보 기능개선(ME)\ME-DE009-보고서레이아웃\03. 급여\ME-DE009-보고서레이아웃(PMA600AA)-v0.1.docx"/>
    <hyperlink ref="J76" r:id="rId832" display="\\165.213.107.10\share\K-IFRS반영한경영정보시스템고도화\02. 개발산출물\03. 설계(DE)\02. 경영정보 기능개선(ME)\ME-DE009-보고서레이아웃\03. 급여\ME-DE009-보고서레이아웃(PMA600AA)-v0.1.docx"/>
    <hyperlink ref="J75" r:id="rId833" display="\\165.213.107.10\share\K-IFRS반영한경영정보시스템고도화\02. 개발산출물\03. 설계(DE)\02. 경영정보 기능개선(ME)\ME-DE009-보고서레이아웃\03. 급여\ME-DE009-보고서레이아웃(PMA600AA)-v0.1.docx"/>
    <hyperlink ref="J74" r:id="rId834" display="\\165.213.107.10\share\K-IFRS반영한경영정보시스템고도화\02. 개발산출물\03. 설계(DE)\02. 경영정보 기능개선(ME)\ME-DE009-보고서레이아웃\03. 급여\ME-DE009-보고서레이아웃(PMA600AA)-v0.1.docx"/>
    <hyperlink ref="J73" r:id="rId835" display="\\165.213.107.10\share\K-IFRS반영한경영정보시스템고도화\02. 개발산출물\03. 설계(DE)\02. 경영정보 기능개선(ME)\ME-DE009-보고서레이아웃\02. 인사\ME-DE009-보고서레이아웃(HMA320AA)-v0.1.docx"/>
    <hyperlink ref="J72" r:id="rId836" display="\\165.213.107.10\share\K-IFRS반영한경영정보시스템고도화\02. 개발산출물\03. 설계(DE)\02. 경영정보 기능개선(ME)\ME-DE009-보고서레이아웃\03. 급여\ME-DE009-보고서레이아웃(PMA620AA)-v0.1.docx"/>
    <hyperlink ref="J70" r:id="rId837" display="\\165.213.107.10\share\K-IFRS반영한경영정보시스템고도화\02. 개발산출물\03. 설계(DE)\02. 경영정보 기능개선(ME)\ME-DE009-보고서레이아웃\03. 급여\ME-DE009-보고서레이아웃(PMA620AA)-v0.1.docx"/>
    <hyperlink ref="J69" r:id="rId838" display="\\165.213.107.10\share\K-IFRS반영한경영정보시스템고도화\02. 개발산출물\03. 설계(DE)\02. 경영정보 기능개선(ME)\ME-DE009-보고서레이아웃\03. 급여\ME-DE009-보고서레이아웃(PMA620AA)-v0.1.docx"/>
    <hyperlink ref="J71" r:id="rId839" display="\\165.213.107.10\share\K-IFRS반영한경영정보시스템고도화\02. 개발산출물\03. 설계(DE)\02. 경영정보 기능개선(ME)\ME-DE009-보고서레이아웃\03. 급여\ME-DE009-보고서레이아웃(PMA620AA)-v0.1.docx"/>
    <hyperlink ref="J68" r:id="rId840" display="\\165.213.107.10\share\K-IFRS반영한경영정보시스템고도화\02. 개발산출물\03. 설계(DE)\02. 경영정보 기능개선(ME)\ME-DE009-보고서레이아웃\03. 급여\ME-DE009-보고서레이아웃(PMA600AA)-v0.1.docx"/>
    <hyperlink ref="J67" r:id="rId841" display="\\165.213.107.10\share\K-IFRS반영한경영정보시스템고도화\02. 개발산출물\03. 설계(DE)\02. 경영정보 기능개선(ME)\ME-DE009-보고서레이아웃\03. 급여\ME-DE009-보고서레이아웃(PMA650AA)-v0.1.docx"/>
    <hyperlink ref="J66" r:id="rId842" display="\\165.213.107.10\share\K-IFRS반영한경영정보시스템고도화\02. 개발산출물\03. 설계(DE)\02. 경영정보 기능개선(ME)\ME-DE009-보고서레이아웃\03. 급여\ME-DE009-보고서레이아웃(PMA650AA)-v0.1.docx"/>
    <hyperlink ref="J64" r:id="rId843" display="\\165.213.107.10\share\K-IFRS반영한경영정보시스템고도화\02. 개발산출물\03. 설계(DE)\02. 경영정보 기능개선(ME)\ME-DE009-보고서레이아웃\03. 급여\ME-DE009-보고서레이아웃(PMA650AA)-v0.1.docx"/>
    <hyperlink ref="J65" r:id="rId844" display="\\165.213.107.10\share\K-IFRS반영한경영정보시스템고도화\02. 개발산출물\03. 설계(DE)\02. 경영정보 기능개선(ME)\ME-DE009-보고서레이아웃\03. 급여\ME-DE009-보고서레이아웃(PMA650AA)-v0.1.docx"/>
    <hyperlink ref="J63" r:id="rId845" display="\\165.213.107.10\share\K-IFRS반영한경영정보시스템고도화\02. 개발산출물\03. 설계(DE)\02. 경영정보 기능개선(ME)\ME-DE009-보고서레이아웃\03. 급여\ME-DE009-보고서레이아웃(PMA620AA)-v0.1.docx"/>
    <hyperlink ref="J62" r:id="rId846" display="\\165.213.107.10\share\K-IFRS반영한경영정보시스템고도화\02. 개발산출물\03. 설계(DE)\02. 경영정보 기능개선(ME)\ME-DE009-보고서레이아웃\03. 급여\ME-DE009-보고서레이아웃(PMA620AA)-v0.1.docx"/>
    <hyperlink ref="J61" r:id="rId847" display="\\165.213.107.10\share\K-IFRS반영한경영정보시스템고도화\02. 개발산출물\03. 설계(DE)\02. 경영정보 기능개선(ME)\ME-DE009-보고서레이아웃\03. 급여\ME-DE009-보고서레이아웃(PMA650AA)-v0.1.docx"/>
    <hyperlink ref="J60" r:id="rId848" display="\\165.213.107.10\share\K-IFRS반영한경영정보시스템고도화\02. 개발산출물\03. 설계(DE)\02. 경영정보 기능개선(ME)\ME-DE009-보고서레이아웃\03. 급여\ME-DE009-보고서레이아웃(PMA660AA)-v0.1.docx"/>
    <hyperlink ref="J59" r:id="rId849" display="\\165.213.107.10\share\K-IFRS반영한경영정보시스템고도화\02. 개발산출물\03. 설계(DE)\02. 경영정보 기능개선(ME)\ME-DE009-보고서레이아웃\03. 급여\ME-DE009-보고서레이아웃(PMA660AA)-v0.1.docx"/>
    <hyperlink ref="J58" r:id="rId850" display="\\165.213.107.10\share\K-IFRS반영한경영정보시스템고도화\02. 개발산출물\03. 설계(DE)\02. 경영정보 기능개선(ME)\ME-DE009-보고서레이아웃\03. 급여\ME-DE009-보고서레이아웃(PMA660AA)-v0.1.docx"/>
    <hyperlink ref="J57" r:id="rId851" display="\\165.213.107.10\share\K-IFRS반영한경영정보시스템고도화\02. 개발산출물\03. 설계(DE)\02. 경영정보 기능개선(ME)\ME-DE009-보고서레이아웃\03. 급여\ME-DE009-보고서레이아웃(PMA660AA)-v0.1.docx"/>
    <hyperlink ref="J56" r:id="rId852" display="\\165.213.107.10\share\K-IFRS반영한경영정보시스템고도화\02. 개발산출물\03. 설계(DE)\02. 경영정보 기능개선(ME)\ME-DE009-보고서레이아웃\03. 급여\ME-DE009-보고서레이아웃(PMA660AA)-v0.1.docx"/>
    <hyperlink ref="J55" r:id="rId853" display="\\165.213.107.10\share\K-IFRS반영한경영정보시스템고도화\02. 개발산출물\03. 설계(DE)\02. 경영정보 기능개선(ME)\ME-DE009-보고서레이아웃\03. 급여\ME-DE009-보고서레이아웃(PMA660AA)-v0.1.docx"/>
    <hyperlink ref="J54" r:id="rId854" display="\\165.213.107.10\share\K-IFRS반영한경영정보시스템고도화\02. 개발산출물\03. 설계(DE)\02. 경영정보 기능개선(ME)\ME-DE009-보고서레이아웃\03. 급여\ME-DE009-보고서레이아웃(PMA600AA)-v0.1.docx"/>
    <hyperlink ref="J53" r:id="rId855" display="\\165.213.107.10\share\K-IFRS반영한경영정보시스템고도화\02. 개발산출물\03. 설계(DE)\02. 경영정보 기능개선(ME)\ME-DE009-보고서레이아웃\03. 급여\ME-DE009-보고서레이아웃(PMA620AA)-v0.1.docx"/>
    <hyperlink ref="J52" r:id="rId856" display="\\165.213.107.10\share\K-IFRS반영한경영정보시스템고도화\02. 개발산출물\03. 설계(DE)\02. 경영정보 기능개선(ME)\ME-DE009-보고서레이아웃\03. 급여\ME-DE009-보고서레이아웃(PMA600AA)-v0.1.docx"/>
    <hyperlink ref="J51" r:id="rId857" display="\\165.213.107.10\share\K-IFRS반영한경영정보시스템고도화\02. 개발산출물\03. 설계(DE)\02. 경영정보 기능개선(ME)\ME-DE009-보고서레이아웃\03. 급여\ME-DE009-보고서레이아웃(PMA610AA)-v0.1.docx"/>
    <hyperlink ref="J49" r:id="rId858" display="\\165.213.107.10\share\K-IFRS반영한경영정보시스템고도화\02. 개발산출물\03. 설계(DE)\02. 경영정보 기능개선(ME)\ME-DE009-보고서레이아웃\03. 급여\ME-DE009-보고서레이아웃(PMA650AA)-v0.1.docx"/>
    <hyperlink ref="J50" r:id="rId859" display="\\165.213.107.10\share\K-IFRS반영한경영정보시스템고도화\02. 개발산출물\03. 설계(DE)\02. 경영정보 기능개선(ME)\ME-DE009-보고서레이아웃\03. 급여\ME-DE009-보고서레이아웃(PMA610AA)-v0.1.docx"/>
    <hyperlink ref="J48" r:id="rId860" display="\\165.213.107.10\share\K-IFRS반영한경영정보시스템고도화\02. 개발산출물\03. 설계(DE)\02. 경영정보 기능개선(ME)\ME-DE009-보고서레이아웃\03. 급여\ME-DE009-보고서레이아웃(PMA600AA)-v0.1.docx"/>
    <hyperlink ref="J47" r:id="rId861" display="\\165.213.107.10\share\K-IFRS반영한경영정보시스템고도화\02. 개발산출물\03. 설계(DE)\02. 경영정보 기능개선(ME)\ME-DE009-보고서레이아웃\03. 급여\ME-DE009-보고서레이아웃(PMA650AA)-v0.1.docx"/>
    <hyperlink ref="J46" r:id="rId862" display="\\165.213.107.10\share\K-IFRS반영한경영정보시스템고도화\02. 개발산출물\03. 설계(DE)\02. 경영정보 기능개선(ME)\ME-DE009-보고서레이아웃\03. 급여\ME-DE009-보고서레이아웃(PMA650AA)-v0.1.docx"/>
    <hyperlink ref="J45" r:id="rId863" display="\\165.213.107.10\share\K-IFRS반영한경영정보시스템고도화\02. 개발산출물\03. 설계(DE)\02. 경영정보 기능개선(ME)\ME-DE009-보고서레이아웃\03. 급여\ME-DE009-보고서레이아웃(PMA600AA)-v0.1.docx"/>
    <hyperlink ref="J44" r:id="rId864" display="\\165.213.107.10\share\K-IFRS반영한경영정보시스템고도화\02. 개발산출물\03. 설계(DE)\02. 경영정보 기능개선(ME)\ME-DE009-보고서레이아웃\02. 인사\ME-DE009-보고서레이아웃(HMA620AS)-v0.1.docx"/>
    <hyperlink ref="J43" r:id="rId865" display="\\165.213.107.10\share\K-IFRS반영한경영정보시스템고도화\02. 개발산출물\03. 설계(DE)\02. 경영정보 기능개선(ME)\ME-DE009-보고서레이아웃\02. 인사\ME-DE009-보고서레이아웃(HMA950AA)-v0.1.docx"/>
    <hyperlink ref="J42" r:id="rId866" display="\\165.213.107.10\share\K-IFRS반영한경영정보시스템고도화\02. 개발산출물\03. 설계(DE)\02. 경영정보 기능개선(ME)\ME-DE009-보고서레이아웃\02. 인사\ME-DE009-보고서레이아웃(HMA950AA)-v0.1.docx"/>
    <hyperlink ref="J41" r:id="rId867" display="\\165.213.107.10\share\K-IFRS반영한경영정보시스템고도화\02. 개발산출물\03. 설계(DE)\02. 경영정보 기능개선(ME)\ME-DE009-보고서레이아웃\02. 인사\ME-DE009-보고서레이아웃(HMA950AA)-v0.1.docx"/>
    <hyperlink ref="J40" r:id="rId868" display="\\165.213.107.10\share\K-IFRS반영한경영정보시스템고도화\02. 개발산출물\03. 설계(DE)\02. 경영정보 기능개선(ME)\ME-DE009-보고서레이아웃\03. 급여\ME-DE009-보고서레이아웃(PMA500AA)-v0.1.docx"/>
    <hyperlink ref="J39" r:id="rId869" display="\\165.213.107.10\share\K-IFRS반영한경영정보시스템고도화\02. 개발산출물\03. 설계(DE)\02. 경영정보 기능개선(ME)\ME-DE009-보고서레이아웃\03. 급여\ME-DE009-보고서레이아웃(PMA520AA)-v0.1.docx"/>
    <hyperlink ref="J38" r:id="rId870" display="\\165.213.107.10\share\K-IFRS반영한경영정보시스템고도화\02. 개발산출물\03. 설계(DE)\02. 경영정보 기능개선(ME)\ME-DE009-보고서레이아웃\03. 급여\ME-DE009-보고서레이아웃(PMA550AA)-v0.1.docx"/>
    <hyperlink ref="J37" r:id="rId871" display="\\165.213.107.10\share\K-IFRS반영한경영정보시스템고도화\02. 개발산출물\03. 설계(DE)\02. 경영정보 기능개선(ME)\ME-DE009-보고서레이아웃\03. 급여\ME-DE009-보고서레이아웃(PMA550AA)-v0.1.docx"/>
    <hyperlink ref="J36" r:id="rId872" display="\\165.213.107.10\share\K-IFRS반영한경영정보시스템고도화\02. 개발산출물\03. 설계(DE)\02. 경영정보 기능개선(ME)\ME-DE009-보고서레이아웃\03. 급여\ME-DE009-보고서레이아웃(PMA550AA)-v0.1.docx"/>
    <hyperlink ref="J33" r:id="rId873" display="\\165.213.107.10\share\K-IFRS반영한경영정보시스템고도화\02. 개발산출물\03. 설계(DE)\02. 경영정보 기능개선(ME)\ME-DE009-보고서레이아웃\03. 급여\ME-DE009-보고서레이아웃(PMA610AA)-v0.1.docx"/>
    <hyperlink ref="J32" r:id="rId874" display="\\165.213.107.10\share\K-IFRS반영한경영정보시스템고도화\02. 개발산출물\03. 설계(DE)\02. 경영정보 기능개선(ME)\ME-DE009-보고서레이아웃\03. 급여\ME-DE009-보고서레이아웃(PMA110AA)-v0.1.docx"/>
    <hyperlink ref="I188" r:id="rId875" display="\\165.213.107.10\share\K-IFRS반영한경영정보시스템고도화\02. 개발산출물\04. 개발(DT)\02. 경영정보 기능개선(ME)\ME-DT003-단위테스트결과서\ME-DT003-단위테스트결과서(HMA010RP1-인사카드)-v0.1.xls"/>
    <hyperlink ref="I160" r:id="rId876" display="\\165.213.107.10\share\K-IFRS반영한경영정보시스템고도화\02. 개발산출물\04. 개발(DT)\02. 경영정보 기능개선(ME)\ME-DT003-단위테스트결과서\ME-DT003-단위테스트결과서(HMA200AA-휴직관리)-v0.1.xls"/>
    <hyperlink ref="I161" r:id="rId877" display="\\165.213.107.10\share\K-IFRS반영한경영정보시스템고도화\02. 개발산출물\04. 개발(DT)\02. 경영정보 기능개선(ME)\ME-DT003-단위테스트결과서\ME-DT003-단위테스트결과서(HMA950AA-인사발령처리)-v0.1.xls"/>
    <hyperlink ref="I162" r:id="rId878" display="\\165.213.107.10\share\K-IFRS반영한경영정보시스템고도화\02. 개발산출물\04. 개발(DT)\02. 경영정보 기능개선(ME)\ME-DT003-단위테스트결과서\ME-DT003-단위테스트결과서(PMA380AA-모의연말정산결과보기)-v0.1.xls"/>
    <hyperlink ref="I163" r:id="rId879" display="\\165.213.107.10\share\K-IFRS반영한경영정보시스템고도화\02. 개발산출물\04. 개발(DT)\02. 경영정보 기능개선(ME)\ME-DT003-단위테스트결과서\ME-DT003-단위테스트결과서(PMA070AA-개인별은행계좌관리)-v0.1.xls"/>
    <hyperlink ref="I164" r:id="rId880" display="\\165.213.107.10\share\K-IFRS반영한경영정보시스템고도화\02. 개발산출물\04. 개발(DT)\02. 경영정보 기능개선(ME)\ME-DT003-단위테스트결과서\ME-DT003-단위테스트결과서(PMA090AA-신규임용등록)-v0.1.xls"/>
    <hyperlink ref="I165" r:id="rId881" display="\\165.213.107.10\share\K-IFRS반영한경영정보시스템고도화\02. 개발산출물\04. 개발(DT)\02. 경영정보 기능개선(ME)\ME-DT003-단위테스트결과서\ME-DT003-단위테스트결과서(PMA095AA-인사변동사항조회)-v0.1.xls"/>
    <hyperlink ref="I166" r:id="rId882" display="\\165.213.107.10\share\K-IFRS반영한경영정보시스템고도화\02. 개발산출물\04. 개발(DT)\02. 경영정보 기능개선(ME)\ME-DT003-단위테스트결과서\ME-DT003-단위테스트결과서(PMA105AA-개인별능력급지급율관리)-v0.1.xls"/>
    <hyperlink ref="I167" r:id="rId883" display="\\165.213.107.10\share\K-IFRS반영한경영정보시스템고도화\02. 개발산출물\04. 개발(DT)\02. 경영정보 기능개선(ME)\ME-DT003-단위테스트결과서\ME-DT003-단위테스트결과서(PMA115AA-급여대상자관리)-v0.1.xls"/>
    <hyperlink ref="I168" r:id="rId884" display="\\165.213.107.10\share\K-IFRS반영한경영정보시스템고도화\02. 개발산출물\04. 개발(DT)\02. 경영정보 기능개선(ME)\ME-DT003-단위테스트결과서\ME-DT003-단위테스트결과서(PMA108AA-급여변동사항관리)-v0.1.xls"/>
    <hyperlink ref="I169" r:id="rId885" display="\\165.213.107.10\share\K-IFRS반영한경영정보시스템고도화\02. 개발산출물\04. 개발(DT)\02. 경영정보 기능개선(ME)\ME-DT003-단위테스트결과서\ME-DT003-단위테스트결과서(PMA108AA-급여변동사항관리)-v0.1.xls"/>
    <hyperlink ref="I170" r:id="rId886" display="\\165.213.107.10\share\K-IFRS반영한경영정보시스템고도화\02. 개발산출물\04. 개발(DT)\02. 경영정보 기능개선(ME)\ME-DT003-단위테스트결과서\ME-DT003-단위테스트결과서(PMA115AS-비급여대상자리스트)-v0.1.xls"/>
    <hyperlink ref="I171" r:id="rId887" display="\\165.213.107.10\share\K-IFRS반영한경영정보시스템고도화\02. 개발산출물\04. 개발(DT)\02. 경영정보 기능개선(ME)\ME-DT003-단위테스트결과서\ME-DT003-단위테스트결과서(PMA120AA-개인별지급관리)-v0.1.xls"/>
    <hyperlink ref="I172" r:id="rId888" display="\\165.213.107.10\share\K-IFRS반영한경영정보시스템고도화\02. 개발산출물\04. 개발(DT)\02. 경영정보 기능개선(ME)\ME-DT003-단위테스트결과서\ME-DT003-단위테스트결과서(PMA122AA-일자별개인별시간외수당관리)-v0.1.xls"/>
    <hyperlink ref="I173" r:id="rId889" display="\\165.213.107.10\share\K-IFRS반영한경영정보시스템고도화\02. 개발산출물\04. 개발(DT)\02. 경영정보 기능개선(ME)\ME-DT003-단위테스트결과서\ME-DT003-단위테스트결과서(PMA130AA-개인별공제관리)-v0.1.xls"/>
    <hyperlink ref="I174" r:id="rId890" display="\\165.213.107.10\share\K-IFRS반영한경영정보시스템고도화\02. 개발산출물\04. 개발(DT)\02. 경영정보 기능개선(ME)\ME-DT003-단위테스트결과서\ME-DT003-단위테스트결과서(PMA145AA-성금관리)-v0.1.xls"/>
    <hyperlink ref="I175" r:id="rId891" display="\\165.213.107.10\share\K-IFRS반영한경영정보시스템고도화\02. 개발산출물\04. 개발(DT)\02. 경영정보 기능개선(ME)\ME-DT003-단위테스트결과서\ME-DT003-단위테스트결과서(PMH205AA-항공마일리지)-v0.1.xls"/>
    <hyperlink ref="I176" r:id="rId892" display="\\165.213.107.10\share\K-IFRS반영한경영정보시스템고도화\02. 개발산출물\04. 개발(DT)\02. 경영정보 기능개선(ME)\ME-DT003-단위테스트결과서\ME-DT003-단위테스트결과서(HMA600AA-인사데이터권한)-v0.1.xls"/>
    <hyperlink ref="I177" r:id="rId893" display="\\165.213.107.10\share\K-IFRS반영한경영정보시스템고도화\02. 개발산출물\04. 개발(DT)\02. 경영정보 기능개선(ME)\ME-DT003-단위테스트결과서\ME-DT003-단위테스트결과서(HMA290AA-제증명신청_발급처리)-v0.1.xls"/>
    <hyperlink ref="I178" r:id="rId894" display="\\165.213.107.10\share\K-IFRS반영한경영정보시스템고도화\02. 개발산출물\04. 개발(DT)\02. 경영정보 기능개선(ME)\ME-DT003-단위테스트결과서\ME-DT003-단위테스트결과서(HMA030AA-학력_전공관리)-v0.1.xls"/>
    <hyperlink ref="I179" r:id="rId895" display="\\165.213.107.10\share\K-IFRS반영한경영정보시스템고도화\02. 개발산출물\04. 개발(DT)\02. 경영정보 기능개선(ME)\ME-DT003-단위테스트결과서\ME-DT003-단위테스트결과서(HMA090AA-보훈_장애관리)-v0.1.xls"/>
    <hyperlink ref="I180" r:id="rId896" display="\\165.213.107.10\share\K-IFRS반영한경영정보시스템고도화\02. 개발산출물\04. 개발(DT)\02. 경영정보 기능개선(ME)\ME-DT003-단위테스트결과서\ME-DT003-단위테스트결과서(HMA011AS-인사일괄조회)-v0.1.xls"/>
    <hyperlink ref="I181" r:id="rId897" display="\\165.213.107.10\share\K-IFRS반영한경영정보시스템고도화\02. 개발산출물\04. 개발(DT)\02. 경영정보 기능개선(ME)\ME-DT003-단위테스트결과서\ME-DT003-단위테스트결과서(HMA011AS-인사일괄조회)-v0.1.xls"/>
    <hyperlink ref="I182" r:id="rId898" display="\\165.213.107.10\share\K-IFRS반영한경영정보시스템고도화\02. 개발산출물\04. 개발(DT)\02. 경영정보 기능개선(ME)\ME-DT003-단위테스트결과서\ME-DT003-단위테스트결과서(PMA156AS-급여대장(대표))-v0.1.xls"/>
    <hyperlink ref="I183" r:id="rId899" display="\\165.213.107.10\share\K-IFRS반영한경영정보시스템고도화\02. 개발산출물\04. 개발(DT)\02. 경영정보 기능개선(ME)\ME-DT003-단위테스트결과서\ME-DT003-단위테스트결과서(PMA156AS-급여대장(대표))-v0.1.xls"/>
    <hyperlink ref="I185" r:id="rId900" display="\\165.213.107.10\share\K-IFRS반영한경영정보시스템고도화\02. 개발산출물\04. 개발(DT)\02. 경영정보 기능개선(ME)\ME-DT003-단위테스트결과서\ME-DT003-단위테스트결과서(SF_FIND_OFO_DAT-)-v0.1.xls"/>
    <hyperlink ref="I186" r:id="rId901" display="\\165.213.107.10\share\K-IFRS반영한경영정보시스템고도화\02. 개발산출물\04. 개발(DT)\02. 경영정보 기능개선(ME)\ME-DT003-단위테스트결과서\ME-DT003-단위테스트결과서(HMB470AS-개인별근무기간조회)-v0.1.xls"/>
    <hyperlink ref="I187" r:id="rId902" display="\\165.213.107.10\share\K-IFRS반영한경영정보시스템고도화\02. 개발산출물\04. 개발(DT)\02. 경영정보 기능개선(ME)\ME-DT003-단위테스트결과서\ME-DT003-단위테스트결과서(HMA145AA-근무경력관리)-v0.1.xls"/>
    <hyperlink ref="I190" r:id="rId903" display="\\165.213.107.10\share\K-IFRS반영한경영정보시스템고도화\02. 개발산출물\04. 개발(DT)\02. 경영정보 기능개선(ME)\ME-DT003-단위테스트결과서\ME-DT003-단위테스트결과서(AMA290AS-부외자산대장)-v0.1.xls"/>
    <hyperlink ref="I191" r:id="rId904" display="\\165.213.107.10\share\K-IFRS반영한경영정보시스템고도화\02. 개발산출물\04. 개발(DT)\02. 경영정보 기능개선(ME)\ME-DT003-단위테스트결과서\ME-DT003-단위테스트결과서(AMA280AS-공기구비품대장)-v0.1.xls"/>
    <hyperlink ref="I192" r:id="rId905" display="\\165.213.107.10\share\K-IFRS반영한경영정보시스템고도화\02. 개발산출물\04. 개발(DT)\02. 경영정보 기능개선(ME)\ME-DT003-단위테스트결과서\ME-DT003-단위테스트결과서(AMA210AS-차량운반구대장)-v0.1.xls"/>
    <hyperlink ref="I193" r:id="rId906" display="\\165.213.107.10\share\K-IFRS반영한경영정보시스템고도화\02. 개발산출물\04. 개발(DT)\02. 경영정보 기능개선(ME)\ME-DT003-단위테스트결과서\ME-DT003-단위테스트결과서(AMA601AA-리스물품관리)-v0.1.xls"/>
    <hyperlink ref="I194" r:id="rId907" display="\\165.213.107.10\share\K-IFRS반영한경영정보시스템고도화\02. 개발산출물\04. 개발(DT)\02. 경영정보 기능개선(ME)\ME-DT003-단위테스트결과서\ME-DT003-단위테스트결과서(HMA620AS-임용일계산조회)-v0.1.xls"/>
    <hyperlink ref="I195" r:id="rId908" display="\\165.213.107.10\share\K-IFRS반영한경영정보시스템고도화\02. 개발산출물\04. 개발(DT)\02. 경영정보 기능개선(ME)\ME-DT003-단위테스트결과서\ME-DT003-단위테스트결과서(---)-v0.1.xls"/>
    <hyperlink ref="I196" r:id="rId909" display="\\165.213.107.10\share\K-IFRS반영한경영정보시스템고도화\02. 개발산출물\04. 개발(DT)\02. 경영정보 기능개선(ME)\ME-DT003-단위테스트결과서\ME-DT003-단위테스트결과서(---)-v0.1.xls"/>
    <hyperlink ref="I197" r:id="rId910" display="\\165.213.107.10\share\K-IFRS반영한경영정보시스템고도화\02. 개발산출물\04. 개발(DT)\02. 경영정보 기능개선(ME)\ME-DT003-단위테스트결과서\ME-DT003-단위테스트결과서(---)-v0.1.xls"/>
    <hyperlink ref="I198" r:id="rId911" display="\\165.213.107.10\share\K-IFRS반영한경영정보시스템고도화\02. 개발산출물\04. 개발(DT)\02. 경영정보 기능개선(ME)\ME-DT003-단위테스트결과서\ME-DT003-단위테스트결과서(---)-v0.1.xls"/>
    <hyperlink ref="I199" r:id="rId912" display="\\165.213.107.10\share\K-IFRS반영한경영정보시스템고도화\02. 개발산출물\04. 개발(DT)\02. 경영정보 기능개선(ME)\ME-DT003-단위테스트결과서\ME-DT003-단위테스트결과서(---)-v0.1.xls"/>
    <hyperlink ref="I156" r:id="rId913" display="\\165.213.107.10\share\K-IFRS반영한경영정보시스템고도화\02. 개발산출물\04. 개발(DT)\02. 경영정보 기능개선(ME)\ME-DT003-단위테스트결과서\ME-DT003-단위테스트결과서(HMA950AA-인사발령처리)-v0.1.xls"/>
    <hyperlink ref="I158" r:id="rId914" display="\\165.213.107.10\share\K-IFRS반영한경영정보시스템고도화\02. 개발산출물\04. 개발(DT)\02. 경영정보 기능개선(ME)\ME-DT003-단위테스트결과서\ME-DT003-단위테스트결과서(HMA950AA-인사발령처리)-v0.1.xls"/>
    <hyperlink ref="I159" r:id="rId915" display="\\165.213.107.10\share\K-IFRS반영한경영정보시스템고도화\02. 개발산출물\04. 개발(DT)\02. 경영정보 기능개선(ME)\ME-DT003-단위테스트결과서\ME-DT003-단위테스트결과서(HMA320AA-승급처리)-v0.1.xls"/>
    <hyperlink ref="I155" r:id="rId916" display="\\165.213.107.10\share\K-IFRS반영한경영정보시스템고도화\02. 개발산출물\04. 개발(DT)\02. 경영정보 기능개선(ME)\ME-DT003-단위테스트결과서\ME-DT003-단위테스트결과서(HMA950AA-인사발령 스케줄러)-v0.1.xls"/>
    <hyperlink ref="I157" r:id="rId917" display="\\165.213.107.10\share\K-IFRS반영한경영정보시스템고도화\02. 개발산출물\04. 개발(DT)\02. 경영정보 기능개선(ME)\ME-DT003-단위테스트결과서\ME-DT003-단위테스트결과서(HMA950AA-)-v0.1.xls"/>
    <hyperlink ref="I154" r:id="rId918" display="\\165.213.107.10\share\K-IFRS반영한경영정보시스템고도화\02. 개발산출물\04. 개발(DT)\02. 경영정보 기능개선(ME)\ME-DT003-단위테스트결과서\ME-DT003-단위테스트결과서(HMA340AA-정현원표관리)-v0.1.xls"/>
    <hyperlink ref="I153" r:id="rId919" display="\\165.213.107.10\share\K-IFRS반영한경영정보시스템고도화\02. 개발산출물\04. 개발(DT)\02. 경영정보 기능개선(ME)\ME-DT003-단위테스트결과서\ME-DT003-단위테스트결과서(PMA260AS_x000a_PMA265AS-인권비집행총괄표_x000a_인권비집행총괄표2)-v0.1.xls"/>
    <hyperlink ref="I147" r:id="rId920" display="\\165.213.107.10\share\K-IFRS반영한경영정보시스템고도화\02. 개발산출물\04. 개발(DT)\02. 경영정보 기능개선(ME)\ME-DT003-단위테스트결과서\ME-DT003-단위테스트결과서(PMA130AA-개인별공제관리)-v0.1.xls"/>
    <hyperlink ref="I148" r:id="rId921" display="\\165.213.107.10\share\K-IFRS반영한경영정보시스템고도화\02. 개발산출물\04. 개발(DT)\02. 경영정보 기능개선(ME)\ME-DT003-단위테스트결과서\ME-DT003-단위테스트결과서(PMA120AA-개인별지급관리)-v0.1.xls"/>
    <hyperlink ref="I122" r:id="rId922" display="\\165.213.107.10\share\K-IFRS반영한경영정보시스템고도화\02. 개발산출물\04. 개발(DT)\02. 경영정보 기능개선(ME)\ME-DT003-단위테스트결과서\ME-DT003-단위테스트결과서(PMA140AA-급여계산작업)-v0.1.xls"/>
    <hyperlink ref="I146" r:id="rId923" display="\\165.213.107.10\share\K-IFRS반영한경영정보시스템고도화\02. 개발산출물\04. 개발(DT)\02. 경영정보 기능개선(ME)\ME-DT003-단위테스트결과서\ME-DT003-단위테스트결과서(PMA120AA-개인별지급관리)-v0.1.xls"/>
    <hyperlink ref="I139" r:id="rId924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49" r:id="rId925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52" r:id="rId926" display="\\165.213.107.10\share\K-IFRS반영한경영정보시스템고도화\02. 개발산출물\04. 개발(DT)\02. 경영정보 기능개선(ME)\ME-DT003-단위테스트결과서\ME-DT003-단위테스트결과서(PMA230AA-개인별지급내역수정)-v0.1.xls"/>
    <hyperlink ref="I150" r:id="rId927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51" r:id="rId928" display="\\165.213.107.10\share\K-IFRS반영한경영정보시스템고도화\02. 개발산출물\04. 개발(DT)\02. 경영정보 기능개선(ME)\ME-DT003-단위테스트결과서\ME-DT003-단위테스트결과서(PMA140AA-급여계산작업)-v0.1.xls"/>
    <hyperlink ref="I121" r:id="rId929" display="\\165.213.107.10\share\K-IFRS반영한경영정보시스템고도화\02. 개발산출물\04. 개발(DT)\02. 경영정보 기능개선(ME)\ME-DT003-단위테스트결과서\ME-DT003-단위테스트결과서(PMA310AA_x000a_PMA320AA_x000a_PMA325AA_x000a_PMA300AS_x000a_PMA330AA_x000a_PMA340AA-인상연봉표관리_x000a_인상기준외급여관리_x000a_급여소급계산_x000a_개인별급여소급현황_x000a_개인별급여소급계좌이체명세서_x000a_소급금융결제원화일생성)-v0.1.xls"/>
    <hyperlink ref="I134" r:id="rId930" display="\\165.213.107.10\share\K-IFRS반영한경영정보시스템고도화\02. 개발산출물\04. 개발(DT)\02. 경영정보 기능개선(ME)\ME-DT003-단위테스트결과서\ME-DT003-단위테스트결과서(PMA510AA-자녀학비보조금신청서)-v0.1.xls"/>
    <hyperlink ref="I135" r:id="rId931" display="\\165.213.107.10\share\K-IFRS반영한경영정보시스템고도화\02. 개발산출물\04. 개발(DT)\02. 경영정보 기능개선(ME)\ME-DT003-단위테스트결과서\ME-DT003-단위테스트결과서(PMA550AA-자녀학비보조금신청서(결재))-v0.1.xls"/>
    <hyperlink ref="I138" r:id="rId932" display="\\165.213.107.10\share\K-IFRS반영한경영정보시스템고도화\02. 개발산출물\04. 개발(DT)\02. 경영정보 기능개선(ME)\ME-DT003-단위테스트결과서\ME-DT003-단위테스트결과서(PMA100AA-가족사항관리)-v0.1.xls"/>
    <hyperlink ref="I132" r:id="rId933" display="\\165.213.107.10\share\K-IFRS반영한경영정보시스템고도화\02. 개발산출물\04. 개발(DT)\02. 경영정보 기능개선(ME)\ME-DT003-단위테스트결과서\ME-DT003-단위테스트결과서(PMA520AA-출산장려비지급신청서)-v0.1.xls"/>
    <hyperlink ref="I137" r:id="rId934" display="\\165.213.107.10\share\K-IFRS반영한경영정보시스템고도화\02. 개발산출물\04. 개발(DT)\02. 경영정보 기능개선(ME)\ME-DT003-단위테스트결과서\ME-DT003-단위테스트결과서(PMA580AA-부양가족신고서(결재))-v0.1.xls"/>
    <hyperlink ref="I140" r:id="rId935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31" r:id="rId936" display="\\165.213.107.10\share\K-IFRS반영한경영정보시스템고도화\02. 개발산출물\04. 개발(DT)\02. 경영정보 기능개선(ME)\ME-DT003-단위테스트결과서\ME-DT003-단위테스트결과서(PMA140AA-급여계산작업)-v0.1.xls"/>
    <hyperlink ref="I130" r:id="rId937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33" r:id="rId938" display="\\165.213.107.10\share\K-IFRS반영한경영정보시스템고도화\02. 개발산출물\04. 개발(DT)\02. 경영정보 기능개선(ME)\ME-DT003-단위테스트결과서\ME-DT003-단위테스트결과서(PMA560AA-출산장려비지급신청서(결재))-v0.1.xls"/>
    <hyperlink ref="I141" r:id="rId939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42" r:id="rId940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43" r:id="rId941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44" r:id="rId942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45" r:id="rId943" display="\\165.213.107.10\share\K-IFRS반영한경영정보시스템고도화\02. 개발산출물\04. 개발(DT)\02. 경영정보 기능개선(ME)\ME-DT003-단위테스트결과서\ME-DT003-단위테스트결과서(PMA110AA-급여기초작업)-v0.1.xls"/>
    <hyperlink ref="I136" r:id="rId944" display="\\165.213.107.10\share\K-IFRS반영한경영정보시스템고도화\02. 개발산출물\04. 개발(DT)\02. 경영정보 기능개선(ME)\ME-DT003-단위테스트결과서\ME-DT003-단위테스트결과서(PMA500AA-부양가족신고서)-v0.1.xls"/>
    <hyperlink ref="I129" r:id="rId945" display="\\165.213.107.10\share\K-IFRS반영한경영정보시스템고도화\02. 개발산출물\03. 설계(DE)\02. 경영정보 기능개선(ME)\ME-DE009-보고서레이아웃\03. 급여\ME-DE009-보고서레이아웃(PMA110AA)-v0.1.docx"/>
    <hyperlink ref="I126" r:id="rId946" display="file://Y:\\K-IFRS반영한경영정보시스템고도화\\02. 개발산출물\\04. 개발(DT)\\02. 경영정보 기능개선(ME)\\ME-DT003-단위테스트결과서\\ME-DT003-단위테스트결과서(PMC270AA-영수증\징수부출력 승인)-v0.1.xls"/>
    <hyperlink ref="I128" r:id="rId947" display="\\165.213.107.10\share\K-IFRS반영한경영정보시스템고도화\02. 개발산출물\03. 설계(DE)\02. 경영정보 기능개선(ME)\ME-DE009-보고서레이아웃\03. 급여\ME-DE009-보고서레이아웃(PMA110AA)-v0.1.docx"/>
    <hyperlink ref="I125" r:id="rId948" display="file://Y:\\K-IFRS반영한경영정보시스템고도화\\02. 개발산출물\\04. 개발(DT)\\02. 경영정보 기능개선(ME)\\ME-DT003-단위테스트결과서\\ME-DT003-단위테스트결과서(PMC050AS-영수증\징수부출력 및 요청)-v0.1.xls"/>
    <hyperlink ref="I127" r:id="rId949" display="\\165.213.107.10\share\K-IFRS반영한경영정보시스템고도화\02. 개발산출물\04. 개발(DT)\02. 경영정보 기능개선(ME)\ME-DT003-단위테스트결과서\ME-DT003-단위테스트결과서(PMA440AS-증명서발행이력현황)-v0.1.xls"/>
    <hyperlink ref="I123" r:id="rId950" display="\\165.213.107.10\share\K-IFRS반영한경영정보시스템고도화\02. 개발산출물\04. 개발(DT)\02. 경영정보 기능개선(ME)\ME-DT003-단위테스트결과서\ME-DT003-단위테스트결과서(PMA260AS_x000a_PMA265AS-인건비집행총괄표_x000a_인건비집행총괄표2)-v0.1.xls"/>
    <hyperlink ref="I124" r:id="rId951" display="\\165.213.107.10\share\K-IFRS반영한경영정보시스템고도화\02. 개발산출물\04. 개발(DT)\02. 경영정보 기능개선(ME)\ME-DT003-단위테스트결과서\ME-DT003-단위테스트결과서(--정현원생성 작업 스케줄러)-v0.1.xls"/>
    <hyperlink ref="I118" r:id="rId952" display="\\165.213.107.10\share\K-IFRS반영한경영정보시스템고도화\02. 개발산출물\04. 개발(DT)\02. 경영정보 기능개선(ME)\ME-DT003-단위테스트결과서\ME-DT003-단위테스트결과서(PMA600AA-)-v0.1.xls"/>
    <hyperlink ref="I116" r:id="rId953" display="\\165.213.107.10\share\K-IFRS반영한경영정보시스템고도화\02. 개발산출물\04. 개발(DT)\02. 경영정보 기능개선(ME)\ME-DT003-단위테스트결과서\ME-DT003-단위테스트결과서(PMA610AA-성과급계산작업)-v0.1.xls"/>
    <hyperlink ref="I117" r:id="rId954" display="\\165.213.107.10\share\K-IFRS반영한경영정보시스템고도화\02. 개발산출물\04. 개발(DT)\02. 경영정보 기능개선(ME)\ME-DT003-단위테스트결과서\ME-DT003-단위테스트결과서(PMA600AA-성과급기초작업)-v0.1.xls"/>
    <hyperlink ref="I119" r:id="rId955" display="\\165.213.107.10\share\K-IFRS반영한경영정보시스템고도화\02. 개발산출물\04. 개발(DT)\02. 경영정보 기능개선(ME)\ME-DT003-단위테스트결과서\ME-DT003-단위테스트결과서(PMA600AA-)-v0.1.xls"/>
    <hyperlink ref="I120" r:id="rId956" display="\\165.213.107.10\share\K-IFRS반영한경영정보시스템고도화\02. 개발산출물\04. 개발(DT)\02. 경영정보 기능개선(ME)\ME-DT003-단위테스트결과서\ME-DT003-단위테스트결과서(PMA600AA-)-v0.1.xls"/>
    <hyperlink ref="I113" r:id="rId957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I112" r:id="rId958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I114" r:id="rId959" display="\\165.213.107.10\share\K-IFRS반영한경영정보시스템고도화\02. 개발산출물\04. 개발(DT)\02. 경영정보 기능개선(ME)\ME-DT003-단위테스트결과서\ME-DT003-단위테스트결과서(PMA620AA-지급율관리)-v0.1.xls"/>
    <hyperlink ref="I115" r:id="rId960" display="\\165.213.107.10\share\K-IFRS반영한경영정보시스템고도화\02. 개발산출물\04. 개발(DT)\02. 경영정보 기능개선(ME)\ME-DT003-단위테스트결과서\ME-DT003-단위테스트결과서(PMA620AA-지급율관리)-v0.1.xls"/>
    <hyperlink ref="I111" r:id="rId961" display="\\165.213.107.10\share\K-IFRS반영한경영정보시스템고도화\02. 개발산출물\04. 개발(DT)\02. 경영정보 기능개선(ME)\ME-DT003-단위테스트결과서\ME-DT003-단위테스트결과서(PMA630AA-소급률관리)-v0.1.xls"/>
    <hyperlink ref="I110" r:id="rId962" display="\\165.213.107.10\share\K-IFRS반영한경영정보시스템고도화\02. 개발산출물\04. 개발(DT)\02. 경영정보 기능개선(ME)\ME-DT003-단위테스트결과서\ME-DT003-단위테스트결과서(PMA630AA-소급률관리)-v0.1.xls"/>
    <hyperlink ref="I97" r:id="rId963" display="\\165.213.107.10\share\K-IFRS반영한경영정보시스템고도화\02. 개발산출물\04. 개발(DT)\02. 경영정보 기능개선(ME)\ME-DT003-단위테스트결과서\ME-DT003-단위테스트결과서(PMA620AA-지급율관리)-v0.1.xls"/>
    <hyperlink ref="I85" r:id="rId964" display="\\165.213.107.10\share\K-IFRS반영한경영정보시스템고도화\02. 개발산출물\04. 개발(DT)\02. 경영정보 기능개선(ME)\ME-DT003-단위테스트결과서\ME-DT003-단위테스트결과서(PMA620AA-지급율관리)-v0.1.xls"/>
    <hyperlink ref="I108" r:id="rId965" display="\\165.213.107.10\share\K-IFRS반영한경영정보시스템고도화\02. 개발산출물\04. 개발(DT)\02. 경영정보 기능개선(ME)\ME-DT003-단위테스트결과서\ME-DT003-단위테스트결과서(PMA620AA-지급율관리)-v0.1.xls"/>
    <hyperlink ref="I107" r:id="rId966" display="\\165.213.107.10\share\K-IFRS반영한경영정보시스템고도화\02. 개발산출물\04. 개발(DT)\02. 경영정보 기능개선(ME)\ME-DT003-단위테스트결과서\ME-DT003-단위테스트결과서(PMA620AA-지급율관리)-v0.1.xls"/>
    <hyperlink ref="I86" r:id="rId967" display="\\165.213.107.10\share\K-IFRS반영한경영정보시스템고도화\02. 개발산출물\04. 개발(DT)\02. 경영정보 기능개선(ME)\ME-DT003-단위테스트결과서\ME-DT003-단위테스트결과서(PMA620AA-지급율관리)-v0.1.xls"/>
    <hyperlink ref="I89" r:id="rId968" display="\\165.213.107.10\share\K-IFRS반영한경영정보시스템고도화\02. 개발산출물\03. 설계(DE)\02. 경영정보 기능개선(ME)\ME-DE009-보고서레이아웃\03. 급여\ME-DE009-보고서레이아웃(PMA600AA)-v0.1.docx"/>
    <hyperlink ref="I93" r:id="rId969" display="\\165.213.107.10\share\K-IFRS반영한경영정보시스템고도화\02. 개발산출물\04. 개발(DT)\02. 경영정보 기능개선(ME)\ME-DT003-단위테스트결과서\ME-DT003-단위테스트결과서(PMA620AA-지급율관리)-v0.1.xls"/>
    <hyperlink ref="I106" r:id="rId970" display="\\165.213.107.10\share\K-IFRS반영한경영정보시스템고도화\02. 개발산출물\04. 개발(DT)\02. 경영정보 기능개선(ME)\ME-DT003-단위테스트결과서\ME-DT003-단위테스트결과서(PMA620AA-지급율관리)-v0.1.xls"/>
    <hyperlink ref="I95" r:id="rId971" display="\\165.213.107.10\share\K-IFRS반영한경영정보시스템고도화\02. 개발산출물\04. 개발(DT)\02. 경영정보 기능개선(ME)\ME-DT003-단위테스트결과서\ME-DT003-단위테스트결과서(PMA620AA-지급율관리)-v0.1.xls"/>
    <hyperlink ref="I91" r:id="rId972" display="\\165.213.107.10\share\K-IFRS반영한경영정보시스템고도화\02. 개발산출물\04. 개발(DT)\02. 경영정보 기능개선(ME)\ME-DT003-단위테스트결과서\ME-DT003-단위테스트결과서(PMA620AA-지급율관리)-v0.1.xls"/>
    <hyperlink ref="I96" r:id="rId973" display="\\165.213.107.10\share\K-IFRS반영한경영정보시스템고도화\02. 개발산출물\04. 개발(DT)\02. 경영정보 기능개선(ME)\ME-DT003-단위테스트결과서\ME-DT003-단위테스트결과서(PMA620AA-지급율관리)-v0.1.xls"/>
    <hyperlink ref="I92" r:id="rId974" display="\\165.213.107.10\share\K-IFRS반영한경영정보시스템고도화\02. 개발산출물\04. 개발(DT)\02. 경영정보 기능개선(ME)\ME-DT003-단위테스트결과서\ME-DT003-단위테스트결과서(PMA620AA-지급율관리)-v0.1.xls"/>
    <hyperlink ref="I99" r:id="rId975" display="\\165.213.107.10\share\K-IFRS반영한경영정보시스템고도화\02. 개발산출물\04. 개발(DT)\02. 경영정보 기능개선(ME)\ME-DT003-단위테스트결과서\ME-DT003-단위테스트결과서(PMA620AA-지급율관리)-v0.1.xls"/>
    <hyperlink ref="I94" r:id="rId976" display="\\165.213.107.10\share\K-IFRS반영한경영정보시스템고도화\02. 개발산출물\04. 개발(DT)\02. 경영정보 기능개선(ME)\ME-DT003-단위테스트결과서\ME-DT003-단위테스트결과서(PMA620AA-지급율관리)-v0.1.xls"/>
    <hyperlink ref="I87" r:id="rId977" display="\\165.213.107.10\share\K-IFRS반영한경영정보시스템고도화\02. 개발산출물\04. 개발(DT)\02. 경영정보 기능개선(ME)\ME-DT003-단위테스트결과서\ME-DT003-단위테스트결과서(PMA620AA-지급율관리)-v0.1.xls"/>
    <hyperlink ref="I78" r:id="rId978" display="\\165.213.107.10\share\K-IFRS반영한경영정보시스템고도화\02. 개발산출물\04. 개발(DT)\02. 경영정보 기능개선(ME)\ME-DT003-단위테스트결과서\ME-DT003-단위테스트결과서(PMA620AA-지급율관리)-v0.1.xls"/>
    <hyperlink ref="I109" r:id="rId979" display="\\165.213.107.10\share\K-IFRS반영한경영정보시스템고도화\02. 개발산출물\04. 개발(DT)\02. 경영정보 기능개선(ME)\ME-DT003-단위테스트결과서\ME-DT003-단위테스트결과서(---)-v0.1.xls"/>
    <hyperlink ref="I80" r:id="rId980" display="\\165.213.107.10\share\K-IFRS반영한경영정보시스템고도화\02. 개발산출물\03. 설계(DE)\02. 경영정보 기능개선(ME)\ME-DE009-보고서레이아웃\03. 급여\ME-DE009-보고서레이아웃(PMA110AA)-v0.1.docx"/>
    <hyperlink ref="I79" r:id="rId981" display="\\165.213.107.10\share\K-IFRS반영한경영정보시스템고도화\02. 개발산출물\03. 설계(DE)\02. 경영정보 기능개선(ME)\ME-DE009-보고서레이아웃\03. 급여\ME-DE009-보고서레이아웃(PMA110AA)-v0.1.docx"/>
    <hyperlink ref="I88" r:id="rId982" display="\\165.213.107.10\share\K-IFRS반영한경영정보시스템고도화\02. 개발산출물\03. 설계(DE)\02. 경영정보 기능개선(ME)\ME-DE009-보고서레이아웃\03. 급여\ME-DE009-보고서레이아웃(PMA600AA)-v0.1.docx"/>
    <hyperlink ref="I90" r:id="rId983" display="\\165.213.107.10\share\K-IFRS반영한경영정보시스템고도화\02. 개발산출물\03. 설계(DE)\02. 경영정보 기능개선(ME)\ME-DE009-보고서레이아웃\03. 급여\ME-DE009-보고서레이아웃(PMA600AA)-v0.1.docx"/>
    <hyperlink ref="I98" r:id="rId984" display="\\165.213.107.10\share\K-IFRS반영한경영정보시스템고도화\02. 개발산출물\03. 설계(DE)\02. 경영정보 기능개선(ME)\ME-DE009-보고서레이아웃\03. 급여\ME-DE009-보고서레이아웃(PMA600AA)-v0.1.docx"/>
    <hyperlink ref="I100" r:id="rId985" display="\\165.213.107.10\share\K-IFRS반영한경영정보시스템고도화\02. 개발산출물\04. 개발(DT)\02. 경영정보 기능개선(ME)\ME-DT003-단위테스트결과서\ME-DT003-단위테스트결과서(PMA620AA-지급율관리)-v0.1.xls"/>
    <hyperlink ref="I101" r:id="rId986" display="\\165.213.107.10\share\K-IFRS반영한경영정보시스템고도화\02. 개발산출물\03. 설계(DE)\02. 경영정보 기능개선(ME)\ME-DE009-보고서레이아웃\03. 급여\ME-DE009-보고서레이아웃(PMA110AA)-v0.1.docx"/>
    <hyperlink ref="I102" r:id="rId987" display="\\165.213.107.10\share\K-IFRS반영한경영정보시스템고도화\02. 개발산출물\03. 설계(DE)\02. 경영정보 기능개선(ME)\ME-DE009-보고서레이아웃\03. 급여\ME-DE009-보고서레이아웃(PMA110AA)-v0.1.docx"/>
    <hyperlink ref="I103" r:id="rId988" display="\\165.213.107.10\share\K-IFRS반영한경영정보시스템고도화\02. 개발산출물\03. 설계(DE)\02. 경영정보 기능개선(ME)\ME-DE009-보고서레이아웃\03. 급여\ME-DE009-보고서레이아웃(PMA110AA)-v0.1.docx"/>
    <hyperlink ref="I104" r:id="rId989" display="\\165.213.107.10\share\K-IFRS반영한경영정보시스템고도화\02. 개발산출물\03. 설계(DE)\02. 경영정보 기능개선(ME)\ME-DE009-보고서레이아웃\03. 급여\ME-DE009-보고서레이아웃(PMA110AA)-v0.1.docx"/>
    <hyperlink ref="I105" r:id="rId990" display="\\165.213.107.10\share\K-IFRS반영한경영정보시스템고도화\02. 개발산출물\03. 설계(DE)\02. 경영정보 기능개선(ME)\ME-DE009-보고서레이아웃\03. 급여\ME-DE009-보고서레이아웃(PMA110AA)-v0.1.docx"/>
    <hyperlink ref="I77" r:id="rId991" display="\\165.213.107.10\share\K-IFRS반영한경영정보시스템고도화\02. 개발산출물\03. 설계(DE)\02. 경영정보 기능개선(ME)\ME-DE009-보고서레이아웃\03. 급여\ME-DE009-보고서레이아웃(PMA600AA)-v0.1.docx"/>
    <hyperlink ref="I76" r:id="rId992" display="\\165.213.107.10\share\K-IFRS반영한경영정보시스템고도화\02. 개발산출물\03. 설계(DE)\02. 경영정보 기능개선(ME)\ME-DE009-보고서레이아웃\03. 급여\ME-DE009-보고서레이아웃(PMA600AA)-v0.1.docx"/>
    <hyperlink ref="I75" r:id="rId993" display="\\165.213.107.10\share\K-IFRS반영한경영정보시스템고도화\02. 개발산출물\03. 설계(DE)\02. 경영정보 기능개선(ME)\ME-DE009-보고서레이아웃\03. 급여\ME-DE009-보고서레이아웃(PMA600AA)-v0.1.docx"/>
    <hyperlink ref="I74" r:id="rId994" display="\\165.213.107.10\share\K-IFRS반영한경영정보시스템고도화\02. 개발산출물\03. 설계(DE)\02. 경영정보 기능개선(ME)\ME-DE009-보고서레이아웃\03. 급여\ME-DE009-보고서레이아웃(PMA600AA)-v0.1.docx"/>
    <hyperlink ref="I73" r:id="rId995" display="\\165.213.107.10\share\K-IFRS반영한경영정보시스템고도화\02. 개발산출물\04. 개발(DT)\02. 경영정보 기능개선(ME)\ME-DT003-단위테스트결과서\ME-DT003-단위테스트결과서(HMA320AA-승급처리)-v0.1.xls"/>
    <hyperlink ref="I72" r:id="rId996" display="\\165.213.107.10\share\K-IFRS반영한경영정보시스템고도화\02. 개발산출물\04. 개발(DT)\02. 경영정보 기능개선(ME)\ME-DT003-단위테스트결과서\ME-DT003-단위테스트결과서(PMA620AA-지급율관리)-v0.1.xls"/>
    <hyperlink ref="I70" r:id="rId997" display="\\165.213.107.10\share\K-IFRS반영한경영정보시스템고도화\02. 개발산출물\04. 개발(DT)\02. 경영정보 기능개선(ME)\ME-DT003-단위테스트결과서\ME-DT003-단위테스트결과서(PMA620AA-지급율관리)-v0.1.xls"/>
    <hyperlink ref="I69" r:id="rId998" display="\\165.213.107.10\share\K-IFRS반영한경영정보시스템고도화\02. 개발산출물\04. 개발(DT)\02. 경영정보 기능개선(ME)\ME-DT003-단위테스트결과서\ME-DT003-단위테스트결과서(PMA620AA-지급율관리)-v0.1.xls"/>
    <hyperlink ref="I71" r:id="rId999" display="\\165.213.107.10\share\K-IFRS반영한경영정보시스템고도화\02. 개발산출물\04. 개발(DT)\02. 경영정보 기능개선(ME)\ME-DT003-단위테스트결과서\ME-DT003-단위테스트결과서(PMA620AA-지급율관리)-v0.1.xls"/>
    <hyperlink ref="I68" r:id="rId1000" display="\\165.213.107.10\share\K-IFRS반영한경영정보시스템고도화\02. 개발산출물\03. 설계(DE)\02. 경영정보 기능개선(ME)\ME-DE009-보고서레이아웃\03. 급여\ME-DE009-보고서레이아웃(PMA600AA)-v0.1.docx"/>
    <hyperlink ref="I67" r:id="rId1001" display="\\165.213.107.10\share\K-IFRS반영한경영정보시스템고도화\02. 개발산출물\04. 개발(DT)\02. 경영정보 기능개선(ME)\ME-DT003-단위테스트결과서\ME-DT003-단위테스트결과서(PMA650AA-성과연봉계산작업)-v0.1.xls"/>
    <hyperlink ref="I66" r:id="rId1002" display="\\165.213.107.10\share\K-IFRS반영한경영정보시스템고도화\02. 개발산출물\04. 개발(DT)\02. 경영정보 기능개선(ME)\ME-DT003-단위테스트결과서\ME-DT003-단위테스트결과서(PMA650AA-성과연봉계산작업)-v0.1.xls"/>
    <hyperlink ref="I64" r:id="rId1003" display="\\165.213.107.10\share\K-IFRS반영한경영정보시스템고도화\02. 개발산출물\04. 개발(DT)\02. 경영정보 기능개선(ME)\ME-DT003-단위테스트결과서\ME-DT003-단위테스트결과서(PMA650AA-성과연봉계산작업)-v0.1.xls"/>
    <hyperlink ref="I65" r:id="rId1004" display="\\165.213.107.10\share\K-IFRS반영한경영정보시스템고도화\02. 개발산출물\04. 개발(DT)\02. 경영정보 기능개선(ME)\ME-DT003-단위테스트결과서\ME-DT003-단위테스트결과서(PMA650AA-성과연봉계산작업)-v0.1.xls"/>
    <hyperlink ref="I63" r:id="rId1005" display="\\165.213.107.10\share\K-IFRS반영한경영정보시스템고도화\02. 개발산출물\04. 개발(DT)\02. 경영정보 기능개선(ME)\ME-DT003-단위테스트결과서\ME-DT003-단위테스트결과서(PMA620AA-지급율관리)-v0.1.xls"/>
    <hyperlink ref="I62" r:id="rId1006" display="\\165.213.107.10\share\K-IFRS반영한경영정보시스템고도화\02. 개발산출물\04. 개발(DT)\02. 경영정보 기능개선(ME)\ME-DT003-단위테스트결과서\ME-DT003-단위테스트결과서(PMA620AA-지급율관리)-v0.1.xls"/>
    <hyperlink ref="I61" r:id="rId1007" display="\\165.213.107.10\share\K-IFRS반영한경영정보시스템고도화\02. 개발산출물\04. 개발(DT)\02. 경영정보 기능개선(ME)\ME-DT003-단위테스트결과서\ME-DT003-단위테스트결과서(PMA650AA-성과연봉계산작업)-v0.1.xls"/>
    <hyperlink ref="I60" r:id="rId1008" display="\\165.213.107.10\share\K-IFRS반영한경영정보시스템고도화\02. 개발산출물\04. 개발(DT)\02. 경영정보 기능개선(ME)\ME-DT003-단위테스트결과서\ME-DT003-단위테스트결과서(PMA660AA-성과연봉현황)-v0.1.xls"/>
    <hyperlink ref="I59" r:id="rId1009" display="\\165.213.107.10\share\K-IFRS반영한경영정보시스템고도화\02. 개발산출물\03. 설계(DE)\02. 경영정보 기능개선(ME)\ME-DE009-보고서레이아웃\03. 급여\ME-DE009-보고서레이아웃(PMA660AA)-v0.1.docx"/>
    <hyperlink ref="I58" r:id="rId1010" display="\\165.213.107.10\share\K-IFRS반영한경영정보시스템고도화\02. 개발산출물\03. 설계(DE)\02. 경영정보 기능개선(ME)\ME-DE009-보고서레이아웃\03. 급여\ME-DE009-보고서레이아웃(PMA660AA)-v0.1.docx"/>
    <hyperlink ref="I57" r:id="rId1011" display="\\165.213.107.10\share\K-IFRS반영한경영정보시스템고도화\02. 개발산출물\03. 설계(DE)\02. 경영정보 기능개선(ME)\ME-DE009-보고서레이아웃\03. 급여\ME-DE009-보고서레이아웃(PMA660AA)-v0.1.docx"/>
    <hyperlink ref="I56" r:id="rId1012" display="\\165.213.107.10\share\K-IFRS반영한경영정보시스템고도화\02. 개발산출물\03. 설계(DE)\02. 경영정보 기능개선(ME)\ME-DE009-보고서레이아웃\03. 급여\ME-DE009-보고서레이아웃(PMA660AA)-v0.1.docx"/>
    <hyperlink ref="I55" r:id="rId1013" display="\\165.213.107.10\share\K-IFRS반영한경영정보시스템고도화\02. 개발산출물\03. 설계(DE)\02. 경영정보 기능개선(ME)\ME-DE009-보고서레이아웃\03. 급여\ME-DE009-보고서레이아웃(PMA660AA)-v0.1.docx"/>
    <hyperlink ref="I54" r:id="rId1014" display="\\165.213.107.10\share\K-IFRS반영한경영정보시스템고도화\02. 개발산출물\04. 개발(DT)\02. 경영정보 기능개선(ME)\ME-DT003-단위테스트결과서\ME-DT003-단위테스트결과서(PMA600AA-성과급기초작업)-v0.1.xls"/>
    <hyperlink ref="I53" r:id="rId1015" display="\\165.213.107.10\share\K-IFRS반영한경영정보시스템고도화\02. 개발산출물\04. 개발(DT)\02. 경영정보 기능개선(ME)\ME-DT003-단위테스트결과서\ME-DT003-단위테스트결과서(PMA620AA-지급율관리)-v0.1.xls"/>
    <hyperlink ref="I52" r:id="rId1016" display="\\165.213.107.10\share\K-IFRS반영한경영정보시스템고도화\02. 개발산출물\04. 개발(DT)\02. 경영정보 기능개선(ME)\ME-DT003-단위테스트결과서\ME-DT003-단위테스트결과서(PMA600AA-성과급기초작업)-v0.1.xls"/>
    <hyperlink ref="I51" r:id="rId1017" display="\\165.213.107.10\share\K-IFRS반영한경영정보시스템고도화\02. 개발산출물\03. 설계(DE)\02. 경영정보 기능개선(ME)\ME-DE009-보고서레이아웃\03. 급여\ME-DE009-보고서레이아웃(PMA610AA)-v0.1.docx"/>
    <hyperlink ref="I49" r:id="rId1018" display="\\165.213.107.10\share\K-IFRS반영한경영정보시스템고도화\02. 개발산출물\04. 개발(DT)\02. 경영정보 기능개선(ME)\ME-DT003-단위테스트결과서\ME-DT003-단위테스트결과서(PMA650AA-성과연봉계산작업)-v0.1.xls"/>
    <hyperlink ref="I50" r:id="rId1019" display="\\165.213.107.10\share\K-IFRS반영한경영정보시스템고도화\02. 개발산출물\04. 개발(DT)\02. 경영정보 기능개선(ME)\ME-DT003-단위테스트결과서\ME-DT003-단위테스트결과서(PMA610AA-성과급계산작업)-v0.1.xls"/>
    <hyperlink ref="I48" r:id="rId1020" display="\\165.213.107.10\share\K-IFRS반영한경영정보시스템고도화\02. 개발산출물\04. 개발(DT)\02. 경영정보 기능개선(ME)\ME-DT003-단위테스트결과서\ME-DT003-단위테스트결과서(PMA600AA-성과급기초작업)-v0.1.xls"/>
    <hyperlink ref="I47" r:id="rId1021" display="\\165.213.107.10\share\K-IFRS반영한경영정보시스템고도화\02. 개발산출물\04. 개발(DT)\02. 경영정보 기능개선(ME)\ME-DT003-단위테스트결과서\ME-DT003-단위테스트결과서(PMA650AA-성과연봉계산작업)-v0.1.xls"/>
    <hyperlink ref="I46" r:id="rId1022" display="\\165.213.107.10\share\K-IFRS반영한경영정보시스템고도화\02. 개발산출물\04. 개발(DT)\02. 경영정보 기능개선(ME)\ME-DT003-단위테스트결과서\ME-DT003-단위테스트결과서(PMA650AA-성과연봉계산작업)-v0.1.xls"/>
    <hyperlink ref="I45" r:id="rId1023" display="\\165.213.107.10\share\K-IFRS반영한경영정보시스템고도화\02. 개발산출물\04. 개발(DT)\02. 경영정보 기능개선(ME)\ME-DT003-단위테스트결과서\ME-DT003-단위테스트결과서(PMA600AA-성과급기초작업)-v0.1.xls"/>
    <hyperlink ref="I44" r:id="rId1024" display="\\165.213.107.10\share\K-IFRS반영한경영정보시스템고도화\02. 개발산출물\04. 개발(DT)\02. 경영정보 기능개선(ME)\ME-DT003-단위테스트결과서\ME-DT003-단위테스트결과서(HMA620AS-임용일계산조회)-v0.1.xls"/>
    <hyperlink ref="I43" r:id="rId1025" display="\\165.213.107.10\share\K-IFRS반영한경영정보시스템고도화\02. 개발산출물\04. 개발(DT)\02. 경영정보 기능개선(ME)\ME-DT003-단위테스트결과서\ME-DT003-단위테스트결과서(HMA950AA-인사발령처리)-v0.1.xls"/>
    <hyperlink ref="I42" r:id="rId1026" display="\\165.213.107.10\share\K-IFRS반영한경영정보시스템고도화\02. 개발산출물\04. 개발(DT)\02. 경영정보 기능개선(ME)\ME-DT003-단위테스트결과서\ME-DT003-단위테스트결과서(HMA950AA-인사발령처리)-v0.1.xls"/>
    <hyperlink ref="I41" r:id="rId1027" display="\\165.213.107.10\share\K-IFRS반영한경영정보시스템고도화\02. 개발산출물\04. 개발(DT)\02. 경영정보 기능개선(ME)\ME-DT003-단위테스트결과서\ME-DT003-단위테스트결과서(HMA950AA-인사발령처리)-v0.1.xls"/>
    <hyperlink ref="I40" r:id="rId1028" display="\\165.213.107.10\share\K-IFRS반영한경영정보시스템고도화\02. 개발산출물\04. 개발(DT)\02. 경영정보 기능개선(ME)\ME-DT003-단위테스트결과서\ME-DT003-단위테스트결과서(PMA500AA-부양가족신고서)-v0.1.xls"/>
    <hyperlink ref="I39" r:id="rId1029" display="\\165.213.107.10\share\K-IFRS반영한경영정보시스템고도화\02. 개발산출물\04. 개발(DT)\02. 경영정보 기능개선(ME)\ME-DT003-단위테스트결과서\ME-DT003-단위테스트결과서(PMA520AA-출산장려비지급신청서)-v0.1.xls"/>
    <hyperlink ref="I38" r:id="rId1030" display="\\165.213.107.10\share\K-IFRS반영한경영정보시스템고도화\02. 개발산출물\04. 개발(DT)\02. 경영정보 기능개선(ME)\ME-DT003-단위테스트결과서\ME-DT003-단위테스트결과서(PMA550AA-자녀학비보조금신청서(결재))-v0.1.xls"/>
    <hyperlink ref="I37" r:id="rId1031" display="\\165.213.107.10\share\K-IFRS반영한경영정보시스템고도화\02. 개발산출물\04. 개발(DT)\02. 경영정보 기능개선(ME)\ME-DT003-단위테스트결과서\ME-DT003-단위테스트결과서(PMA580AA-부양가족신고서(결재))-v0.1.xls"/>
    <hyperlink ref="I36" r:id="rId1032" display="\\165.213.107.10\share\K-IFRS반영한경영정보시스템고도화\02. 개발산출물\04. 개발(DT)\02. 경영정보 기능개선(ME)\ME-DT003-단위테스트결과서\ME-DT003-단위테스트결과서(PMA630AA-소급률관리)-v0.1.xls"/>
    <hyperlink ref="I33" r:id="rId1033" display="\\165.213.107.10\share\K-IFRS반영한경영정보시스템고도화\02. 개발산출물\03. 설계(DE)\02. 경영정보 기능개선(ME)\ME-DE009-보고서레이아웃\03. 급여\ME-DE009-보고서레이아웃(PMA610AA)-v0.1.docx"/>
    <hyperlink ref="I32" r:id="rId1034" display="\\165.213.107.10\share\K-IFRS반영한경영정보시스템고도화\02. 개발산출물\03. 설계(DE)\02. 경영정보 기능개선(ME)\ME-DE009-보고서레이아웃\03. 급여\ME-DE009-보고서레이아웃(PMA110AA)-v0.1.docx"/>
    <hyperlink ref="H188" r:id="rId1035" display="\\165.213.107.10\share\K-IFRS반영한경영정보시스템고도화\02. 개발산출물\04. 개발(DT)\02. 경영정보 기능개선(ME)\ME-DT002-단위테스트명세서\ME-DT002-단위테스트명세서(HMA010RP1-인사카드)-v0.1.xls"/>
    <hyperlink ref="H160" r:id="rId1036" display="\\165.213.107.10\share\K-IFRS반영한경영정보시스템고도화\02. 개발산출물\04. 개발(DT)\02. 경영정보 기능개선(ME)\ME-DT002-단위테스트명세서\ME-DT002-단위테스트명세서(HMA200AA-휴직관리)-v0.1.xls"/>
    <hyperlink ref="H161" r:id="rId1037" display="\\165.213.107.10\share\K-IFRS반영한경영정보시스템고도화\02. 개발산출물\04. 개발(DT)\02. 경영정보 기능개선(ME)\ME-DT002-단위테스트명세서\ME-DT002-단위테스트명세서(HMA950AA-인사발령처리)-v0.1.xls"/>
    <hyperlink ref="H162" r:id="rId1038" display="\\165.213.107.10\share\K-IFRS반영한경영정보시스템고도화\02. 개발산출물\04. 개발(DT)\02. 경영정보 기능개선(ME)\ME-DT002-단위테스트명세서\ME-DT002-단위테스트명세서(PMA380AA-모의연말정산결과보기)-v0.1.xls"/>
    <hyperlink ref="H163" r:id="rId1039" display="\\165.213.107.10\share\K-IFRS반영한경영정보시스템고도화\02. 개발산출물\04. 개발(DT)\02. 경영정보 기능개선(ME)\ME-DT002-단위테스트명세서\ME-DT002-단위테스트명세서(PMA070AA-개인별은행계좌관리)-v0.1.xls"/>
    <hyperlink ref="H164" r:id="rId1040" display="\\165.213.107.10\share\K-IFRS반영한경영정보시스템고도화\02. 개발산출물\04. 개발(DT)\02. 경영정보 기능개선(ME)\ME-DT002-단위테스트명세서\ME-DT002-단위테스트명세서(PMA090AA-신규임용등록)-v0.1.xls"/>
    <hyperlink ref="H165" r:id="rId1041" display="\\165.213.107.10\share\K-IFRS반영한경영정보시스템고도화\02. 개발산출물\04. 개발(DT)\02. 경영정보 기능개선(ME)\ME-DT002-단위테스트명세서\ME-DT002-단위테스트명세서(PMA095AA-인사변동사항조회)-v0.1.xls"/>
    <hyperlink ref="H166" r:id="rId1042" display="\\165.213.107.10\share\K-IFRS반영한경영정보시스템고도화\02. 개발산출물\04. 개발(DT)\02. 경영정보 기능개선(ME)\ME-DT002-단위테스트명세서\ME-DT002-단위테스트명세서(PMA105AA-개인별능력급지급율관리)-v0.1.xls"/>
    <hyperlink ref="H167" r:id="rId1043" display="\\165.213.107.10\share\K-IFRS반영한경영정보시스템고도화\02. 개발산출물\04. 개발(DT)\02. 경영정보 기능개선(ME)\ME-DT002-단위테스트명세서\ME-DT002-단위테스트명세서(PMA115AA-급여대상자관리)-v0.1.xls"/>
    <hyperlink ref="H168" r:id="rId1044" display="\\165.213.107.10\share\K-IFRS반영한경영정보시스템고도화\02. 개발산출물\04. 개발(DT)\02. 경영정보 기능개선(ME)\ME-DT002-단위테스트명세서\ME-DT002-단위테스트명세서(PMA108AA-급여변동사항관리)-v0.1.xls"/>
    <hyperlink ref="H169" r:id="rId1045" display="\\165.213.107.10\share\K-IFRS반영한경영정보시스템고도화\02. 개발산출물\04. 개발(DT)\02. 경영정보 기능개선(ME)\ME-DT002-단위테스트명세서\ME-DT002-단위테스트명세서(PMA108AA-급여변동사항관리)-v0.1.xls"/>
    <hyperlink ref="H170" r:id="rId1046" display="\\165.213.107.10\share\K-IFRS반영한경영정보시스템고도화\02. 개발산출물\04. 개발(DT)\02. 경영정보 기능개선(ME)\ME-DT002-단위테스트명세서\ME-DT002-단위테스트명세서(PMA115AS-비급여대상자리스트)-v0.1.xls"/>
    <hyperlink ref="H171" r:id="rId1047" display="\\165.213.107.10\share\K-IFRS반영한경영정보시스템고도화\02. 개발산출물\04. 개발(DT)\02. 경영정보 기능개선(ME)\ME-DT002-단위테스트명세서\ME-DT002-단위테스트명세서(PMA120AA-개인별지급관리)-v0.1.xls"/>
    <hyperlink ref="H172" r:id="rId1048" display="\\165.213.107.10\share\K-IFRS반영한경영정보시스템고도화\02. 개발산출물\04. 개발(DT)\02. 경영정보 기능개선(ME)\ME-DT002-단위테스트명세서\ME-DT002-단위테스트명세서(PMA122AA-일자별개인별시간외수당관리)-v0.1.xls"/>
    <hyperlink ref="H173" r:id="rId1049" display="\\165.213.107.10\share\K-IFRS반영한경영정보시스템고도화\02. 개발산출물\04. 개발(DT)\02. 경영정보 기능개선(ME)\ME-DT002-단위테스트명세서\ME-DT002-단위테스트명세서(PMA130AA-개인별공제관리)-v0.1.xls"/>
    <hyperlink ref="H174" r:id="rId1050" display="\\165.213.107.10\share\K-IFRS반영한경영정보시스템고도화\02. 개발산출물\04. 개발(DT)\02. 경영정보 기능개선(ME)\ME-DT002-단위테스트명세서\ME-DT002-단위테스트명세서(PMA145AA-성금관리)-v0.1.xls"/>
    <hyperlink ref="H175" r:id="rId1051" display="\\165.213.107.10\share\K-IFRS반영한경영정보시스템고도화\02. 개발산출물\04. 개발(DT)\02. 경영정보 기능개선(ME)\ME-DT002-단위테스트명세서\ME-DT002-단위테스트명세서(PMH205AA-항공마일리지)-v0.1.xls"/>
    <hyperlink ref="H176" r:id="rId1052" display="\\165.213.107.10\share\K-IFRS반영한경영정보시스템고도화\02. 개발산출물\04. 개발(DT)\02. 경영정보 기능개선(ME)\ME-DT002-단위테스트명세서\ME-DT002-단위테스트명세서(HMA600AA-인사데이터권한)-v0.1.xls"/>
    <hyperlink ref="H177" r:id="rId1053" display="\\165.213.107.10\share\K-IFRS반영한경영정보시스템고도화\02. 개발산출물\04. 개발(DT)\02. 경영정보 기능개선(ME)\ME-DT002-단위테스트명세서\ME-DT002-단위테스트명세서(HMA290AA-제증명신청_발급처리)-v0.1.xls"/>
    <hyperlink ref="H178" r:id="rId1054" display="\\165.213.107.10\share\K-IFRS반영한경영정보시스템고도화\02. 개발산출물\04. 개발(DT)\02. 경영정보 기능개선(ME)\ME-DT002-단위테스트명세서\ME-DT002-단위테스트명세서(HMA030AA-학력_전공관리)-v0.1.xls"/>
    <hyperlink ref="H179" r:id="rId1055" display="\\165.213.107.10\share\K-IFRS반영한경영정보시스템고도화\02. 개발산출물\04. 개발(DT)\02. 경영정보 기능개선(ME)\ME-DT002-단위테스트명세서\ME-DT002-단위테스트명세서(HMA090AA-보훈_장애관리)-v0.1.xls"/>
    <hyperlink ref="H180" r:id="rId1056" display="\\165.213.107.10\share\K-IFRS반영한경영정보시스템고도화\02. 개발산출물\04. 개발(DT)\02. 경영정보 기능개선(ME)\ME-DT002-단위테스트명세서\ME-DT002-단위테스트명세서(HMA011AS-인사일괄조회)-v0.1.xls"/>
    <hyperlink ref="H181" r:id="rId1057" display="\\165.213.107.10\share\K-IFRS반영한경영정보시스템고도화\02. 개발산출물\04. 개발(DT)\02. 경영정보 기능개선(ME)\ME-DT002-단위테스트명세서\ME-DT002-단위테스트명세서(HMA011AS-인사일괄조회)-v0.1.xls"/>
    <hyperlink ref="H182" r:id="rId1058" display="\\165.213.107.10\share\K-IFRS반영한경영정보시스템고도화\02. 개발산출물\04. 개발(DT)\02. 경영정보 기능개선(ME)\ME-DT002-단위테스트명세서\ME-DT002-단위테스트명세서(PMA156AS-급여대장(대표))-v0.1.xls"/>
    <hyperlink ref="H183" r:id="rId1059" display="\\165.213.107.10\share\K-IFRS반영한경영정보시스템고도화\02. 개발산출물\04. 개발(DT)\02. 경영정보 기능개선(ME)\ME-DT002-단위테스트명세서\ME-DT002-단위테스트명세서(PMA156AS-급여대장(대표))-v0.1.xls"/>
    <hyperlink ref="H185" r:id="rId1060" display="\\165.213.107.10\share\K-IFRS반영한경영정보시스템고도화\02. 개발산출물\04. 개발(DT)\02. 경영정보 기능개선(ME)\ME-DT002-단위테스트명세서\ME-DT002-단위테스트명세서(SF_FIND_OFO_DAT-)-v0.1.xls"/>
    <hyperlink ref="H186" r:id="rId1061" display="\\165.213.107.10\share\K-IFRS반영한경영정보시스템고도화\02. 개발산출물\04. 개발(DT)\02. 경영정보 기능개선(ME)\ME-DT002-단위테스트명세서\ME-DT002-단위테스트명세서(HMB470AS-개인별근무기간조회)-v0.1.xls"/>
    <hyperlink ref="H187" r:id="rId1062" display="\\165.213.107.10\share\K-IFRS반영한경영정보시스템고도화\02. 개발산출물\04. 개발(DT)\02. 경영정보 기능개선(ME)\ME-DT002-단위테스트명세서\ME-DT002-단위테스트명세서(HMA145AA-근무경력관리)-v0.1.xls"/>
    <hyperlink ref="H190" r:id="rId1063" display="\\165.213.107.10\share\K-IFRS반영한경영정보시스템고도화\02. 개발산출물\04. 개발(DT)\02. 경영정보 기능개선(ME)\ME-DT002-단위테스트명세서\ME-DT002-단위테스트명세서(AMA290AS-부외자산대장)-v0.1.xls"/>
    <hyperlink ref="H191" r:id="rId1064" display="\\165.213.107.10\share\K-IFRS반영한경영정보시스템고도화\02. 개발산출물\04. 개발(DT)\02. 경영정보 기능개선(ME)\ME-DT002-단위테스트명세서\ME-DT002-단위테스트명세서(AMA280AS-공기구부품대장)-v0.1.xls"/>
    <hyperlink ref="H192" r:id="rId1065" display="\\165.213.107.10\share\K-IFRS반영한경영정보시스템고도화\02. 개발산출물\04. 개발(DT)\02. 경영정보 기능개선(ME)\ME-DT002-단위테스트명세서\ME-DT002-단위테스트명세서(AMA210AS-차량운반구대장)-v0.1.xls"/>
    <hyperlink ref="H193" r:id="rId1066" display="\\165.213.107.10\share\K-IFRS반영한경영정보시스템고도화\02. 개발산출물\04. 개발(DT)\02. 경영정보 기능개선(ME)\ME-DT002-단위테스트명세서\ME-DT002-단위테스트명세서(AMA601AA-리스물품관리)-v0.1.xls"/>
    <hyperlink ref="H194" r:id="rId1067" display="\\165.213.107.10\share\K-IFRS반영한경영정보시스템고도화\02. 개발산출물\04. 개발(DT)\02. 경영정보 기능개선(ME)\ME-DT002-단위테스트명세서\ME-DT002-단위테스트명세서(HMA620AS-임용일계산조회)-v0.1.xls"/>
    <hyperlink ref="H195" r:id="rId1068" display="\\165.213.107.10\share\K-IFRS반영한경영정보시스템고도화\02. 개발산출물\04. 개발(DT)\02. 경영정보 기능개선(ME)\ME-DT002-단위테스트명세서\ME-DT002-단위테스트명세서(---)-v0.1.xls"/>
    <hyperlink ref="H196" r:id="rId1069" display="\\165.213.107.10\share\K-IFRS반영한경영정보시스템고도화\02. 개발산출물\04. 개발(DT)\02. 경영정보 기능개선(ME)\ME-DT002-단위테스트명세서\ME-DT002-단위테스트명세서(---)-v0.1.xls"/>
    <hyperlink ref="H197" r:id="rId1070" display="\\165.213.107.10\share\K-IFRS반영한경영정보시스템고도화\02. 개발산출물\04. 개발(DT)\02. 경영정보 기능개선(ME)\ME-DT002-단위테스트명세서\ME-DT002-단위테스트명세서(---)-v0.1.xls"/>
    <hyperlink ref="H198" r:id="rId1071" display="\\165.213.107.10\share\K-IFRS반영한경영정보시스템고도화\02. 개발산출물\04. 개발(DT)\02. 경영정보 기능개선(ME)\ME-DT002-단위테스트명세서\ME-DT002-단위테스트명세서(---)-v0.1.xls"/>
    <hyperlink ref="H199" r:id="rId1072" display="\\165.213.107.10\share\K-IFRS반영한경영정보시스템고도화\02. 개발산출물\04. 개발(DT)\02. 경영정보 기능개선(ME)\ME-DT002-단위테스트명세서\ME-DT002-단위테스트명세서(---)-v0.1.xls"/>
    <hyperlink ref="H156" r:id="rId1073" display="\\165.213.107.10\share\K-IFRS반영한경영정보시스템고도화\02. 개발산출물\04. 개발(DT)\02. 경영정보 기능개선(ME)\ME-DT002-단위테스트명세서\ME-DT002-단위테스트명세서(HMA950AA-인사발령처리)-v0.1.xls"/>
    <hyperlink ref="H158" r:id="rId1074" display="\\165.213.107.10\share\K-IFRS반영한경영정보시스템고도화\02. 개발산출물\04. 개발(DT)\02. 경영정보 기능개선(ME)\ME-DT002-단위테스트명세서\ME-DT002-단위테스트명세서(HMA950AA-인사발령처리)-v0.1.xls"/>
    <hyperlink ref="H159" r:id="rId1075" display="\\165.213.107.10\share\K-IFRS반영한경영정보시스템고도화\02. 개발산출물\04. 개발(DT)\02. 경영정보 기능개선(ME)\ME-DT002-단위테스트명세서\ME-DT002-단위테스트명세서(HMA320AA-승급처리)-v0.1.xls"/>
    <hyperlink ref="H155" r:id="rId1076" display="\\165.213.107.10\share\K-IFRS반영한경영정보시스템고도화\02. 개발산출물\04. 개발(DT)\02. 경영정보 기능개선(ME)\ME-DT002-단위테스트명세서\ME-DT002-단위테스트명세서(HMA950AA-인사발령 스케줄러)-v0.1.xls"/>
    <hyperlink ref="H157" r:id="rId1077" display="\\165.213.107.10\share\K-IFRS반영한경영정보시스템고도화\02. 개발산출물\04. 개발(DT)\02. 경영정보 기능개선(ME)\ME-DT002-단위테스트명세서\ME-DT002-단위테스트명세서(HMA950AA-)-v0.1.xls"/>
    <hyperlink ref="H154" r:id="rId1078" display="\\165.213.107.10\share\K-IFRS반영한경영정보시스템고도화\02. 개발산출물\04. 개발(DT)\02. 경영정보 기능개선(ME)\ME-DT002-단위테스트명세서\ME-DT002-단위테스트명세서(HMA340AA-정현원표관리)-v0.1.xls"/>
    <hyperlink ref="H153" r:id="rId1079" display="\\165.213.107.10\share\K-IFRS반영한경영정보시스템고도화\02. 개발산출물\04. 개발(DT)\02. 경영정보 기능개선(ME)\ME-DT002-단위테스트명세서\ME-DT002-단위테스트명세서(PMA260AS_x000a_PMA265AS-인권비집행총괄표_x000a_인권비집행총괄표2)-v0.1.xls"/>
    <hyperlink ref="H147" r:id="rId1080" display="\\165.213.107.10\share\K-IFRS반영한경영정보시스템고도화\02. 개발산출물\04. 개발(DT)\02. 경영정보 기능개선(ME)\ME-DT002-단위테스트명세서\ME-DT002-단위테스트명세서(PMA130AA-개인별공제관리)-v0.1.xls"/>
    <hyperlink ref="H148" r:id="rId1081" display="\\165.213.107.10\share\K-IFRS반영한경영정보시스템고도화\02. 개발산출물\04. 개발(DT)\02. 경영정보 기능개선(ME)\ME-DT002-단위테스트명세서\ME-DT002-단위테스트명세서(PMA120AA-개인별지급관리)-v0.1.xls"/>
    <hyperlink ref="H122" r:id="rId1082" display="\\165.213.107.10\share\K-IFRS반영한경영정보시스템고도화\02. 개발산출물\04. 개발(DT)\02. 경영정보 기능개선(ME)\ME-DT002-단위테스트명세서\ME-DT002-단위테스트명세서(PMA140AA-급여계산작업)-v0.1.xls"/>
    <hyperlink ref="H146" r:id="rId1083" display="\\165.213.107.10\share\K-IFRS반영한경영정보시스템고도화\02. 개발산출물\04. 개발(DT)\02. 경영정보 기능개선(ME)\ME-DT002-단위테스트명세서\ME-DT002-단위테스트명세서(PMA120AA-개인별지급관리)-v0.1.xls"/>
    <hyperlink ref="H139" r:id="rId1084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49" r:id="rId1085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52" r:id="rId1086" display="\\165.213.107.10\share\K-IFRS반영한경영정보시스템고도화\02. 개발산출물\04. 개발(DT)\02. 경영정보 기능개선(ME)\ME-DT002-단위테스트명세서\ME-DT002-단위테스트명세서(PMA230AA-개인별지급내역수정)-v0.1.xls"/>
    <hyperlink ref="H150" r:id="rId1087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51" r:id="rId1088" display="\\165.213.107.10\share\K-IFRS반영한경영정보시스템고도화\02. 개발산출물\04. 개발(DT)\02. 경영정보 기능개선(ME)\ME-DT002-단위테스트명세서\ME-DT002-단위테스트명세서(PMA140AA-급여계산작업)-v0.1.xls"/>
    <hyperlink ref="H121" r:id="rId1089" display="\\165.213.107.10\share\K-IFRS반영한경영정보시스템고도화\02. 개발산출물\04. 개발(DT)\02. 경영정보 기능개선(ME)\ME-DT002-단위테스트명세서\ME-DT002-단위테스트명세서(PMA310AA_x000a_PMA320AA_x000a_PMA325AA_x000a_PMA300AS_x000a_PMA330AA_x000a_PMA340AA-인상연봉표관리_x000a_인상기준외급여관리_x000a_급여소급계산_x000a_개인별급여소급현황_x000a_개인별급여소급계좌이체명세서_x000a_소급금융결제원화일생성)-v0.1.xls"/>
    <hyperlink ref="H134" r:id="rId1090" display="\\165.213.107.10\share\K-IFRS반영한경영정보시스템고도화\02. 개발산출물\04. 개발(DT)\02. 경영정보 기능개선(ME)\ME-DT002-단위테스트명세서\ME-DT002-단위테스트명세서(PMA510AA-자녀학비보조금신청서)-v0.1.xls"/>
    <hyperlink ref="H135" r:id="rId1091" display="\\165.213.107.10\share\K-IFRS반영한경영정보시스템고도화\02. 개발산출물\04. 개발(DT)\02. 경영정보 기능개선(ME)\ME-DT002-단위테스트명세서\ME-DT002-단위테스트명세서(PMA550AA-자녀학비보조금신청서(결재))-v0.1.xls"/>
    <hyperlink ref="H138" r:id="rId1092" display="\\165.213.107.10\share\K-IFRS반영한경영정보시스템고도화\02. 개발산출물\04. 개발(DT)\02. 경영정보 기능개선(ME)\ME-DT002-단위테스트명세서\ME-DT002-단위테스트명세서(PMA100AA-가족사항관리)-v0.1.xls"/>
    <hyperlink ref="H132" r:id="rId1093" display="\\165.213.107.10\share\K-IFRS반영한경영정보시스템고도화\02. 개발산출물\04. 개발(DT)\02. 경영정보 기능개선(ME)\ME-DT002-단위테스트명세서\ME-DT002-단위테스트명세서(PMA520AA-출산장려비지급신청서)-v0.1.xls"/>
    <hyperlink ref="H137" r:id="rId1094" display="\\165.213.107.10\share\K-IFRS반영한경영정보시스템고도화\02. 개발산출물\04. 개발(DT)\02. 경영정보 기능개선(ME)\ME-DT002-단위테스트명세서\ME-DT002-단위테스트명세서(PMA580AA-부양가족신고서(결재))-v0.1.xls"/>
    <hyperlink ref="H140" r:id="rId1095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31" r:id="rId1096" display="\\165.213.107.10\share\K-IFRS반영한경영정보시스템고도화\02. 개발산출물\04. 개발(DT)\02. 경영정보 기능개선(ME)\ME-DT002-단위테스트명세서\ME-DT002-단위테스트명세서(PMA140AA-급여계산작업)-v0.1.xls"/>
    <hyperlink ref="H130" r:id="rId1097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33" r:id="rId1098" display="\\165.213.107.10\share\K-IFRS반영한경영정보시스템고도화\02. 개발산출물\04. 개발(DT)\02. 경영정보 기능개선(ME)\ME-DT002-단위테스트명세서\ME-DT002-단위테스트명세서(PMA560AA-출산장려비지급신청서(결재))-v0.1.xls"/>
    <hyperlink ref="H141" r:id="rId1099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42" r:id="rId1100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43" r:id="rId1101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44" r:id="rId1102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45" r:id="rId1103" display="\\165.213.107.10\share\K-IFRS반영한경영정보시스템고도화\02. 개발산출물\04. 개발(DT)\02. 경영정보 기능개선(ME)\ME-DT002-단위테스트명세서\ME-DT002-단위테스트명세서(PMA110AA-급여기초작업)-v0.1.xls"/>
    <hyperlink ref="H136" r:id="rId1104" display="\\165.213.107.10\share\K-IFRS반영한경영정보시스템고도화\02. 개발산출물\04. 개발(DT)\02. 경영정보 기능개선(ME)\ME-DT002-단위테스트명세서\ME-DT002-단위테스트명세서(PMA500AA-부양가족신고서)-v0.1.xls"/>
    <hyperlink ref="H129" r:id="rId1105" display="\\165.213.107.10\share\K-IFRS반영한경영정보시스템고도화\02. 개발산출물\03. 설계(DE)\02. 경영정보 기능개선(ME)\ME-DE009-보고서레이아웃\03. 급여\ME-DE009-보고서레이아웃(PMA110AA)-v0.1.docx"/>
    <hyperlink ref="H126" r:id="rId1106" display="file://Y:\\K-IFRS반영한경영정보시스템고도화\\02. 개발산출물\\04. 개발(DT)\\02. 경영정보 기능개선(ME)\\ME-DT002-단위테스트명세서\\ME-DT002-단위테스트명세서(PMC270AA-영수증\징수부출력 승인)-v0.1.xls"/>
    <hyperlink ref="H128" r:id="rId1107" display="\\165.213.107.10\share\K-IFRS반영한경영정보시스템고도화\02. 개발산출물\03. 설계(DE)\02. 경영정보 기능개선(ME)\ME-DE009-보고서레이아웃\03. 급여\ME-DE009-보고서레이아웃(PMA110AA)-v0.1.docx"/>
    <hyperlink ref="H125" r:id="rId1108" display="file://Y:\\K-IFRS반영한경영정보시스템고도화\\02. 개발산출물\\04. 개발(DT)\\02. 경영정보 기능개선(ME)\\ME-DT002-단위테스트명세서\\ME-DT002-단위테스트명세서(PMC050AS-영수증\징수부출력 및 요청)-v0.1.xls"/>
    <hyperlink ref="H127" r:id="rId1109" display="\\165.213.107.10\share\K-IFRS반영한경영정보시스템고도화\02. 개발산출물\04. 개발(DT)\02. 경영정보 기능개선(ME)\ME-DT002-단위테스트명세서\ME-DT002-단위테스트명세서(PMA440AS-증명서발행이력현황)-v0.1.xls"/>
    <hyperlink ref="H123" r:id="rId1110" display="\\165.213.107.10\share\K-IFRS반영한경영정보시스템고도화\02. 개발산출물\04. 개발(DT)\02. 경영정보 기능개선(ME)\ME-DT002-단위테스트명세서\ME-DT002-단위테스트명세서(PMA260AS_x000a_PMA265AS-인건비집행총괄표_x000a_인건비집행총괄표2)-v0.1.xls"/>
    <hyperlink ref="H124" r:id="rId1111" display="\\165.213.107.10\share\K-IFRS반영한경영정보시스템고도화\02. 개발산출물\04. 개발(DT)\02. 경영정보 기능개선(ME)\ME-DT002-단위테스트명세서\ME-DT002-단위테스트명세서(--정현원생성 작업 스케줄러)-v0.1.xls"/>
    <hyperlink ref="H118" r:id="rId1112" display="\\165.213.107.10\share\K-IFRS반영한경영정보시스템고도화\02. 개발산출물\04. 개발(DT)\02. 경영정보 기능개선(ME)\ME-DT002-단위테스트명세서\ME-DT002-단위테스트명세서(PMA600AA-)-v0.1.xls"/>
    <hyperlink ref="H116" r:id="rId1113" display="\\165.213.107.10\share\K-IFRS반영한경영정보시스템고도화\02. 개발산출물\04. 개발(DT)\02. 경영정보 기능개선(ME)\ME-DT002-단위테스트명세서\ME-DT002-단위테스트명세서(PMA610AA-성과급계산작업)-v0.1.xls"/>
    <hyperlink ref="H117" r:id="rId1114" display="\\165.213.107.10\share\K-IFRS반영한경영정보시스템고도화\02. 개발산출물\04. 개발(DT)\02. 경영정보 기능개선(ME)\ME-DT002-단위테스트명세서\ME-DT002-단위테스트명세서(PMA600AA-성과급기초작업)-v0.1.xls"/>
    <hyperlink ref="H119" r:id="rId1115" display="\\165.213.107.10\share\K-IFRS반영한경영정보시스템고도화\02. 개발산출물\04. 개발(DT)\02. 경영정보 기능개선(ME)\ME-DT002-단위테스트명세서\ME-DT002-단위테스트명세서(PMA600AA-)-v0.1.xls"/>
    <hyperlink ref="H120" r:id="rId1116" display="\\165.213.107.10\share\K-IFRS반영한경영정보시스템고도화\02. 개발산출물\04. 개발(DT)\02. 경영정보 기능개선(ME)\ME-DT002-단위테스트명세서\ME-DT002-단위테스트명세서(PMA600AA-)-v0.1.xls"/>
    <hyperlink ref="H113" r:id="rId1117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H112" r:id="rId1118" display="\\165.213.107.10\share\K-IFRS반영한경영정보시스템고도화\02. 개발산출물\03. 설계(DE)\02. 경영정보 기능개선(ME)\ME-DE009-보고서레이아웃\03. 급여\ME-DE009-보고서레이아웃(PMA310AA_x000a_PMA320AA_x000a_PMA325AA_x000a_PMA300AS_x000a_PMA330AA_x000a_PMA340AA)-v0.1.docx"/>
    <hyperlink ref="H114" r:id="rId1119" display="\\165.213.107.10\share\K-IFRS반영한경영정보시스템고도화\02. 개발산출물\04. 개발(DT)\02. 경영정보 기능개선(ME)\ME-DT002-단위테스트명세서\ME-DT002-단위테스트명세서(PMA620AA-지급율관리)-v0.1.xls"/>
    <hyperlink ref="H115" r:id="rId1120" display="\\165.213.107.10\share\K-IFRS반영한경영정보시스템고도화\02. 개발산출물\04. 개발(DT)\02. 경영정보 기능개선(ME)\ME-DT002-단위테스트명세서\ME-DT002-단위테스트명세서(PMA620AA-지급율관리)-v0.1.xls"/>
    <hyperlink ref="H111" r:id="rId1121" display="\\165.213.107.10\share\K-IFRS반영한경영정보시스템고도화\02. 개발산출물\04. 개발(DT)\02. 경영정보 기능개선(ME)\ME-DT002-단위테스트명세서\ME-DT002-단위테스트명세서(PMA630AA-소급률관리)-v0.1.xls"/>
    <hyperlink ref="H110" r:id="rId1122" display="\\165.213.107.10\share\K-IFRS반영한경영정보시스템고도화\02. 개발산출물\04. 개발(DT)\02. 경영정보 기능개선(ME)\ME-DT002-단위테스트명세서\ME-DT002-단위테스트명세서(PMA630AA-소급률관리)-v0.1.xls"/>
    <hyperlink ref="H97" r:id="rId1123" display="\\165.213.107.10\share\K-IFRS반영한경영정보시스템고도화\02. 개발산출물\04. 개발(DT)\02. 경영정보 기능개선(ME)\ME-DT002-단위테스트명세서\ME-DT002-단위테스트명세서(PMA620AA-지급율관리)-v0.1.xls"/>
    <hyperlink ref="H85" r:id="rId1124" display="\\165.213.107.10\share\K-IFRS반영한경영정보시스템고도화\02. 개발산출물\04. 개발(DT)\02. 경영정보 기능개선(ME)\ME-DT002-단위테스트명세서\ME-DT002-단위테스트명세서(PMA620AA-지급율관리)-v0.1.xls"/>
    <hyperlink ref="H108" r:id="rId1125" display="\\165.213.107.10\share\K-IFRS반영한경영정보시스템고도화\02. 개발산출물\04. 개발(DT)\02. 경영정보 기능개선(ME)\ME-DT002-단위테스트명세서\ME-DT002-단위테스트명세서(PMA620AA-지급율관리)-v0.1.xls"/>
    <hyperlink ref="H107" r:id="rId1126" display="\\165.213.107.10\share\K-IFRS반영한경영정보시스템고도화\02. 개발산출물\04. 개발(DT)\02. 경영정보 기능개선(ME)\ME-DT002-단위테스트명세서\ME-DT002-단위테스트명세서(PMA620AA-지급율관리)-v0.1.xls"/>
    <hyperlink ref="H86" r:id="rId1127" display="\\165.213.107.10\share\K-IFRS반영한경영정보시스템고도화\02. 개발산출물\04. 개발(DT)\02. 경영정보 기능개선(ME)\ME-DT002-단위테스트명세서\ME-DT002-단위테스트명세서(PMA620AA-지급율관리)-v0.1.xls"/>
    <hyperlink ref="H89" r:id="rId1128" display="\\165.213.107.10\share\K-IFRS반영한경영정보시스템고도화\02. 개발산출물\03. 설계(DE)\02. 경영정보 기능개선(ME)\ME-DE009-보고서레이아웃\03. 급여\ME-DE009-보고서레이아웃(PMA600AA)-v0.1.docx"/>
    <hyperlink ref="H93" r:id="rId1129" display="\\165.213.107.10\share\K-IFRS반영한경영정보시스템고도화\02. 개발산출물\04. 개발(DT)\02. 경영정보 기능개선(ME)\ME-DT002-단위테스트명세서\ME-DT002-단위테스트명세서(PMA620AA-지급율관리)-v0.1.xls"/>
    <hyperlink ref="H106" r:id="rId1130" display="\\165.213.107.10\share\K-IFRS반영한경영정보시스템고도화\02. 개발산출물\04. 개발(DT)\02. 경영정보 기능개선(ME)\ME-DT002-단위테스트명세서\ME-DT002-단위테스트명세서(PMA620AA-지급율관리)-v0.1.xls"/>
    <hyperlink ref="H95" r:id="rId1131" display="\\165.213.107.10\share\K-IFRS반영한경영정보시스템고도화\02. 개발산출물\04. 개발(DT)\02. 경영정보 기능개선(ME)\ME-DT002-단위테스트명세서\ME-DT002-단위테스트명세서(PMA620AA-지급율관리)-v0.1.xls"/>
    <hyperlink ref="H91" r:id="rId1132" display="\\165.213.107.10\share\K-IFRS반영한경영정보시스템고도화\02. 개발산출물\04. 개발(DT)\02. 경영정보 기능개선(ME)\ME-DT002-단위테스트명세서\ME-DT002-단위테스트명세서(PMA620AA-지급율관리)-v0.1.xls"/>
    <hyperlink ref="H96" r:id="rId1133" display="\\165.213.107.10\share\K-IFRS반영한경영정보시스템고도화\02. 개발산출물\04. 개발(DT)\02. 경영정보 기능개선(ME)\ME-DT002-단위테스트명세서\ME-DT002-단위테스트명세서(PMA620AA-지급율관리)-v0.1.xls"/>
    <hyperlink ref="H92" r:id="rId1134" display="\\165.213.107.10\share\K-IFRS반영한경영정보시스템고도화\02. 개발산출물\04. 개발(DT)\02. 경영정보 기능개선(ME)\ME-DT002-단위테스트명세서\ME-DT002-단위테스트명세서(PMA620AA-지급율관리)-v0.1.xls"/>
    <hyperlink ref="H99" r:id="rId1135" display="\\165.213.107.10\share\K-IFRS반영한경영정보시스템고도화\02. 개발산출물\04. 개발(DT)\02. 경영정보 기능개선(ME)\ME-DT002-단위테스트명세서\ME-DT002-단위테스트명세서(PMA620AA-지급율관리)-v0.1.xls"/>
    <hyperlink ref="H94" r:id="rId1136" display="\\165.213.107.10\share\K-IFRS반영한경영정보시스템고도화\02. 개발산출물\04. 개발(DT)\02. 경영정보 기능개선(ME)\ME-DT002-단위테스트명세서\ME-DT002-단위테스트명세서(PMA620AA-지급율관리)-v0.1.xls"/>
    <hyperlink ref="H87" r:id="rId1137" display="\\165.213.107.10\share\K-IFRS반영한경영정보시스템고도화\02. 개발산출물\04. 개발(DT)\02. 경영정보 기능개선(ME)\ME-DT002-단위테스트명세서\ME-DT002-단위테스트명세서(PMA620AA-지급율관리)-v0.1.xls"/>
    <hyperlink ref="H78" r:id="rId1138" display="\\165.213.107.10\share\K-IFRS반영한경영정보시스템고도화\02. 개발산출물\04. 개발(DT)\02. 경영정보 기능개선(ME)\ME-DT002-단위테스트명세서\ME-DT002-단위테스트명세서(PMA620AA-지급율관리)-v0.1.xls"/>
    <hyperlink ref="H109" r:id="rId1139" display="\\165.213.107.10\share\K-IFRS반영한경영정보시스템고도화\02. 개발산출물\04. 개발(DT)\02. 경영정보 기능개선(ME)\ME-DT002-단위테스트명세서\ME-DT002-단위테스트명세서(---)-v0.1.xls"/>
    <hyperlink ref="H80" r:id="rId1140" display="\\165.213.107.10\share\K-IFRS반영한경영정보시스템고도화\02. 개발산출물\03. 설계(DE)\02. 경영정보 기능개선(ME)\ME-DE009-보고서레이아웃\03. 급여\ME-DE009-보고서레이아웃(PMA110AA)-v0.1.docx"/>
    <hyperlink ref="H79" r:id="rId1141" display="\\165.213.107.10\share\K-IFRS반영한경영정보시스템고도화\02. 개발산출물\03. 설계(DE)\02. 경영정보 기능개선(ME)\ME-DE009-보고서레이아웃\03. 급여\ME-DE009-보고서레이아웃(PMA110AA)-v0.1.docx"/>
    <hyperlink ref="H88" r:id="rId1142" display="\\165.213.107.10\share\K-IFRS반영한경영정보시스템고도화\02. 개발산출물\03. 설계(DE)\02. 경영정보 기능개선(ME)\ME-DE009-보고서레이아웃\03. 급여\ME-DE009-보고서레이아웃(PMA600AA)-v0.1.docx"/>
    <hyperlink ref="H90" r:id="rId1143" display="\\165.213.107.10\share\K-IFRS반영한경영정보시스템고도화\02. 개발산출물\03. 설계(DE)\02. 경영정보 기능개선(ME)\ME-DE009-보고서레이아웃\03. 급여\ME-DE009-보고서레이아웃(PMA600AA)-v0.1.docx"/>
    <hyperlink ref="H98" r:id="rId1144" display="\\165.213.107.10\share\K-IFRS반영한경영정보시스템고도화\02. 개발산출물\03. 설계(DE)\02. 경영정보 기능개선(ME)\ME-DE009-보고서레이아웃\03. 급여\ME-DE009-보고서레이아웃(PMA600AA)-v0.1.docx"/>
    <hyperlink ref="H100" r:id="rId1145" display="\\165.213.107.10\share\K-IFRS반영한경영정보시스템고도화\02. 개발산출물\04. 개발(DT)\02. 경영정보 기능개선(ME)\ME-DT002-단위테스트명세서\ME-DT002-단위테스트명세서(PMA620AA-지급율관리)-v0.1.xls"/>
    <hyperlink ref="H101" r:id="rId1146" display="\\165.213.107.10\share\K-IFRS반영한경영정보시스템고도화\02. 개발산출물\03. 설계(DE)\02. 경영정보 기능개선(ME)\ME-DE009-보고서레이아웃\03. 급여\ME-DE009-보고서레이아웃(PMA110AA)-v0.1.docx"/>
    <hyperlink ref="H102" r:id="rId1147" display="\\165.213.107.10\share\K-IFRS반영한경영정보시스템고도화\02. 개발산출물\03. 설계(DE)\02. 경영정보 기능개선(ME)\ME-DE009-보고서레이아웃\03. 급여\ME-DE009-보고서레이아웃(PMA110AA)-v0.1.docx"/>
    <hyperlink ref="H103" r:id="rId1148" display="\\165.213.107.10\share\K-IFRS반영한경영정보시스템고도화\02. 개발산출물\03. 설계(DE)\02. 경영정보 기능개선(ME)\ME-DE009-보고서레이아웃\03. 급여\ME-DE009-보고서레이아웃(PMA110AA)-v0.1.docx"/>
    <hyperlink ref="H104" r:id="rId1149" display="\\165.213.107.10\share\K-IFRS반영한경영정보시스템고도화\02. 개발산출물\03. 설계(DE)\02. 경영정보 기능개선(ME)\ME-DE009-보고서레이아웃\03. 급여\ME-DE009-보고서레이아웃(PMA110AA)-v0.1.docx"/>
    <hyperlink ref="H105" r:id="rId1150" display="\\165.213.107.10\share\K-IFRS반영한경영정보시스템고도화\02. 개발산출물\03. 설계(DE)\02. 경영정보 기능개선(ME)\ME-DE009-보고서레이아웃\03. 급여\ME-DE009-보고서레이아웃(PMA110AA)-v0.1.docx"/>
    <hyperlink ref="H77" r:id="rId1151" display="\\165.213.107.10\share\K-IFRS반영한경영정보시스템고도화\02. 개발산출물\03. 설계(DE)\02. 경영정보 기능개선(ME)\ME-DE009-보고서레이아웃\03. 급여\ME-DE009-보고서레이아웃(PMA600AA)-v0.1.docx"/>
    <hyperlink ref="H76" r:id="rId1152" display="\\165.213.107.10\share\K-IFRS반영한경영정보시스템고도화\02. 개발산출물\03. 설계(DE)\02. 경영정보 기능개선(ME)\ME-DE009-보고서레이아웃\03. 급여\ME-DE009-보고서레이아웃(PMA600AA)-v0.1.docx"/>
    <hyperlink ref="H75" r:id="rId1153" display="\\165.213.107.10\share\K-IFRS반영한경영정보시스템고도화\02. 개발산출물\03. 설계(DE)\02. 경영정보 기능개선(ME)\ME-DE009-보고서레이아웃\03. 급여\ME-DE009-보고서레이아웃(PMA600AA)-v0.1.docx"/>
    <hyperlink ref="H74" r:id="rId1154" display="\\165.213.107.10\share\K-IFRS반영한경영정보시스템고도화\02. 개발산출물\03. 설계(DE)\02. 경영정보 기능개선(ME)\ME-DE009-보고서레이아웃\03. 급여\ME-DE009-보고서레이아웃(PMA600AA)-v0.1.docx"/>
    <hyperlink ref="H73" r:id="rId1155" display="\\165.213.107.10\share\K-IFRS반영한경영정보시스템고도화\02. 개발산출물\04. 개발(DT)\02. 경영정보 기능개선(ME)\ME-DT002-단위테스트명세서\ME-DT002-단위테스트명세서(HMA320AA-승급처리)-v0.1.xls"/>
    <hyperlink ref="H72" r:id="rId1156" display="\\165.213.107.10\share\K-IFRS반영한경영정보시스템고도화\02. 개발산출물\04. 개발(DT)\02. 경영정보 기능개선(ME)\ME-DT002-단위테스트명세서\ME-DT002-단위테스트명세서(PMA620AA-지급율관리)-v0.1.xls"/>
    <hyperlink ref="H70" r:id="rId1157" display="\\165.213.107.10\share\K-IFRS반영한경영정보시스템고도화\02. 개발산출물\04. 개발(DT)\02. 경영정보 기능개선(ME)\ME-DT002-단위테스트명세서\ME-DT002-단위테스트명세서(PMA620AA-지급율관리)-v0.1.xls"/>
    <hyperlink ref="H69" r:id="rId1158" display="\\165.213.107.10\share\K-IFRS반영한경영정보시스템고도화\02. 개발산출물\04. 개발(DT)\02. 경영정보 기능개선(ME)\ME-DT002-단위테스트명세서\ME-DT002-단위테스트명세서(PMA620AA-지급율관리)-v0.1.xls"/>
    <hyperlink ref="H71" r:id="rId1159" display="\\165.213.107.10\share\K-IFRS반영한경영정보시스템고도화\02. 개발산출물\04. 개발(DT)\02. 경영정보 기능개선(ME)\ME-DT002-단위테스트명세서\ME-DT002-단위테스트명세서(PMA620AA-지급율관리)-v0.1.xls"/>
    <hyperlink ref="H68" r:id="rId1160" display="\\165.213.107.10\share\K-IFRS반영한경영정보시스템고도화\02. 개발산출물\03. 설계(DE)\02. 경영정보 기능개선(ME)\ME-DE009-보고서레이아웃\03. 급여\ME-DE009-보고서레이아웃(PMA600AA)-v0.1.docx"/>
    <hyperlink ref="H67" r:id="rId1161" display="\\165.213.107.10\share\K-IFRS반영한경영정보시스템고도화\02. 개발산출물\04. 개발(DT)\02. 경영정보 기능개선(ME)\ME-DT002-단위테스트명세서\ME-DT002-단위테스트명세서(PMA650AA-성과연봉계산작업)-v0.1.xls"/>
    <hyperlink ref="H66" r:id="rId1162" display="\\165.213.107.10\share\K-IFRS반영한경영정보시스템고도화\02. 개발산출물\04. 개발(DT)\02. 경영정보 기능개선(ME)\ME-DT002-단위테스트명세서\ME-DT002-단위테스트명세서(PMA650AA-성과연봉계산작업)-v0.1.xls"/>
    <hyperlink ref="H64" r:id="rId1163" display="\\165.213.107.10\share\K-IFRS반영한경영정보시스템고도화\02. 개발산출물\04. 개발(DT)\02. 경영정보 기능개선(ME)\ME-DT002-단위테스트명세서\ME-DT002-단위테스트명세서(PMA650AA-성과연봉계산작업)-v0.1.xls"/>
    <hyperlink ref="H65" r:id="rId1164" display="\\165.213.107.10\share\K-IFRS반영한경영정보시스템고도화\02. 개발산출물\04. 개발(DT)\02. 경영정보 기능개선(ME)\ME-DT002-단위테스트명세서\ME-DT002-단위테스트명세서(PMA650AA-성과연봉계산작업)-v0.1.xls"/>
    <hyperlink ref="H63" r:id="rId1165" display="\\165.213.107.10\share\K-IFRS반영한경영정보시스템고도화\02. 개발산출물\04. 개발(DT)\02. 경영정보 기능개선(ME)\ME-DT002-단위테스트명세서\ME-DT002-단위테스트명세서(PMA620AA-지급율관리)-v0.1.xls"/>
    <hyperlink ref="H62" r:id="rId1166" display="\\165.213.107.10\share\K-IFRS반영한경영정보시스템고도화\02. 개발산출물\04. 개발(DT)\02. 경영정보 기능개선(ME)\ME-DT002-단위테스트명세서\ME-DT002-단위테스트명세서(PMA620AA-지급율관리)-v0.1.xls"/>
    <hyperlink ref="H61" r:id="rId1167" display="\\165.213.107.10\share\K-IFRS반영한경영정보시스템고도화\02. 개발산출물\04. 개발(DT)\02. 경영정보 기능개선(ME)\ME-DT002-단위테스트명세서\ME-DT002-단위테스트명세서(PMA650AA-성과연봉계산작업)-v0.1.xls"/>
    <hyperlink ref="H60" r:id="rId1168" display="\\165.213.107.10\share\K-IFRS반영한경영정보시스템고도화\02. 개발산출물\04. 개발(DT)\02. 경영정보 기능개선(ME)\ME-DT002-단위테스트명세서\ME-DT002-단위테스트명세서(PMA660AA-성과연봉현황)-v0.1.xls"/>
    <hyperlink ref="H59" r:id="rId1169" display="\\165.213.107.10\share\K-IFRS반영한경영정보시스템고도화\02. 개발산출물\03. 설계(DE)\02. 경영정보 기능개선(ME)\ME-DE009-보고서레이아웃\03. 급여\ME-DE009-보고서레이아웃(PMA660AA)-v0.1.docx"/>
    <hyperlink ref="H58" r:id="rId1170" display="\\165.213.107.10\share\K-IFRS반영한경영정보시스템고도화\02. 개발산출물\03. 설계(DE)\02. 경영정보 기능개선(ME)\ME-DE009-보고서레이아웃\03. 급여\ME-DE009-보고서레이아웃(PMA660AA)-v0.1.docx"/>
    <hyperlink ref="H57" r:id="rId1171" display="\\165.213.107.10\share\K-IFRS반영한경영정보시스템고도화\02. 개발산출물\03. 설계(DE)\02. 경영정보 기능개선(ME)\ME-DE009-보고서레이아웃\03. 급여\ME-DE009-보고서레이아웃(PMA660AA)-v0.1.docx"/>
    <hyperlink ref="H56" r:id="rId1172" display="\\165.213.107.10\share\K-IFRS반영한경영정보시스템고도화\02. 개발산출물\03. 설계(DE)\02. 경영정보 기능개선(ME)\ME-DE009-보고서레이아웃\03. 급여\ME-DE009-보고서레이아웃(PMA660AA)-v0.1.docx"/>
    <hyperlink ref="H55" r:id="rId1173" display="\\165.213.107.10\share\K-IFRS반영한경영정보시스템고도화\02. 개발산출물\03. 설계(DE)\02. 경영정보 기능개선(ME)\ME-DE009-보고서레이아웃\03. 급여\ME-DE009-보고서레이아웃(PMA660AA)-v0.1.docx"/>
    <hyperlink ref="H54" r:id="rId1174" display="\\165.213.107.10\share\K-IFRS반영한경영정보시스템고도화\02. 개발산출물\04. 개발(DT)\02. 경영정보 기능개선(ME)\ME-DT002-단위테스트명세서\ME-DT002-단위테스트명세서(PMA600AA-성과급기초작업)-v0.1.xls"/>
    <hyperlink ref="H53" r:id="rId1175" display="\\165.213.107.10\share\K-IFRS반영한경영정보시스템고도화\02. 개발산출물\04. 개발(DT)\02. 경영정보 기능개선(ME)\ME-DT002-단위테스트명세서\ME-DT002-단위테스트명세서(PMA620AA-지급율관리)-v0.1.xls"/>
    <hyperlink ref="H52" r:id="rId1176" display="\\165.213.107.10\share\K-IFRS반영한경영정보시스템고도화\02. 개발산출물\04. 개발(DT)\02. 경영정보 기능개선(ME)\ME-DT002-단위테스트명세서\ME-DT002-단위테스트명세서(PMA600AA-성과급기초작업)-v0.1.xls"/>
    <hyperlink ref="H51" r:id="rId1177" display="\\165.213.107.10\share\K-IFRS반영한경영정보시스템고도화\02. 개발산출물\03. 설계(DE)\02. 경영정보 기능개선(ME)\ME-DE009-보고서레이아웃\03. 급여\ME-DE009-보고서레이아웃(PMA610AA)-v0.1.docx"/>
    <hyperlink ref="H49" r:id="rId1178" display="\\165.213.107.10\share\K-IFRS반영한경영정보시스템고도화\02. 개발산출물\04. 개발(DT)\02. 경영정보 기능개선(ME)\ME-DT002-단위테스트명세서\ME-DT002-단위테스트명세서(PMA650AA-성과연봉계산작업)-v0.1.xls"/>
    <hyperlink ref="H50" r:id="rId1179" display="\\165.213.107.10\share\K-IFRS반영한경영정보시스템고도화\02. 개발산출물\04. 개발(DT)\02. 경영정보 기능개선(ME)\ME-DT002-단위테스트명세서\ME-DT002-단위테스트명세서(PMA610AA-성과급계산작업)-v0.1.xls"/>
    <hyperlink ref="H48" r:id="rId1180" display="\\165.213.107.10\share\K-IFRS반영한경영정보시스템고도화\02. 개발산출물\04. 개발(DT)\02. 경영정보 기능개선(ME)\ME-DT002-단위테스트명세서\ME-DT002-단위테스트명세서(PMA600AA-성과급기초작업)-v0.1.xls"/>
    <hyperlink ref="H47" r:id="rId1181" display="\\165.213.107.10\share\K-IFRS반영한경영정보시스템고도화\02. 개발산출물\04. 개발(DT)\02. 경영정보 기능개선(ME)\ME-DT002-단위테스트명세서\ME-DT002-단위테스트명세서(PMA650AA-성과연봉계산작업)-v0.1.xls"/>
    <hyperlink ref="H46" r:id="rId1182" display="\\165.213.107.10\share\K-IFRS반영한경영정보시스템고도화\02. 개발산출물\04. 개발(DT)\02. 경영정보 기능개선(ME)\ME-DT002-단위테스트명세서\ME-DT002-단위테스트명세서(PMA650AA-성과연봉계산작업)-v0.1.xls"/>
    <hyperlink ref="H45" r:id="rId1183" display="\\165.213.107.10\share\K-IFRS반영한경영정보시스템고도화\02. 개발산출물\04. 개발(DT)\02. 경영정보 기능개선(ME)\ME-DT002-단위테스트명세서\ME-DT002-단위테스트명세서(PMA600AA-성과급기초작업)-v0.1.xls"/>
    <hyperlink ref="H43" r:id="rId1184" display="\\165.213.107.10\share\K-IFRS반영한경영정보시스템고도화\02. 개발산출물\04. 개발(DT)\02. 경영정보 기능개선(ME)\ME-DT002-단위테스트명세서\ME-DT002-단위테스트명세서(HMA950AA-인사발령처리)-v0.1.xls"/>
    <hyperlink ref="H42" r:id="rId1185" display="\\165.213.107.10\share\K-IFRS반영한경영정보시스템고도화\02. 개발산출물\04. 개발(DT)\02. 경영정보 기능개선(ME)\ME-DT002-단위테스트명세서\ME-DT002-단위테스트명세서(HMA950AA-인사발령처리)-v0.1.xls"/>
    <hyperlink ref="H41" r:id="rId1186" display="\\165.213.107.10\share\K-IFRS반영한경영정보시스템고도화\02. 개발산출물\04. 개발(DT)\02. 경영정보 기능개선(ME)\ME-DT002-단위테스트명세서\ME-DT002-단위테스트명세서(HMA950AA-인사발령처리)-v0.1.xls"/>
    <hyperlink ref="H40" r:id="rId1187" display="\\165.213.107.10\share\K-IFRS반영한경영정보시스템고도화\02. 개발산출물\04. 개발(DT)\02. 경영정보 기능개선(ME)\ME-DT002-단위테스트명세서\ME-DT002-단위테스트명세서(PMA500AA-부양가족신고서)-v0.1.xls"/>
    <hyperlink ref="H32" r:id="rId1188" display="\\165.213.107.10\share\K-IFRS반영한경영정보시스템고도화\02. 개발산출물\03. 설계(DE)\02. 경영정보 기능개선(ME)\ME-DE009-보고서레이아웃\03. 급여\ME-DE009-보고서레이아웃(PMA110AA)-v0.1.docx"/>
    <hyperlink ref="G184" r:id="rId1189" display="\\165.213.107.10\share\K-IFRS반영한경영정보시스템고도화\02. 개발산출물\03. 설계(DE)\02. 경영정보 기능개선(ME)\ME-DE009-보고서레이아웃\ME-DE009-보고서레이아웃(No)-v0.1.docx"/>
    <hyperlink ref="G189" r:id="rId1190" display="\\165.213.107.10\share\K-IFRS반영한경영정보시스템고도화\02. 개발산출물\03. 설계(DE)\02. 경영정보 기능개선(ME)\ME-DE009-보고서레이아웃\ME-DE009-보고서레이아웃(No)-v0.1.docx"/>
    <hyperlink ref="K34" r:id="rId1191" display="\\165.213.107.10\share\K-IFRS반영한경영정보시스템고도화\02. 개발산출물\03. 설계(DE)\02. 경영정보 기능개선(ME)\ME-DE009-보고서레이아웃\03. 급여\ME-DE009-보고서레이아웃(PMA600AA)-v0.1.docx"/>
    <hyperlink ref="F34" r:id="rId1192" display="품질보증 계획서"/>
    <hyperlink ref="S34" r:id="rId1193" display="SP_PMA610AA_01.prc"/>
    <hyperlink ref="E34" r:id="rId1194" display="품질보증 계획서"/>
    <hyperlink ref="G34" r:id="rId1195" display="\\165.213.107.10\share\K-IFRS반영한경영정보시스템고도화\02. 개발산출물\03. 설계(DE)\02. 경영정보 기능개선(ME)\ME-DE009-보고서레이아웃\03. 급여\ME-DE009-보고서레이아웃(PMA630AA)-v0.1.docx"/>
    <hyperlink ref="J34" r:id="rId1196" display="\\165.213.107.10\share\K-IFRS반영한경영정보시스템고도화\02. 개발산출물\03. 설계(DE)\02. 경영정보 기능개선(ME)\ME-DE009-보고서레이아웃\03. 급여\ME-DE009-보고서레이아웃(PMA600AA)-v0.1.docx"/>
    <hyperlink ref="I34" r:id="rId1197" display="\\165.213.107.10\share\K-IFRS반영한경영정보시스템고도화\02. 개발산출물\04. 개발(DT)\02. 경영정보 기능개선(ME)\ME-DT003-단위테스트결과서\ME-DT003-단위테스트결과서(PMA630AA-소급률관리)-v0.1.xls"/>
    <hyperlink ref="H34" r:id="rId1198" display="\\165.213.107.10\share\K-IFRS반영한경영정보시스템고도화\02. 개발산출물\04. 개발(DT)\02. 경영정보 기능개선(ME)\ME-DT002-단위테스트명세서\ME-DT002-단위테스트명세서(PMA630AA-소급률관리)-v0.1.xls"/>
    <hyperlink ref="H36" r:id="rId1199" display="\\165.213.107.10\share\K-IFRS반영한경영정보시스템고도화\02. 개발산출물\04. 개발(DT)\02. 경영정보 기능개선(ME)\ME-DT002-단위테스트명세서\ME-DT002-단위테스트명세서(PMA630AA-소급률관리)-v0.1.xls"/>
    <hyperlink ref="H37" r:id="rId1200" display="\\165.213.107.10\share\K-IFRS반영한경영정보시스템고도화\02. 개발산출물\04. 개발(DT)\02. 경영정보 기능개선(ME)\ME-DT002-단위테스트명세서\ME-DT002-단위테스트명세서(PMA580AA-부양가족신고서(결재))-v0.1.xls"/>
    <hyperlink ref="H38" r:id="rId1201" display="\\165.213.107.10\share\K-IFRS반영한경영정보시스템고도화\02. 개발산출물\04. 개발(DT)\02. 경영정보 기능개선(ME)\ME-DT002-단위테스트명세서\ME-DT002-단위테스트명세서(PMA550AA-자녀학비보조금신청서(결재))-v0.1.xls"/>
    <hyperlink ref="H39" r:id="rId1202" display="\\165.213.107.10\share\K-IFRS반영한경영정보시스템고도화\02. 개발산출물\04. 개발(DT)\02. 경영정보 기능개선(ME)\ME-DT002-단위테스트명세서\ME-DT002-단위테스트명세서(PMA520AA-출산장려비지급신청서)-v0.1.xls"/>
    <hyperlink ref="K35" r:id="rId1203" display="\\165.213.107.10\share\K-IFRS반영한경영정보시스템고도화\02. 개발산출물\03. 설계(DE)\02. 경영정보 기능개선(ME)\ME-DE009-보고서레이아웃\03. 급여\ME-DE009-보고서레이아웃(PMA550AA)-v0.1.docx"/>
    <hyperlink ref="E35" r:id="rId1204" display="품질보증 계획서"/>
    <hyperlink ref="F35" r:id="rId1205" display="품질보증 계획서"/>
    <hyperlink ref="G35" r:id="rId1206" display="\\165.213.107.10\share\K-IFRS반영한경영정보시스템고도화\02. 개발산출물\03. 설계(DE)\02. 경영정보 기능개선(ME)\ME-DE009-보고서레이아웃\03. 급여\ME-DE009-보고서레이아웃(PMA630AA)-v0.1.docx"/>
    <hyperlink ref="J35" r:id="rId1207" display="\\165.213.107.10\share\K-IFRS반영한경영정보시스템고도화\02. 개발산출물\03. 설계(DE)\02. 경영정보 기능개선(ME)\ME-DE009-보고서레이아웃\03. 급여\ME-DE009-보고서레이아웃(PMA550AA)-v0.1.docx"/>
    <hyperlink ref="I35" r:id="rId1208" display="\\165.213.107.10\share\K-IFRS반영한경영정보시스템고도화\02. 개발산출물\04. 개발(DT)\02. 경영정보 기능개선(ME)\ME-DT003-단위테스트결과서\ME-DT003-단위테스트결과서(PMA325AA-급여소급계산)-v0.1.xls"/>
    <hyperlink ref="H35" r:id="rId1209" display="\\165.213.107.10\share\K-IFRS반영한경영정보시스템고도화\02. 개발산출물\04. 개발(DT)\02. 경영정보 기능개선(ME)\ME-DT002-단위테스트명세서\ME-DT002-단위테스트명세서(PMA325AA-급여소급계산)-v0.1.xls"/>
    <hyperlink ref="H44" r:id="rId1210" display="\\165.213.107.10\share\K-IFRS반영한경영정보시스템고도화\02. 개발산출물\04. 개발(DT)\02. 경영정보 기능개선(ME)\ME-DT002-단위테스트명세서\ME-DT002-단위테스트명세서(HMA620AS-임용일계산조회)-v0.1.xls"/>
    <hyperlink ref="K27" r:id="rId1211" display="\\165.213.107.10\share\K-IFRS반영한경영정보시스템고도화\02. 개발산출물\03. 설계(DE)\02. 경영정보 기능개선(ME)\ME-DE009-보고서레이아웃\03. 급여\ME-DE009-보고서레이아웃(PMA600AA)-v0.1.docx"/>
    <hyperlink ref="F27" r:id="rId1212" display="품질보증 계획서"/>
    <hyperlink ref="S27" r:id="rId1213" display="SP_PMA610AA_01.prc"/>
    <hyperlink ref="E27" r:id="rId1214" display="품질보증 계획서"/>
    <hyperlink ref="G27" r:id="rId1215" display="\\165.213.107.10\share\K-IFRS반영한경영정보시스템고도화\02. 개발산출물\03. 설계(DE)\02. 경영정보 기능개선(ME)\ME-DE009-보고서레이아웃\03. 급여\ME-DE009-보고서레이아웃(PMA630AA)-v0.1.docx"/>
    <hyperlink ref="J27" r:id="rId1216" display="\\165.213.107.10\share\K-IFRS반영한경영정보시스템고도화\02. 개발산출물\03. 설계(DE)\02. 경영정보 기능개선(ME)\ME-DE009-보고서레이아웃\03. 급여\ME-DE009-보고서레이아웃(PMA600AA)-v0.1.docx"/>
    <hyperlink ref="I27" r:id="rId1217" display="\\165.213.107.10\share\K-IFRS반영한경영정보시스템고도화\02. 개발산출물\04. 개발(DT)\02. 경영정보 기능개선(ME)\ME-DT003-단위테스트결과서\ME-DT003-단위테스트결과서(PMA630AA-소급률관리)-v0.1.xls"/>
    <hyperlink ref="H27" r:id="rId1218" display="\\165.213.107.10\share\K-IFRS반영한경영정보시스템고도화\02. 개발산출물\04. 개발(DT)\02. 경영정보 기능개선(ME)\ME-DT002-단위테스트명세서\ME-DT002-단위테스트명세서(PMA630AA-소급률관리)-v0.1.xls"/>
    <hyperlink ref="K31" r:id="rId1219" display="\\165.213.107.10\share\K-IFRS반영한경영정보시스템고도화\02. 개발산출물\03. 설계(DE)\02. 경영정보 기능개선(ME)\ME-DE009-보고서레이아웃\03. 급여\ME-DE009-보고서레이아웃(PMA600AA)-v0.1.docx"/>
    <hyperlink ref="F31" r:id="rId1220" display="품질보증 계획서"/>
    <hyperlink ref="S31" r:id="rId1221" display="SP_PMA610AA_01.prc"/>
    <hyperlink ref="E31" r:id="rId1222" display="품질보증 계획서"/>
    <hyperlink ref="G31" r:id="rId1223" display="\\165.213.107.10\share\K-IFRS반영한경영정보시스템고도화\02. 개발산출물\03. 설계(DE)\02. 경영정보 기능개선(ME)\ME-DE009-보고서레이아웃\03. 급여\ME-DE009-보고서레이아웃(PMA630AA)-v0.1.docx"/>
    <hyperlink ref="J31" r:id="rId1224" display="\\165.213.107.10\share\K-IFRS반영한경영정보시스템고도화\02. 개발산출물\03. 설계(DE)\02. 경영정보 기능개선(ME)\ME-DE009-보고서레이아웃\03. 급여\ME-DE009-보고서레이아웃(PMA600AA)-v0.1.docx"/>
    <hyperlink ref="I31" r:id="rId1225" display="\\165.213.107.10\share\K-IFRS반영한경영정보시스템고도화\02. 개발산출물\04. 개발(DT)\02. 경영정보 기능개선(ME)\ME-DT003-단위테스트결과서\ME-DT003-단위테스트결과서(PMA630AA-소급률관리)-v0.1.xls"/>
    <hyperlink ref="H31" r:id="rId1226" display="\\165.213.107.10\share\K-IFRS반영한경영정보시스템고도화\02. 개발산출물\04. 개발(DT)\02. 경영정보 기능개선(ME)\ME-DT002-단위테스트명세서\ME-DT002-단위테스트명세서(PMA630AA-소급률관리)-v0.1.xls"/>
    <hyperlink ref="K28" r:id="rId1227" display="\\165.213.107.10\share\K-IFRS반영한경영정보시스템고도화\02. 개발산출물\03. 설계(DE)\02. 경영정보 기능개선(ME)\ME-DE009-보고서레이아웃\03. 급여\ME-DE009-보고서레이아웃(PMA600AA)-v0.1.docx"/>
    <hyperlink ref="F28" r:id="rId1228" display="품질보증 계획서"/>
    <hyperlink ref="S28" r:id="rId1229" display="SP_PMA610AA_01.prc"/>
    <hyperlink ref="E28" r:id="rId1230" display="품질보증 계획서"/>
    <hyperlink ref="G28" r:id="rId1231" display="\\165.213.107.10\share\K-IFRS반영한경영정보시스템고도화\02. 개발산출물\03. 설계(DE)\02. 경영정보 기능개선(ME)\ME-DE009-보고서레이아웃\03. 급여\ME-DE009-보고서레이아웃(PMA630AA)-v0.1.docx"/>
    <hyperlink ref="J28" r:id="rId1232" display="\\165.213.107.10\share\K-IFRS반영한경영정보시스템고도화\02. 개발산출물\03. 설계(DE)\02. 경영정보 기능개선(ME)\ME-DE009-보고서레이아웃\03. 급여\ME-DE009-보고서레이아웃(PMA600AA)-v0.1.docx"/>
    <hyperlink ref="I28" r:id="rId1233" display="\\165.213.107.10\share\K-IFRS반영한경영정보시스템고도화\02. 개발산출물\04. 개발(DT)\02. 경영정보 기능개선(ME)\ME-DT003-단위테스트결과서\ME-DT003-단위테스트결과서(PMA630AA-소급률관리)-v0.1.xls"/>
    <hyperlink ref="H28" r:id="rId1234" display="\\165.213.107.10\share\K-IFRS반영한경영정보시스템고도화\02. 개발산출물\04. 개발(DT)\02. 경영정보 기능개선(ME)\ME-DT002-단위테스트명세서\ME-DT002-단위테스트명세서(PMA630AA-소급률관리)-v0.1.xls"/>
    <hyperlink ref="K29" r:id="rId1235" display="\\165.213.107.10\share\K-IFRS반영한경영정보시스템고도화\02. 개발산출물\03. 설계(DE)\02. 경영정보 기능개선(ME)\ME-DE009-보고서레이아웃\03. 급여\ME-DE009-보고서레이아웃(PMA600AA)-v0.1.docx"/>
    <hyperlink ref="F29" r:id="rId1236" display="품질보증 계획서"/>
    <hyperlink ref="S29" r:id="rId1237" display="SP_PMA610AA_01.prc"/>
    <hyperlink ref="E29" r:id="rId1238" display="품질보증 계획서"/>
    <hyperlink ref="G29" r:id="rId1239" display="\\165.213.107.10\share\K-IFRS반영한경영정보시스템고도화\02. 개발산출물\03. 설계(DE)\02. 경영정보 기능개선(ME)\ME-DE009-보고서레이아웃\03. 급여\ME-DE009-보고서레이아웃(PMA630AA)-v0.1.docx"/>
    <hyperlink ref="J29" r:id="rId1240" display="\\165.213.107.10\share\K-IFRS반영한경영정보시스템고도화\02. 개발산출물\03. 설계(DE)\02. 경영정보 기능개선(ME)\ME-DE009-보고서레이아웃\03. 급여\ME-DE009-보고서레이아웃(PMA600AA)-v0.1.docx"/>
    <hyperlink ref="I29" r:id="rId1241" display="\\165.213.107.10\share\K-IFRS반영한경영정보시스템고도화\02. 개발산출물\04. 개발(DT)\02. 경영정보 기능개선(ME)\ME-DT003-단위테스트결과서\ME-DT003-단위테스트결과서(PMA630AA-소급률관리)-v0.1.xls"/>
    <hyperlink ref="H29" r:id="rId1242" display="\\165.213.107.10\share\K-IFRS반영한경영정보시스템고도화\02. 개발산출물\04. 개발(DT)\02. 경영정보 기능개선(ME)\ME-DT002-단위테스트명세서\ME-DT002-단위테스트명세서(PMA630AA-소급률관리)-v0.1.xls"/>
    <hyperlink ref="K30" r:id="rId1243" display="\\165.213.107.10\share\K-IFRS반영한경영정보시스템고도화\02. 개발산출물\03. 설계(DE)\02. 경영정보 기능개선(ME)\ME-DE009-보고서레이아웃\03. 급여\ME-DE009-보고서레이아웃(PMA600AA)-v0.1.docx"/>
    <hyperlink ref="F30" r:id="rId1244" display="품질보증 계획서"/>
    <hyperlink ref="S30" r:id="rId1245" display="SP_PMA610AA_01.prc"/>
    <hyperlink ref="E30" r:id="rId1246" display="품질보증 계획서"/>
    <hyperlink ref="G30" r:id="rId1247" display="\\165.213.107.10\share\K-IFRS반영한경영정보시스템고도화\02. 개발산출물\03. 설계(DE)\02. 경영정보 기능개선(ME)\ME-DE009-보고서레이아웃\03. 급여\ME-DE009-보고서레이아웃(PMA630AA)-v0.1.docx"/>
    <hyperlink ref="J30" r:id="rId1248" display="\\165.213.107.10\share\K-IFRS반영한경영정보시스템고도화\02. 개발산출물\03. 설계(DE)\02. 경영정보 기능개선(ME)\ME-DE009-보고서레이아웃\03. 급여\ME-DE009-보고서레이아웃(PMA600AA)-v0.1.docx"/>
    <hyperlink ref="I30" r:id="rId1249" display="\\165.213.107.10\share\K-IFRS반영한경영정보시스템고도화\02. 개발산출물\04. 개발(DT)\02. 경영정보 기능개선(ME)\ME-DT003-단위테스트결과서\ME-DT003-단위테스트결과서(PMA630AA-소급률관리)-v0.1.xls"/>
    <hyperlink ref="H30" r:id="rId1250" display="\\165.213.107.10\share\K-IFRS반영한경영정보시스템고도화\02. 개발산출물\04. 개발(DT)\02. 경영정보 기능개선(ME)\ME-DT002-단위테스트명세서\ME-DT002-단위테스트명세서(PMA630AA-소급률관리)-v0.1.xls"/>
    <hyperlink ref="K82" r:id="rId1251" display="\\165.213.107.10\share\K-IFRS반영한경영정보시스템고도화\02. 개발산출물\03. 설계(DE)\02. 경영정보 기능개선(ME)\ME-DE009-보고서레이아웃\03. 급여\ME-DE009-보고서레이아웃(PMA110AA)-v0.1.docx"/>
    <hyperlink ref="E82" r:id="rId1252" display="\\165.213.107.10\share\K-IFRS반영한경영정보시스템고도화\02. 개발산출물\03. 설계(DE)\02. 경영정보 기능개선(ME)\ME-DE005-프로그램사양서\03. 급여\ME-DE005-프로그램사양서(PMA110AA)-v0.1.docx"/>
    <hyperlink ref="F82" r:id="rId1253" display="\\165.213.107.10\share\K-IFRS반영한경영정보시스템고도화\02. 개발산출물\03. 설계(DE)\02. 경영정보 기능개선(ME)\ME-DE007-페이지레이아웃\03. 급여\ME-DE007-페이지레이아웃(PMA110AA)-v0.1.docx"/>
    <hyperlink ref="S82" r:id="rId1254"/>
    <hyperlink ref="G82" r:id="rId1255" display="\\165.213.107.10\share\K-IFRS반영한경영정보시스템고도화\02. 개발산출물\03. 설계(DE)\02. 경영정보 기능개선(ME)\ME-DE009-보고서레이아웃\03. 급여\ME-DE009-보고서레이아웃(PMA110AA)-v0.1.docx"/>
    <hyperlink ref="J82" r:id="rId1256" display="\\165.213.107.10\share\K-IFRS반영한경영정보시스템고도화\02. 개발산출물\03. 설계(DE)\02. 경영정보 기능개선(ME)\ME-DE009-보고서레이아웃\03. 급여\ME-DE009-보고서레이아웃(PMA110AA)-v0.1.docx"/>
    <hyperlink ref="I82" r:id="rId1257" display="\\165.213.107.10\share\K-IFRS반영한경영정보시스템고도화\02. 개발산출물\04. 개발(DT)\02. 경영정보 기능개선(ME)\ME-DT003-단위테스트결과서\ME-DT003-단위테스트결과서(PMA110AA-급여기초작업)-v0.1.xls"/>
    <hyperlink ref="H82" r:id="rId1258" display="\\165.213.107.10\share\K-IFRS반영한경영정보시스템고도화\02. 개발산출물\04. 개발(DT)\02. 경영정보 기능개선(ME)\ME-DT002-단위테스트명세서\ME-DT002-단위테스트명세서(PMA110AA-급여기초작업)-v0.1.xls"/>
    <hyperlink ref="K26" r:id="rId1259" display="\\165.213.107.10\share\K-IFRS반영한경영정보시스템고도화\02. 개발산출물\03. 설계(DE)\02. 경영정보 기능개선(ME)\ME-DE009-보고서레이아웃\03. 급여\ME-DE009-보고서레이아웃(PMA110AA)-v0.1.docx"/>
    <hyperlink ref="E26" r:id="rId1260" display="\\165.213.107.10\share\K-IFRS반영한경영정보시스템고도화\02. 개발산출물\03. 설계(DE)\02. 경영정보 기능개선(ME)\ME-DE005-프로그램사양서\03. 급여\ME-DE005-프로그램사양서(PMA110AA)-v0.1.docx"/>
    <hyperlink ref="F26" r:id="rId1261" display="\\165.213.107.10\share\K-IFRS반영한경영정보시스템고도화\02. 개발산출물\03. 설계(DE)\02. 경영정보 기능개선(ME)\ME-DE007-페이지레이아웃\03. 급여\ME-DE007-페이지레이아웃(PMA110AA)-v0.1.docx"/>
    <hyperlink ref="S26" r:id="rId1262"/>
    <hyperlink ref="G26" r:id="rId1263" display="\\165.213.107.10\share\K-IFRS반영한경영정보시스템고도화\02. 개발산출물\03. 설계(DE)\02. 경영정보 기능개선(ME)\ME-DE009-보고서레이아웃\03. 급여\ME-DE009-보고서레이아웃(PMA110AA)-v0.1.docx"/>
    <hyperlink ref="J26" r:id="rId1264" display="\\165.213.107.10\share\K-IFRS반영한경영정보시스템고도화\02. 개발산출물\03. 설계(DE)\02. 경영정보 기능개선(ME)\ME-DE009-보고서레이아웃\03. 급여\ME-DE009-보고서레이아웃(PMA110AA)-v0.1.docx"/>
    <hyperlink ref="I26" r:id="rId1265" display="\\165.213.107.10\share\K-IFRS반영한경영정보시스템고도화\02. 개발산출물\04. 개발(DT)\02. 경영정보 기능개선(ME)\ME-DT003-단위테스트결과서\ME-DT003-단위테스트결과서(PMA110AA-급여기초작업)-v0.1.xls"/>
    <hyperlink ref="H26" r:id="rId1266" display="\\165.213.107.10\share\K-IFRS반영한경영정보시스템고도화\02. 개발산출물\04. 개발(DT)\02. 경영정보 기능개선(ME)\ME-DT002-단위테스트명세서\ME-DT002-단위테스트명세서(PMA110AA-급여기초작업)-v0.1.xls"/>
    <hyperlink ref="K83" r:id="rId1267" display="\\165.213.107.10\share\K-IFRS반영한경영정보시스템고도화\02. 개발산출물\03. 설계(DE)\02. 경영정보 기능개선(ME)\ME-DE009-보고서레이아웃\03. 급여\ME-DE009-보고서레이아웃(PMA110AA)-v0.1.docx"/>
    <hyperlink ref="E83" r:id="rId1268" display="\\165.213.107.10\share\K-IFRS반영한경영정보시스템고도화\02. 개발산출물\03. 설계(DE)\02. 경영정보 기능개선(ME)\ME-DE005-프로그램사양서\03. 급여\ME-DE005-프로그램사양서(PMA110AA)-v0.1.docx"/>
    <hyperlink ref="F83" r:id="rId1269" display="\\165.213.107.10\share\K-IFRS반영한경영정보시스템고도화\02. 개발산출물\03. 설계(DE)\02. 경영정보 기능개선(ME)\ME-DE007-페이지레이아웃\03. 급여\ME-DE007-페이지레이아웃(PMA110AA)-v0.1.docx"/>
    <hyperlink ref="S83" r:id="rId1270"/>
    <hyperlink ref="G83" r:id="rId1271" display="\\165.213.107.10\share\K-IFRS반영한경영정보시스템고도화\02. 개발산출물\03. 설계(DE)\02. 경영정보 기능개선(ME)\ME-DE009-보고서레이아웃\03. 급여\ME-DE009-보고서레이아웃(PMA110AA)-v0.1.docx"/>
    <hyperlink ref="J83" r:id="rId1272" display="\\165.213.107.10\share\K-IFRS반영한경영정보시스템고도화\02. 개발산출물\03. 설계(DE)\02. 경영정보 기능개선(ME)\ME-DE009-보고서레이아웃\03. 급여\ME-DE009-보고서레이아웃(PMA110AA)-v0.1.docx"/>
    <hyperlink ref="I83" r:id="rId1273" display="\\165.213.107.10\share\K-IFRS반영한경영정보시스템고도화\02. 개발산출물\04. 개발(DT)\02. 경영정보 기능개선(ME)\ME-DT003-단위테스트결과서\ME-DT003-단위테스트결과서(PMA110AA-급여기초작업)-v0.1.xls"/>
    <hyperlink ref="H83" r:id="rId1274" display="\\165.213.107.10\share\K-IFRS반영한경영정보시스템고도화\02. 개발산출물\04. 개발(DT)\02. 경영정보 기능개선(ME)\ME-DT002-단위테스트명세서\ME-DT002-단위테스트명세서(PMA110AA-급여기초작업)-v0.1.xls"/>
    <hyperlink ref="K81" r:id="rId1275" display="\\165.213.107.10\share\K-IFRS반영한경영정보시스템고도화\02. 개발산출물\03. 설계(DE)\02. 경영정보 기능개선(ME)\ME-DE009-보고서레이아웃\03. 급여\ME-DE009-보고서레이아웃(PMA110AA)-v0.1.docx"/>
    <hyperlink ref="E81" r:id="rId1276" display="\\165.213.107.10\share\K-IFRS반영한경영정보시스템고도화\02. 개발산출물\03. 설계(DE)\02. 경영정보 기능개선(ME)\ME-DE005-프로그램사양서\03. 급여\ME-DE005-프로그램사양서(PMA110AA)-v0.1.docx"/>
    <hyperlink ref="F81" r:id="rId1277" display="\\165.213.107.10\share\K-IFRS반영한경영정보시스템고도화\02. 개발산출물\03. 설계(DE)\02. 경영정보 기능개선(ME)\ME-DE007-페이지레이아웃\03. 급여\ME-DE007-페이지레이아웃(PMA110AA)-v0.1.docx"/>
    <hyperlink ref="S81" r:id="rId1278" display="SP_PMA110AA_01_INSA_HUJIK_ILSU.prc"/>
    <hyperlink ref="G81" r:id="rId1279" display="\\165.213.107.10\share\K-IFRS반영한경영정보시스템고도화\02. 개발산출물\03. 설계(DE)\02. 경영정보 기능개선(ME)\ME-DE009-보고서레이아웃\03. 급여\ME-DE009-보고서레이아웃(PMA110AA)-v0.1.docx"/>
    <hyperlink ref="J81" r:id="rId1280" display="\\165.213.107.10\share\K-IFRS반영한경영정보시스템고도화\02. 개발산출물\03. 설계(DE)\02. 경영정보 기능개선(ME)\ME-DE009-보고서레이아웃\03. 급여\ME-DE009-보고서레이아웃(PMA110AA)-v0.1.docx"/>
    <hyperlink ref="I81" r:id="rId1281" display="\\165.213.107.10\share\K-IFRS반영한경영정보시스템고도화\02. 개발산출물\04. 개발(DT)\02. 경영정보 기능개선(ME)\ME-DT003-단위테스트결과서\ME-DT003-단위테스트결과서(PMA110AA-급여기초작업)-v0.1.xls"/>
    <hyperlink ref="H81" r:id="rId1282" display="\\165.213.107.10\share\K-IFRS반영한경영정보시스템고도화\02. 개발산출물\04. 개발(DT)\02. 경영정보 기능개선(ME)\ME-DT002-단위테스트명세서\ME-DT002-단위테스트명세서(PMA110AA-급여기초작업)-v0.1.xls"/>
    <hyperlink ref="K84" r:id="rId1283" display="\\165.213.107.10\share\K-IFRS반영한경영정보시스템고도화\02. 개발산출물\03. 설계(DE)\02. 경영정보 기능개선(ME)\ME-DE009-보고서레이아웃\03. 급여\ME-DE009-보고서레이아웃(PMA110AA)-v0.1.docx"/>
    <hyperlink ref="E84" r:id="rId1284" display="\\165.213.107.10\share\K-IFRS반영한경영정보시스템고도화\02. 개발산출물\03. 설계(DE)\02. 경영정보 기능개선(ME)\ME-DE005-프로그램사양서\03. 급여\ME-DE005-프로그램사양서(PMA110AA)-v0.1.docx"/>
    <hyperlink ref="F84" r:id="rId1285" display="\\165.213.107.10\share\K-IFRS반영한경영정보시스템고도화\02. 개발산출물\03. 설계(DE)\02. 경영정보 기능개선(ME)\ME-DE007-페이지레이아웃\03. 급여\ME-DE007-페이지레이아웃(PMA110AA)-v0.1.docx"/>
    <hyperlink ref="S84" r:id="rId1286"/>
    <hyperlink ref="G84" r:id="rId1287" display="\\165.213.107.10\share\K-IFRS반영한경영정보시스템고도화\02. 개발산출물\03. 설계(DE)\02. 경영정보 기능개선(ME)\ME-DE009-보고서레이아웃\03. 급여\ME-DE009-보고서레이아웃(PMA110AA)-v0.1.docx"/>
    <hyperlink ref="J84" r:id="rId1288" display="\\165.213.107.10\share\K-IFRS반영한경영정보시스템고도화\02. 개발산출물\03. 설계(DE)\02. 경영정보 기능개선(ME)\ME-DE009-보고서레이아웃\03. 급여\ME-DE009-보고서레이아웃(PMA110AA)-v0.1.docx"/>
    <hyperlink ref="I84" r:id="rId1289" display="\\165.213.107.10\share\K-IFRS반영한경영정보시스템고도화\02. 개발산출물\04. 개발(DT)\02. 경영정보 기능개선(ME)\ME-DT003-단위테스트결과서\ME-DT003-단위테스트결과서(PMA110AA-급여기초작업)-v0.1.xls"/>
    <hyperlink ref="H84" r:id="rId1290" display="\\165.213.107.10\share\K-IFRS반영한경영정보시스템고도화\02. 개발산출물\04. 개발(DT)\02. 경영정보 기능개선(ME)\ME-DT002-단위테스트명세서\ME-DT002-단위테스트명세서(PMA110AA-급여기초작업)-v0.1.xls"/>
    <hyperlink ref="K25" r:id="rId1291" display="\\165.213.107.10\share\K-IFRS반영한경영정보시스템고도화\02. 개발산출물\03. 설계(DE)\02. 경영정보 기능개선(ME)\ME-DE009-보고서레이아웃\03. 급여\ME-DE009-보고서레이아웃(PMA110AA)-v0.1.docx"/>
    <hyperlink ref="E25" r:id="rId1292" display="\\165.213.107.10\share\K-IFRS반영한경영정보시스템고도화\02. 개발산출물\03. 설계(DE)\02. 경영정보 기능개선(ME)\ME-DE005-프로그램사양서\03. 급여\ME-DE005-프로그램사양서(PMA110AA)-v0.1.docx"/>
    <hyperlink ref="F25" r:id="rId1293" display="\\165.213.107.10\share\K-IFRS반영한경영정보시스템고도화\02. 개발산출물\03. 설계(DE)\02. 경영정보 기능개선(ME)\ME-DE007-페이지레이아웃\03. 급여\ME-DE007-페이지레이아웃(PMA110AA)-v0.1.docx"/>
    <hyperlink ref="S25" r:id="rId1294"/>
    <hyperlink ref="G25" r:id="rId1295" display="\\165.213.107.10\share\K-IFRS반영한경영정보시스템고도화\02. 개발산출물\03. 설계(DE)\02. 경영정보 기능개선(ME)\ME-DE009-보고서레이아웃\03. 급여\ME-DE009-보고서레이아웃(PMA110AA)-v0.1.docx"/>
    <hyperlink ref="J25" r:id="rId1296" display="\\165.213.107.10\share\K-IFRS반영한경영정보시스템고도화\02. 개발산출물\03. 설계(DE)\02. 경영정보 기능개선(ME)\ME-DE009-보고서레이아웃\03. 급여\ME-DE009-보고서레이아웃(PMA110AA)-v0.1.docx"/>
    <hyperlink ref="I25" r:id="rId1297" display="\\165.213.107.10\share\K-IFRS반영한경영정보시스템고도화\02. 개발산출물\04. 개발(DT)\02. 경영정보 기능개선(ME)\ME-DT003-단위테스트결과서\ME-DT003-단위테스트결과서(PMA110AA-급여기초작업)-v0.1.xls"/>
    <hyperlink ref="H25" r:id="rId1298" display="\\165.213.107.10\share\K-IFRS반영한경영정보시스템고도화\02. 개발산출물\04. 개발(DT)\02. 경영정보 기능개선(ME)\ME-DT002-단위테스트명세서\ME-DT002-단위테스트명세서(PMA110AA-급여기초작업)-v0.1.xls"/>
    <hyperlink ref="K24" r:id="rId1299" display="\\165.213.107.10\share\K-IFRS반영한경영정보시스템고도화\02. 개발산출물\03. 설계(DE)\02. 경영정보 기능개선(ME)\ME-DE009-보고서레이아웃\03. 급여\ME-DE009-보고서레이아웃(PMA110AA)-v0.1.docx"/>
    <hyperlink ref="E24" r:id="rId1300" display="\\165.213.107.10\share\K-IFRS반영한경영정보시스템고도화\02. 개발산출물\03. 설계(DE)\02. 경영정보 기능개선(ME)\ME-DE005-프로그램사양서\03. 급여\ME-DE005-프로그램사양서(PMA110AA)-v0.1.docx"/>
    <hyperlink ref="F24" r:id="rId1301" display="\\165.213.107.10\share\K-IFRS반영한경영정보시스템고도화\02. 개발산출물\03. 설계(DE)\02. 경영정보 기능개선(ME)\ME-DE007-페이지레이아웃\03. 급여\ME-DE007-페이지레이아웃(PMA110AA)-v0.1.docx"/>
    <hyperlink ref="S24" r:id="rId1302"/>
    <hyperlink ref="G24" r:id="rId1303" display="\\165.213.107.10\share\K-IFRS반영한경영정보시스템고도화\02. 개발산출물\03. 설계(DE)\02. 경영정보 기능개선(ME)\ME-DE009-보고서레이아웃\03. 급여\ME-DE009-보고서레이아웃(PMA110AA)-v0.1.docx"/>
    <hyperlink ref="J24" r:id="rId1304" display="\\165.213.107.10\share\K-IFRS반영한경영정보시스템고도화\02. 개발산출물\03. 설계(DE)\02. 경영정보 기능개선(ME)\ME-DE009-보고서레이아웃\03. 급여\ME-DE009-보고서레이아웃(PMA110AA)-v0.1.docx"/>
    <hyperlink ref="I24" r:id="rId1305" display="\\165.213.107.10\share\K-IFRS반영한경영정보시스템고도화\02. 개발산출물\04. 개발(DT)\02. 경영정보 기능개선(ME)\ME-DT003-단위테스트결과서\ME-DT003-단위테스트결과서(PMA110AA-급여기초작업)-v0.1.xls"/>
    <hyperlink ref="H24" r:id="rId1306" display="\\165.213.107.10\share\K-IFRS반영한경영정보시스템고도화\02. 개발산출물\04. 개발(DT)\02. 경영정보 기능개선(ME)\ME-DT002-단위테스트명세서\ME-DT002-단위테스트명세서(PMA110AA-급여기초작업)-v0.1.xls"/>
    <hyperlink ref="K23" r:id="rId1307" display="\\165.213.107.10\share\K-IFRS반영한경영정보시스템고도화\02. 개발산출물\03. 설계(DE)\02. 경영정보 기능개선(ME)\ME-DE009-보고서레이아웃\03. 급여\ME-DE009-보고서레이아웃(PMA110AA)-v0.1.docx"/>
    <hyperlink ref="E23" r:id="rId1308" display="\\165.213.107.10\share\K-IFRS반영한경영정보시스템고도화\02. 개발산출물\03. 설계(DE)\02. 경영정보 기능개선(ME)\ME-DE005-프로그램사양서\03. 급여\ME-DE005-프로그램사양서(PMA110AA)-v0.1.docx"/>
    <hyperlink ref="F23" r:id="rId1309" display="\\165.213.107.10\share\K-IFRS반영한경영정보시스템고도화\02. 개발산출물\03. 설계(DE)\02. 경영정보 기능개선(ME)\ME-DE007-페이지레이아웃\03. 급여\ME-DE007-페이지레이아웃(PMA110AA)-v0.1.docx"/>
    <hyperlink ref="S23" r:id="rId1310"/>
    <hyperlink ref="G23" r:id="rId1311" display="\\165.213.107.10\share\K-IFRS반영한경영정보시스템고도화\02. 개발산출물\03. 설계(DE)\02. 경영정보 기능개선(ME)\ME-DE009-보고서레이아웃\03. 급여\ME-DE009-보고서레이아웃(PMA110AA)-v0.1.docx"/>
    <hyperlink ref="J23" r:id="rId1312" display="\\165.213.107.10\share\K-IFRS반영한경영정보시스템고도화\02. 개발산출물\03. 설계(DE)\02. 경영정보 기능개선(ME)\ME-DE009-보고서레이아웃\03. 급여\ME-DE009-보고서레이아웃(PMA110AA)-v0.1.docx"/>
    <hyperlink ref="I23" r:id="rId1313" display="\\165.213.107.10\share\K-IFRS반영한경영정보시스템고도화\02. 개발산출물\04. 개발(DT)\02. 경영정보 기능개선(ME)\ME-DT003-단위테스트결과서\ME-DT003-단위테스트결과서(PMA110AA-급여기초작업)-v0.1.xls"/>
    <hyperlink ref="H23" r:id="rId1314" display="\\165.213.107.10\share\K-IFRS반영한경영정보시스템고도화\02. 개발산출물\04. 개발(DT)\02. 경영정보 기능개선(ME)\ME-DT002-단위테스트명세서\ME-DT002-단위테스트명세서(PMA110AA-급여기초작업)-v0.1.xls"/>
    <hyperlink ref="K22" r:id="rId1315" display="\\165.213.107.10\share\K-IFRS반영한경영정보시스템고도화\02. 개발산출물\03. 설계(DE)\02. 경영정보 기능개선(ME)\ME-DE009-보고서레이아웃\03. 급여\ME-DE009-보고서레이아웃(PMA110AA)-v0.1.docx"/>
    <hyperlink ref="E22" r:id="rId1316" display="\\165.213.107.10\share\K-IFRS반영한경영정보시스템고도화\02. 개발산출물\03. 설계(DE)\02. 경영정보 기능개선(ME)\ME-DE005-프로그램사양서\03. 급여\ME-DE005-프로그램사양서(PMA110AA)-v0.1.docx"/>
    <hyperlink ref="F22" r:id="rId1317" display="\\165.213.107.10\share\K-IFRS반영한경영정보시스템고도화\02. 개발산출물\03. 설계(DE)\02. 경영정보 기능개선(ME)\ME-DE007-페이지레이아웃\03. 급여\ME-DE007-페이지레이아웃(PMA110AA)-v0.1.docx"/>
    <hyperlink ref="S22" r:id="rId1318" display="SP_PMA110AA_01_INSA_HUJIK_ILSU.prc"/>
    <hyperlink ref="G22" r:id="rId1319" display="\\165.213.107.10\share\K-IFRS반영한경영정보시스템고도화\02. 개발산출물\03. 설계(DE)\02. 경영정보 기능개선(ME)\ME-DE009-보고서레이아웃\03. 급여\ME-DE009-보고서레이아웃(PMA110AA)-v0.1.docx"/>
    <hyperlink ref="J22" r:id="rId1320" display="\\165.213.107.10\share\K-IFRS반영한경영정보시스템고도화\02. 개발산출물\03. 설계(DE)\02. 경영정보 기능개선(ME)\ME-DE009-보고서레이아웃\03. 급여\ME-DE009-보고서레이아웃(PMA110AA)-v0.1.docx"/>
    <hyperlink ref="I22" r:id="rId1321" display="\\165.213.107.10\share\K-IFRS반영한경영정보시스템고도화\02. 개발산출물\04. 개발(DT)\02. 경영정보 기능개선(ME)\ME-DT003-단위테스트결과서\ME-DT003-단위테스트결과서(PMA110AA-급여기초작업)-v0.1.xls"/>
    <hyperlink ref="H22" r:id="rId1322" display="\\165.213.107.10\share\K-IFRS반영한경영정보시스템고도화\02. 개발산출물\04. 개발(DT)\02. 경영정보 기능개선(ME)\ME-DT002-단위테스트명세서\ME-DT002-단위테스트명세서(PMA110AA-급여기초작업)-v0.1.xls"/>
    <hyperlink ref="K21" r:id="rId1323" display="\\165.213.107.10\share\K-IFRS반영한경영정보시스템고도화\02. 개발산출물\03. 설계(DE)\02. 경영정보 기능개선(ME)\ME-DE009-보고서레이아웃\03. 급여\ME-DE009-보고서레이아웃(PMA600AA)-v0.1.docx"/>
    <hyperlink ref="E21" r:id="rId1324" display="\\165.213.107.10\share\K-IFRS반영한경영정보시스템고도화\02. 개발산출물\03. 설계(DE)\02. 경영정보 기능개선(ME)\ME-DE005-프로그램사양서\03. 급여\ME-DE005-프로그램사양서(PMA600AA)-v0.1.docx"/>
    <hyperlink ref="F21" r:id="rId1325" display="\\165.213.107.10\share\K-IFRS반영한경영정보시스템고도화\02. 개발산출물\03. 설계(DE)\02. 경영정보 기능개선(ME)\ME-DE007-페이지레이아웃\03. 급여\ME-DE007-페이지레이아웃(PMA600AA)-v0.1.docx"/>
    <hyperlink ref="S21" r:id="rId1326"/>
    <hyperlink ref="G21" r:id="rId1327" display="\\165.213.107.10\share\K-IFRS반영한경영정보시스템고도화\02. 개발산출물\03. 설계(DE)\02. 경영정보 기능개선(ME)\ME-DE009-보고서레이아웃\ME-DE009-보고서레이아웃(No)-v0.1.docx"/>
    <hyperlink ref="J21" r:id="rId1328" display="\\165.213.107.10\share\K-IFRS반영한경영정보시스템고도화\02. 개발산출물\03. 설계(DE)\02. 경영정보 기능개선(ME)\ME-DE009-보고서레이아웃\03. 급여\ME-DE009-보고서레이아웃(PMA600AA)-v0.1.docx"/>
    <hyperlink ref="I21" r:id="rId1329" display="\\165.213.107.10\share\K-IFRS반영한경영정보시스템고도화\02. 개발산출물\03. 설계(DE)\02. 경영정보 기능개선(ME)\ME-DE009-보고서레이아웃\03. 급여\ME-DE009-보고서레이아웃(PMA600AA)-v0.1.docx"/>
    <hyperlink ref="H21" r:id="rId1330" display="\\165.213.107.10\share\K-IFRS반영한경영정보시스템고도화\02. 개발산출물\03. 설계(DE)\02. 경영정보 기능개선(ME)\ME-DE009-보고서레이아웃\03. 급여\ME-DE009-보고서레이아웃(PMA600AA)-v0.1.docx"/>
    <hyperlink ref="K20" r:id="rId1331" display="\\165.213.107.10\share\K-IFRS반영한경영정보시스템고도화\02. 개발산출물\03. 설계(DE)\02. 경영정보 기능개선(ME)\ME-DE009-보고서레이아웃\03. 급여\ME-DE009-보고서레이아웃(PMA600AA)-v0.1.docx"/>
    <hyperlink ref="E20" r:id="rId1332" display="\\165.213.107.10\share\K-IFRS반영한경영정보시스템고도화\02. 개발산출물\03. 설계(DE)\02. 경영정보 기능개선(ME)\ME-DE005-프로그램사양서\03. 급여\ME-DE005-프로그램사양서(PMA600AA)-v0.1.docx"/>
    <hyperlink ref="F20" r:id="rId1333" display="\\165.213.107.10\share\K-IFRS반영한경영정보시스템고도화\02. 개발산출물\03. 설계(DE)\02. 경영정보 기능개선(ME)\ME-DE007-페이지레이아웃\03. 급여\ME-DE007-페이지레이아웃(PMA600AA)-v0.1.docx"/>
    <hyperlink ref="S20" r:id="rId1334"/>
    <hyperlink ref="G20" r:id="rId1335" display="\\165.213.107.10\share\K-IFRS반영한경영정보시스템고도화\02. 개발산출물\03. 설계(DE)\02. 경영정보 기능개선(ME)\ME-DE009-보고서레이아웃\ME-DE009-보고서레이아웃(No)-v0.1.docx"/>
    <hyperlink ref="J20" r:id="rId1336" display="\\165.213.107.10\share\K-IFRS반영한경영정보시스템고도화\02. 개발산출물\03. 설계(DE)\02. 경영정보 기능개선(ME)\ME-DE009-보고서레이아웃\03. 급여\ME-DE009-보고서레이아웃(PMA600AA)-v0.1.docx"/>
    <hyperlink ref="I20" r:id="rId1337" display="\\165.213.107.10\share\K-IFRS반영한경영정보시스템고도화\02. 개발산출물\03. 설계(DE)\02. 경영정보 기능개선(ME)\ME-DE009-보고서레이아웃\03. 급여\ME-DE009-보고서레이아웃(PMA600AA)-v0.1.docx"/>
    <hyperlink ref="H20" r:id="rId1338" display="\\165.213.107.10\share\K-IFRS반영한경영정보시스템고도화\02. 개발산출물\03. 설계(DE)\02. 경영정보 기능개선(ME)\ME-DE009-보고서레이아웃\03. 급여\ME-DE009-보고서레이아웃(PMA600AA)-v0.1.docx"/>
    <hyperlink ref="K19" r:id="rId1339" display="\\165.213.107.10\share\K-IFRS반영한경영정보시스템고도화\02. 개발산출물\03. 설계(DE)\02. 경영정보 기능개선(ME)\ME-DE009-보고서레이아웃\03. 급여\ME-DE009-보고서레이아웃(PMA560AA)-v0.1.docx"/>
    <hyperlink ref="E19" r:id="rId1340" display="\\165.213.107.10\share\K-IFRS반영한경영정보시스템고도화\02. 개발산출물\03. 설계(DE)\02. 경영정보 기능개선(ME)\ME-DE005-프로그램사양서\03. 급여\ME-DE005-프로그램사양서(PMA560AA)-v0.1.docx"/>
    <hyperlink ref="F19" r:id="rId1341" display="\\165.213.107.10\share\K-IFRS반영한경영정보시스템고도화\02. 개발산출물\03. 설계(DE)\02. 경영정보 기능개선(ME)\ME-DE007-페이지레이아웃\03. 급여\ME-DE007-페이지레이아웃(PMA560AA)-v0.1.docx"/>
    <hyperlink ref="S19" r:id="rId1342"/>
    <hyperlink ref="G19" r:id="rId1343" display="\\165.213.107.10\share\K-IFRS반영한경영정보시스템고도화\02. 개발산출물\03. 설계(DE)\02. 경영정보 기능개선(ME)\ME-DE009-보고서레이아웃\03. 급여\ME-DE009-보고서레이아웃(PMA560AA)-v0.1.docx"/>
    <hyperlink ref="J19" r:id="rId1344" display="\\165.213.107.10\share\K-IFRS반영한경영정보시스템고도화\02. 개발산출물\03. 설계(DE)\02. 경영정보 기능개선(ME)\ME-DE009-보고서레이아웃\03. 급여\ME-DE009-보고서레이아웃(PMA560AA)-v0.1.docx"/>
    <hyperlink ref="I19" r:id="rId1345" display="\\165.213.107.10\share\K-IFRS반영한경영정보시스템고도화\02. 개발산출물\04. 개발(DT)\02. 경영정보 기능개선(ME)\ME-DT003-단위테스트결과서\ME-DT003-단위테스트결과서(PMA560AA-출산장려비지급신청서(결재))-v0.1.xls"/>
    <hyperlink ref="H19" r:id="rId1346" display="\\165.213.107.10\share\K-IFRS반영한경영정보시스템고도화\02. 개발산출물\04. 개발(DT)\02. 경영정보 기능개선(ME)\ME-DT002-단위테스트명세서\ME-DT002-단위테스트명세서(PMA560AA-출산장려비지급신청서(결재))-v0.1.xls"/>
    <hyperlink ref="K18" r:id="rId1347" display="\\165.213.107.10\share\K-IFRS반영한경영정보시스템고도화\02. 개발산출물\03. 설계(DE)\02. 경영정보 기능개선(ME)\ME-DE009-보고서레이아웃\03. 급여\ME-DE009-보고서레이아웃(PMA560AA)-v0.1.docx"/>
    <hyperlink ref="E18" r:id="rId1348" display="\\165.213.107.10\share\K-IFRS반영한경영정보시스템고도화\02. 개발산출물\03. 설계(DE)\02. 경영정보 기능개선(ME)\ME-DE005-프로그램사양서\03. 급여\ME-DE005-프로그램사양서(PMA560AA)-v0.1.docx"/>
    <hyperlink ref="F18" r:id="rId1349" display="\\165.213.107.10\share\K-IFRS반영한경영정보시스템고도화\02. 개발산출물\03. 설계(DE)\02. 경영정보 기능개선(ME)\ME-DE007-페이지레이아웃\03. 급여\ME-DE007-페이지레이아웃(PMA560AA)-v0.1.docx"/>
    <hyperlink ref="S18" r:id="rId1350"/>
    <hyperlink ref="G18" r:id="rId1351" display="\\165.213.107.10\share\K-IFRS반영한경영정보시스템고도화\02. 개발산출물\03. 설계(DE)\02. 경영정보 기능개선(ME)\ME-DE009-보고서레이아웃\03. 급여\ME-DE009-보고서레이아웃(PMA560AA)-v0.1.docx"/>
    <hyperlink ref="J18" r:id="rId1352" display="\\165.213.107.10\share\K-IFRS반영한경영정보시스템고도화\02. 개발산출물\03. 설계(DE)\02. 경영정보 기능개선(ME)\ME-DE009-보고서레이아웃\03. 급여\ME-DE009-보고서레이아웃(PMA560AA)-v0.1.docx"/>
    <hyperlink ref="I18" r:id="rId1353" display="\\165.213.107.10\share\K-IFRS반영한경영정보시스템고도화\02. 개발산출물\04. 개발(DT)\02. 경영정보 기능개선(ME)\ME-DT003-단위테스트결과서\ME-DT003-단위테스트결과서(PMA560AA-출산장려비지급신청서(결재))-v0.1.xls"/>
    <hyperlink ref="H18" r:id="rId1354" display="\\165.213.107.10\share\K-IFRS반영한경영정보시스템고도화\02. 개발산출물\04. 개발(DT)\02. 경영정보 기능개선(ME)\ME-DT002-단위테스트명세서\ME-DT002-단위테스트명세서(PMA560AA-출산장려비지급신청서(결재))-v0.1.xls"/>
    <hyperlink ref="K17" r:id="rId1355" display="\\165.213.107.10\share\K-IFRS반영한경영정보시스템고도화\02. 개발산출물\03. 설계(DE)\02. 경영정보 기능개선(ME)\ME-DE009-보고서레이아웃\03. 급여\ME-DE009-보고서레이아웃(PMA560AA)-v0.1.docx"/>
    <hyperlink ref="E17" r:id="rId1356" display="\\165.213.107.10\share\K-IFRS반영한경영정보시스템고도화\02. 개발산출물\03. 설계(DE)\02. 경영정보 기능개선(ME)\ME-DE005-프로그램사양서\03. 급여\ME-DE005-프로그램사양서(PMA560AA)-v0.1.docx"/>
    <hyperlink ref="F17" r:id="rId1357" display="\\165.213.107.10\share\K-IFRS반영한경영정보시스템고도화\02. 개발산출물\03. 설계(DE)\02. 경영정보 기능개선(ME)\ME-DE007-페이지레이아웃\03. 급여\ME-DE007-페이지레이아웃(PMA560AA)-v0.1.docx"/>
    <hyperlink ref="G17" r:id="rId1358" display="\\165.213.107.10\share\K-IFRS반영한경영정보시스템고도화\02. 개발산출물\03. 설계(DE)\02. 경영정보 기능개선(ME)\ME-DE009-보고서레이아웃\03. 급여\ME-DE009-보고서레이아웃(PMA560AA)-v0.1.docx"/>
    <hyperlink ref="J17" r:id="rId1359" display="\\165.213.107.10\share\K-IFRS반영한경영정보시스템고도화\02. 개발산출물\03. 설계(DE)\02. 경영정보 기능개선(ME)\ME-DE009-보고서레이아웃\03. 급여\ME-DE009-보고서레이아웃(PMA560AA)-v0.1.docx"/>
    <hyperlink ref="I17" r:id="rId1360" display="\\165.213.107.10\share\K-IFRS반영한경영정보시스템고도화\02. 개발산출물\04. 개발(DT)\02. 경영정보 기능개선(ME)\ME-DT003-단위테스트결과서\ME-DT003-단위테스트결과서(PMA560AA-출산장려비지급신청서(결재))-v0.1.xls"/>
    <hyperlink ref="H17" r:id="rId1361" display="\\165.213.107.10\share\K-IFRS반영한경영정보시스템고도화\02. 개발산출물\04. 개발(DT)\02. 경영정보 기능개선(ME)\ME-DT002-단위테스트명세서\ME-DT002-단위테스트명세서(PMA560AA-출산장려비지급신청서(결재))-v0.1.xls"/>
    <hyperlink ref="K16" r:id="rId1362" display="\\165.213.107.10\share\K-IFRS반영한경영정보시스템고도화\02. 개발산출물\03. 설계(DE)\02. 경영정보 기능개선(ME)\ME-DE009-보고서레이아웃\03. 급여\ME-DE009-보고서레이아웃(PMA560AA)-v0.1.docx"/>
    <hyperlink ref="E16" r:id="rId1363" display="\\165.213.107.10\share\K-IFRS반영한경영정보시스템고도화\02. 개발산출물\03. 설계(DE)\02. 경영정보 기능개선(ME)\ME-DE005-프로그램사양서\03. 급여\ME-DE005-프로그램사양서(PMA560AA)-v0.1.docx"/>
    <hyperlink ref="F16" r:id="rId1364" display="\\165.213.107.10\share\K-IFRS반영한경영정보시스템고도화\02. 개발산출물\03. 설계(DE)\02. 경영정보 기능개선(ME)\ME-DE007-페이지레이아웃\03. 급여\ME-DE007-페이지레이아웃(PMA560AA)-v0.1.docx"/>
    <hyperlink ref="G16" r:id="rId1365" display="\\165.213.107.10\share\K-IFRS반영한경영정보시스템고도화\02. 개발산출물\03. 설계(DE)\02. 경영정보 기능개선(ME)\ME-DE009-보고서레이아웃\03. 급여\ME-DE009-보고서레이아웃(PMA560AA)-v0.1.docx"/>
    <hyperlink ref="J16" r:id="rId1366" display="\\165.213.107.10\share\K-IFRS반영한경영정보시스템고도화\02. 개발산출물\03. 설계(DE)\02. 경영정보 기능개선(ME)\ME-DE009-보고서레이아웃\03. 급여\ME-DE009-보고서레이아웃(PMA560AA)-v0.1.docx"/>
    <hyperlink ref="I16" r:id="rId1367" display="\\165.213.107.10\share\K-IFRS반영한경영정보시스템고도화\02. 개발산출물\04. 개발(DT)\02. 경영정보 기능개선(ME)\ME-DT003-단위테스트결과서\ME-DT003-단위테스트결과서(PMA560AA-출산장려비지급신청서(결재))-v0.1.xls"/>
    <hyperlink ref="H16" r:id="rId1368" display="\\165.213.107.10\share\K-IFRS반영한경영정보시스템고도화\02. 개발산출물\04. 개발(DT)\02. 경영정보 기능개선(ME)\ME-DT002-단위테스트명세서\ME-DT002-단위테스트명세서(PMA560AA-출산장려비지급신청서(결재))-v0.1.xls"/>
    <hyperlink ref="K15" r:id="rId1369" display="\\165.213.107.10\share\K-IFRS반영한경영정보시스템고도화\02. 개발산출물\03. 설계(DE)\02. 경영정보 기능개선(ME)\ME-DE009-보고서레이아웃\03. 급여\ME-DE009-보고서레이아웃(PMA560AA)-v0.1.docx"/>
    <hyperlink ref="E15" r:id="rId1370" display="\\165.213.107.10\share\K-IFRS반영한경영정보시스템고도화\02. 개발산출물\03. 설계(DE)\02. 경영정보 기능개선(ME)\ME-DE005-프로그램사양서\03. 급여\ME-DE005-프로그램사양서(PMA560AA)-v0.1.docx"/>
    <hyperlink ref="F15" r:id="rId1371" display="\\165.213.107.10\share\K-IFRS반영한경영정보시스템고도화\02. 개발산출물\03. 설계(DE)\02. 경영정보 기능개선(ME)\ME-DE007-페이지레이아웃\03. 급여\ME-DE007-페이지레이아웃(PMA560AA)-v0.1.docx"/>
    <hyperlink ref="G15" r:id="rId1372" display="\\165.213.107.10\share\K-IFRS반영한경영정보시스템고도화\02. 개발산출물\03. 설계(DE)\02. 경영정보 기능개선(ME)\ME-DE009-보고서레이아웃\03. 급여\ME-DE009-보고서레이아웃(PMA560AA)-v0.1.docx"/>
    <hyperlink ref="J15" r:id="rId1373" display="\\165.213.107.10\share\K-IFRS반영한경영정보시스템고도화\02. 개발산출물\03. 설계(DE)\02. 경영정보 기능개선(ME)\ME-DE009-보고서레이아웃\03. 급여\ME-DE009-보고서레이아웃(PMA560AA)-v0.1.docx"/>
    <hyperlink ref="I15" r:id="rId1374" display="\\165.213.107.10\share\K-IFRS반영한경영정보시스템고도화\02. 개발산출물\04. 개발(DT)\02. 경영정보 기능개선(ME)\ME-DT003-단위테스트결과서\ME-DT003-단위테스트결과서(PMA560AA-출산장려비지급신청서(결재))-v0.1.xls"/>
    <hyperlink ref="H15" r:id="rId1375" display="\\165.213.107.10\share\K-IFRS반영한경영정보시스템고도화\02. 개발산출물\04. 개발(DT)\02. 경영정보 기능개선(ME)\ME-DT002-단위테스트명세서\ME-DT002-단위테스트명세서(PMA560AA-출산장려비지급신청서(결재))-v0.1.xls"/>
    <hyperlink ref="K14" r:id="rId1376" display="\\165.213.107.10\share\K-IFRS반영한경영정보시스템고도화\02. 개발산출물\03. 설계(DE)\02. 경영정보 기능개선(ME)\ME-DE009-보고서레이아웃\03. 급여\ME-DE009-보고서레이아웃(PMA600AA)-v0.1.docx"/>
    <hyperlink ref="F14" r:id="rId1377" display="품질보증 계획서"/>
    <hyperlink ref="S14" r:id="rId1378" display="SP_PMA610AA_01.prc"/>
    <hyperlink ref="E14" r:id="rId1379" display="품질보증 계획서"/>
    <hyperlink ref="G14" r:id="rId1380" display="\\165.213.107.10\share\K-IFRS반영한경영정보시스템고도화\02. 개발산출물\03. 설계(DE)\02. 경영정보 기능개선(ME)\ME-DE009-보고서레이아웃\03. 급여\ME-DE009-보고서레이아웃(PMA630AA)-v0.1.docx"/>
    <hyperlink ref="J14" r:id="rId1381" display="\\165.213.107.10\share\K-IFRS반영한경영정보시스템고도화\02. 개발산출물\03. 설계(DE)\02. 경영정보 기능개선(ME)\ME-DE009-보고서레이아웃\03. 급여\ME-DE009-보고서레이아웃(PMA600AA)-v0.1.docx"/>
    <hyperlink ref="I14" r:id="rId1382" display="\\165.213.107.10\share\K-IFRS반영한경영정보시스템고도화\02. 개발산출물\04. 개발(DT)\02. 경영정보 기능개선(ME)\ME-DT003-단위테스트결과서\ME-DT003-단위테스트결과서(PMA630AA-소급률관리)-v0.1.xls"/>
    <hyperlink ref="H14" r:id="rId1383" display="\\165.213.107.10\share\K-IFRS반영한경영정보시스템고도화\02. 개발산출물\04. 개발(DT)\02. 경영정보 기능개선(ME)\ME-DT002-단위테스트명세서\ME-DT002-단위테스트명세서(PMA630AA-소급률관리)-v0.1.xls"/>
    <hyperlink ref="K13" r:id="rId1384" display="\\165.213.107.10\share\K-IFRS반영한경영정보시스템고도화\02. 개발산출물\03. 설계(DE)\02. 경영정보 기능개선(ME)\ME-DE009-보고서레이아웃\03. 급여\ME-DE009-보고서레이아웃(PMA600AA)-v0.1.docx"/>
    <hyperlink ref="F13" r:id="rId1385" display="품질보증 계획서"/>
    <hyperlink ref="E13" r:id="rId1386" display="품질보증 계획서"/>
    <hyperlink ref="G13" r:id="rId1387" display="\\165.213.107.10\share\K-IFRS반영한경영정보시스템고도화\02. 개발산출물\03. 설계(DE)\02. 경영정보 기능개선(ME)\ME-DE009-보고서레이아웃\03. 급여\ME-DE009-보고서레이아웃(PMA630AA)-v0.1.docx"/>
    <hyperlink ref="J13" r:id="rId1388" display="\\165.213.107.10\share\K-IFRS반영한경영정보시스템고도화\02. 개발산출물\03. 설계(DE)\02. 경영정보 기능개선(ME)\ME-DE009-보고서레이아웃\03. 급여\ME-DE009-보고서레이아웃(PMA600AA)-v0.1.docx"/>
    <hyperlink ref="I13" r:id="rId1389" display="\\165.213.107.10\share\K-IFRS반영한경영정보시스템고도화\02. 개발산출물\04. 개발(DT)\02. 경영정보 기능개선(ME)\ME-DT003-단위테스트결과서\ME-DT003-단위테스트결과서(PMA630AA-소급률관리)-v0.1.xls"/>
    <hyperlink ref="H13" r:id="rId1390" display="\\165.213.107.10\share\K-IFRS반영한경영정보시스템고도화\02. 개발산출물\04. 개발(DT)\02. 경영정보 기능개선(ME)\ME-DT002-단위테스트명세서\ME-DT002-단위테스트명세서(PMA630AA-소급률관리)-v0.1.xls"/>
    <hyperlink ref="K12" r:id="rId1391" display="\\165.213.107.10\share\K-IFRS반영한경영정보시스템고도화\02. 개발산출물\03. 설계(DE)\02. 경영정보 기능개선(ME)\ME-DE009-보고서레이아웃\03. 급여\ME-DE009-보고서레이아웃(PMA600AA)-v0.1.docx"/>
    <hyperlink ref="F12" r:id="rId1392" display="품질보증 계획서"/>
    <hyperlink ref="E12" r:id="rId1393" display="품질보증 계획서"/>
    <hyperlink ref="G12" r:id="rId1394" display="\\165.213.107.10\share\K-IFRS반영한경영정보시스템고도화\02. 개발산출물\03. 설계(DE)\02. 경영정보 기능개선(ME)\ME-DE009-보고서레이아웃\03. 급여\ME-DE009-보고서레이아웃(PMA630AA)-v0.1.docx"/>
    <hyperlink ref="J12" r:id="rId1395" display="\\165.213.107.10\share\K-IFRS반영한경영정보시스템고도화\02. 개발산출물\03. 설계(DE)\02. 경영정보 기능개선(ME)\ME-DE009-보고서레이아웃\03. 급여\ME-DE009-보고서레이아웃(PMA600AA)-v0.1.docx"/>
    <hyperlink ref="I12" r:id="rId1396" display="\\165.213.107.10\share\K-IFRS반영한경영정보시스템고도화\02. 개발산출물\04. 개발(DT)\02. 경영정보 기능개선(ME)\ME-DT003-단위테스트결과서\ME-DT003-단위테스트결과서(PMA630AA-소급률관리)-v0.1.xls"/>
    <hyperlink ref="H12" r:id="rId1397" display="\\165.213.107.10\share\K-IFRS반영한경영정보시스템고도화\02. 개발산출물\04. 개발(DT)\02. 경영정보 기능개선(ME)\ME-DT002-단위테스트명세서\ME-DT002-단위테스트명세서(PMA630AA-소급률관리)-v0.1.xls"/>
    <hyperlink ref="K11" r:id="rId1398" display="\\165.213.107.10\share\K-IFRS반영한경영정보시스템고도화\02. 개발산출물\03. 설계(DE)\02. 경영정보 기능개선(ME)\ME-DE009-보고서레이아웃\03. 급여\ME-DE009-보고서레이아웃(PMA600AA)-v0.1.docx"/>
    <hyperlink ref="F11" r:id="rId1399" display="품질보증 계획서"/>
    <hyperlink ref="E11" r:id="rId1400" display="품질보증 계획서"/>
    <hyperlink ref="G11" r:id="rId1401" display="\\165.213.107.10\share\K-IFRS반영한경영정보시스템고도화\02. 개발산출물\03. 설계(DE)\02. 경영정보 기능개선(ME)\ME-DE009-보고서레이아웃\03. 급여\ME-DE009-보고서레이아웃(PMA630AA)-v0.1.docx"/>
    <hyperlink ref="J11" r:id="rId1402" display="\\165.213.107.10\share\K-IFRS반영한경영정보시스템고도화\02. 개발산출물\03. 설계(DE)\02. 경영정보 기능개선(ME)\ME-DE009-보고서레이아웃\03. 급여\ME-DE009-보고서레이아웃(PMA600AA)-v0.1.docx"/>
    <hyperlink ref="I11" r:id="rId1403" display="\\165.213.107.10\share\K-IFRS반영한경영정보시스템고도화\02. 개발산출물\04. 개발(DT)\02. 경영정보 기능개선(ME)\ME-DT003-단위테스트결과서\ME-DT003-단위테스트결과서(PMA630AA-소급률관리)-v0.1.xls"/>
    <hyperlink ref="H11" r:id="rId1404" display="\\165.213.107.10\share\K-IFRS반영한경영정보시스템고도화\02. 개발산출물\04. 개발(DT)\02. 경영정보 기능개선(ME)\ME-DT002-단위테스트명세서\ME-DT002-단위테스트명세서(PMA630AA-소급률관리)-v0.1.xls"/>
    <hyperlink ref="K10" r:id="rId1405" display="\\165.213.107.10\share\K-IFRS반영한경영정보시스템고도화\02. 개발산출물\03. 설계(DE)\02. 경영정보 기능개선(ME)\ME-DE009-보고서레이아웃\03. 급여\ME-DE009-보고서레이아웃(PMA600AA)-v0.1.docx"/>
    <hyperlink ref="F10" r:id="rId1406" display="품질보증 계획서"/>
    <hyperlink ref="E10" r:id="rId1407" display="품질보증 계획서"/>
    <hyperlink ref="G10" r:id="rId1408" display="\\165.213.107.10\share\K-IFRS반영한경영정보시스템고도화\02. 개발산출물\03. 설계(DE)\02. 경영정보 기능개선(ME)\ME-DE009-보고서레이아웃\03. 급여\ME-DE009-보고서레이아웃(PMA630AA)-v0.1.docx"/>
    <hyperlink ref="J10" r:id="rId1409" display="\\165.213.107.10\share\K-IFRS반영한경영정보시스템고도화\02. 개발산출물\03. 설계(DE)\02. 경영정보 기능개선(ME)\ME-DE009-보고서레이아웃\03. 급여\ME-DE009-보고서레이아웃(PMA600AA)-v0.1.docx"/>
    <hyperlink ref="I10" r:id="rId1410" display="\\165.213.107.10\share\K-IFRS반영한경영정보시스템고도화\02. 개발산출물\04. 개발(DT)\02. 경영정보 기능개선(ME)\ME-DT003-단위테스트결과서\ME-DT003-단위테스트결과서(PMA630AA-소급률관리)-v0.1.xls"/>
    <hyperlink ref="H10" r:id="rId1411" display="\\165.213.107.10\share\K-IFRS반영한경영정보시스템고도화\02. 개발산출물\04. 개발(DT)\02. 경영정보 기능개선(ME)\ME-DT002-단위테스트명세서\ME-DT002-단위테스트명세서(PMA630AA-소급률관리)-v0.1.xls"/>
    <hyperlink ref="K9" r:id="rId1412" display="\\165.213.107.10\share\K-IFRS반영한경영정보시스템고도화\02. 개발산출물\03. 설계(DE)\02. 경영정보 기능개선(ME)\ME-DE009-보고서레이아웃\03. 급여\ME-DE009-보고서레이아웃(PMA600AA)-v0.1.docx"/>
    <hyperlink ref="F9" r:id="rId1413" display="품질보증 계획서"/>
    <hyperlink ref="E9" r:id="rId1414" display="품질보증 계획서"/>
    <hyperlink ref="G9" r:id="rId1415" display="\\165.213.107.10\share\K-IFRS반영한경영정보시스템고도화\02. 개발산출물\03. 설계(DE)\02. 경영정보 기능개선(ME)\ME-DE009-보고서레이아웃\03. 급여\ME-DE009-보고서레이아웃(PMA630AA)-v0.1.docx"/>
    <hyperlink ref="J9" r:id="rId1416" display="\\165.213.107.10\share\K-IFRS반영한경영정보시스템고도화\02. 개발산출물\03. 설계(DE)\02. 경영정보 기능개선(ME)\ME-DE009-보고서레이아웃\03. 급여\ME-DE009-보고서레이아웃(PMA600AA)-v0.1.docx"/>
    <hyperlink ref="I9" r:id="rId1417" display="\\165.213.107.10\share\K-IFRS반영한경영정보시스템고도화\02. 개발산출물\04. 개발(DT)\02. 경영정보 기능개선(ME)\ME-DT003-단위테스트결과서\ME-DT003-단위테스트결과서(PMA630AA-소급률관리)-v0.1.xls"/>
    <hyperlink ref="H9" r:id="rId1418" display="\\165.213.107.10\share\K-IFRS반영한경영정보시스템고도화\02. 개발산출물\04. 개발(DT)\02. 경영정보 기능개선(ME)\ME-DT002-단위테스트명세서\ME-DT002-단위테스트명세서(PMA630AA-소급률관리)-v0.1.xls"/>
    <hyperlink ref="K8" r:id="rId1419" display="\\165.213.107.10\share\K-IFRS반영한경영정보시스템고도화\02. 개발산출물\03. 설계(DE)\02. 경영정보 기능개선(ME)\ME-DE009-보고서레이아웃\03. 급여\ME-DE009-보고서레이아웃(PMA600AA)-v0.1.docx"/>
    <hyperlink ref="F8" r:id="rId1420" display="품질보증 계획서"/>
    <hyperlink ref="E8" r:id="rId1421" display="품질보증 계획서"/>
    <hyperlink ref="G8" r:id="rId1422" display="\\165.213.107.10\share\K-IFRS반영한경영정보시스템고도화\02. 개발산출물\03. 설계(DE)\02. 경영정보 기능개선(ME)\ME-DE009-보고서레이아웃\03. 급여\ME-DE009-보고서레이아웃(PMA630AA)-v0.1.docx"/>
    <hyperlink ref="J8" r:id="rId1423" display="\\165.213.107.10\share\K-IFRS반영한경영정보시스템고도화\02. 개발산출물\03. 설계(DE)\02. 경영정보 기능개선(ME)\ME-DE009-보고서레이아웃\03. 급여\ME-DE009-보고서레이아웃(PMA600AA)-v0.1.docx"/>
    <hyperlink ref="I8" r:id="rId1424" display="\\165.213.107.10\share\K-IFRS반영한경영정보시스템고도화\02. 개발산출물\04. 개발(DT)\02. 경영정보 기능개선(ME)\ME-DT003-단위테스트결과서\ME-DT003-단위테스트결과서(PMA630AA-소급률관리)-v0.1.xls"/>
    <hyperlink ref="H8" r:id="rId1425" display="\\165.213.107.10\share\K-IFRS반영한경영정보시스템고도화\02. 개발산출물\04. 개발(DT)\02. 경영정보 기능개선(ME)\ME-DT002-단위테스트명세서\ME-DT002-단위테스트명세서(PMA630AA-소급률관리)-v0.1.xls"/>
    <hyperlink ref="K7" r:id="rId1426" display="\\165.213.107.10\share\K-IFRS반영한경영정보시스템고도화\02. 개발산출물\03. 설계(DE)\02. 경영정보 기능개선(ME)\ME-DE009-보고서레이아웃\03. 급여\ME-DE009-보고서레이아웃(PMA600AA)-v0.1.docx"/>
    <hyperlink ref="F7" r:id="rId1427" display="품질보증 계획서"/>
    <hyperlink ref="E7" r:id="rId1428" display="품질보증 계획서"/>
    <hyperlink ref="G7" r:id="rId1429" display="\\165.213.107.10\share\K-IFRS반영한경영정보시스템고도화\02. 개발산출물\03. 설계(DE)\02. 경영정보 기능개선(ME)\ME-DE009-보고서레이아웃\03. 급여\ME-DE009-보고서레이아웃(PMA630AA)-v0.1.docx"/>
    <hyperlink ref="J7" r:id="rId1430" display="\\165.213.107.10\share\K-IFRS반영한경영정보시스템고도화\02. 개발산출물\03. 설계(DE)\02. 경영정보 기능개선(ME)\ME-DE009-보고서레이아웃\03. 급여\ME-DE009-보고서레이아웃(PMA600AA)-v0.1.docx"/>
    <hyperlink ref="I7" r:id="rId1431" display="\\165.213.107.10\share\K-IFRS반영한경영정보시스템고도화\02. 개발산출물\04. 개발(DT)\02. 경영정보 기능개선(ME)\ME-DT003-단위테스트결과서\ME-DT003-단위테스트결과서(PMA630AA-소급률관리)-v0.1.xls"/>
    <hyperlink ref="H7" r:id="rId1432" display="\\165.213.107.10\share\K-IFRS반영한경영정보시스템고도화\02. 개발산출물\04. 개발(DT)\02. 경영정보 기능개선(ME)\ME-DT002-단위테스트명세서\ME-DT002-단위테스트명세서(PMA630AA-소급률관리)-v0.1.xls"/>
    <hyperlink ref="K6" r:id="rId1433" display="\\165.213.107.10\share\K-IFRS반영한경영정보시스템고도화\02. 개발산출물\03. 설계(DE)\02. 경영정보 기능개선(ME)\ME-DE009-보고서레이아웃\03. 급여\ME-DE009-보고서레이아웃(PMA600AA)-v0.1.docx"/>
    <hyperlink ref="F6" r:id="rId1434" display="품질보증 계획서"/>
    <hyperlink ref="E6" r:id="rId1435" display="품질보증 계획서"/>
    <hyperlink ref="G6" r:id="rId1436" display="\\165.213.107.10\share\K-IFRS반영한경영정보시스템고도화\02. 개발산출물\03. 설계(DE)\02. 경영정보 기능개선(ME)\ME-DE009-보고서레이아웃\03. 급여\ME-DE009-보고서레이아웃(PMA630AA)-v0.1.docx"/>
    <hyperlink ref="J6" r:id="rId1437" display="\\165.213.107.10\share\K-IFRS반영한경영정보시스템고도화\02. 개발산출물\03. 설계(DE)\02. 경영정보 기능개선(ME)\ME-DE009-보고서레이아웃\03. 급여\ME-DE009-보고서레이아웃(PMA600AA)-v0.1.docx"/>
    <hyperlink ref="I6" r:id="rId1438" display="\\165.213.107.10\share\K-IFRS반영한경영정보시스템고도화\02. 개발산출물\04. 개발(DT)\02. 경영정보 기능개선(ME)\ME-DT003-단위테스트결과서\ME-DT003-단위테스트결과서(PMA630AA-소급률관리)-v0.1.xls"/>
    <hyperlink ref="H6" r:id="rId1439" display="\\165.213.107.10\share\K-IFRS반영한경영정보시스템고도화\02. 개발산출물\04. 개발(DT)\02. 경영정보 기능개선(ME)\ME-DT002-단위테스트명세서\ME-DT002-단위테스트명세서(PMA630AA-소급률관리)-v0.1.xls"/>
    <hyperlink ref="K5" r:id="rId1440" display="\\165.213.107.10\share\K-IFRS반영한경영정보시스템고도화\02. 개발산출물\03. 설계(DE)\02. 경영정보 기능개선(ME)\ME-DE009-보고서레이아웃\03. 급여\ME-DE009-보고서레이아웃(PMA600AA)-v0.1.docx"/>
    <hyperlink ref="F5" r:id="rId1441" display="품질보증 계획서"/>
    <hyperlink ref="E5" r:id="rId1442" display="품질보증 계획서"/>
    <hyperlink ref="G5" r:id="rId1443" display="\\165.213.107.10\share\K-IFRS반영한경영정보시스템고도화\02. 개발산출물\03. 설계(DE)\02. 경영정보 기능개선(ME)\ME-DE009-보고서레이아웃\03. 급여\ME-DE009-보고서레이아웃(PMA630AA)-v0.1.docx"/>
    <hyperlink ref="J5" r:id="rId1444" display="\\165.213.107.10\share\K-IFRS반영한경영정보시스템고도화\02. 개발산출물\03. 설계(DE)\02. 경영정보 기능개선(ME)\ME-DE009-보고서레이아웃\03. 급여\ME-DE009-보고서레이아웃(PMA600AA)-v0.1.docx"/>
    <hyperlink ref="I5" r:id="rId1445" display="\\165.213.107.10\share\K-IFRS반영한경영정보시스템고도화\02. 개발산출물\04. 개발(DT)\02. 경영정보 기능개선(ME)\ME-DT003-단위테스트결과서\ME-DT003-단위테스트결과서(PMA630AA-소급률관리)-v0.1.xls"/>
    <hyperlink ref="H5" r:id="rId1446" display="\\165.213.107.10\share\K-IFRS반영한경영정보시스템고도화\02. 개발산출물\04. 개발(DT)\02. 경영정보 기능개선(ME)\ME-DT002-단위테스트명세서\ME-DT002-단위테스트명세서(PMA630AA-소급률관리)-v0.1.xls"/>
  </hyperlinks>
  <pageMargins left="0.7" right="0.7" top="0.75" bottom="0.75" header="0.3" footer="0.3"/>
  <pageSetup paperSize="9" scale="10" fitToWidth="0" orientation="landscape" r:id="rId1447"/>
  <drawing r:id="rId1448"/>
  <legacyDrawing r:id="rId1449"/>
  <controls>
    <mc:AlternateContent xmlns:mc="http://schemas.openxmlformats.org/markup-compatibility/2006">
      <mc:Choice Requires="x14">
        <control shapeId="2140" r:id="rId1450" name="btnDoc4">
          <controlPr locked="0" defaultSize="0" autoFill="0" autoLine="0" altText="" r:id="rId1451">
            <anchor moveWithCells="1" sizeWithCells="1">
              <from>
                <xdr:col>8</xdr:col>
                <xdr:colOff>76200</xdr:colOff>
                <xdr:row>0</xdr:row>
                <xdr:rowOff>104775</xdr:rowOff>
              </from>
              <to>
                <xdr:col>9</xdr:col>
                <xdr:colOff>9525</xdr:colOff>
                <xdr:row>1</xdr:row>
                <xdr:rowOff>171450</xdr:rowOff>
              </to>
            </anchor>
          </controlPr>
        </control>
      </mc:Choice>
      <mc:Fallback>
        <control shapeId="2140" r:id="rId1450" name="btnDoc4"/>
      </mc:Fallback>
    </mc:AlternateContent>
    <mc:AlternateContent xmlns:mc="http://schemas.openxmlformats.org/markup-compatibility/2006">
      <mc:Choice Requires="x14">
        <control shapeId="2138" r:id="rId1452" name="btnDoc3">
          <controlPr locked="0" defaultSize="0" autoFill="0" autoLine="0" altText="" r:id="rId1453">
            <anchor moveWithCells="1" sizeWithCells="1">
              <from>
                <xdr:col>7</xdr:col>
                <xdr:colOff>76200</xdr:colOff>
                <xdr:row>0</xdr:row>
                <xdr:rowOff>104775</xdr:rowOff>
              </from>
              <to>
                <xdr:col>8</xdr:col>
                <xdr:colOff>9525</xdr:colOff>
                <xdr:row>1</xdr:row>
                <xdr:rowOff>171450</xdr:rowOff>
              </to>
            </anchor>
          </controlPr>
        </control>
      </mc:Choice>
      <mc:Fallback>
        <control shapeId="2138" r:id="rId1452" name="btnDoc3"/>
      </mc:Fallback>
    </mc:AlternateContent>
    <mc:AlternateContent xmlns:mc="http://schemas.openxmlformats.org/markup-compatibility/2006">
      <mc:Choice Requires="x14">
        <control shapeId="2125" r:id="rId1454" name="btnDoc0">
          <controlPr locked="0" defaultSize="0" autoFill="0" autoLine="0" altText="" r:id="rId1455">
            <anchor moveWithCells="1" sizeWithCells="1">
              <from>
                <xdr:col>2</xdr:col>
                <xdr:colOff>504825</xdr:colOff>
                <xdr:row>0</xdr:row>
                <xdr:rowOff>76200</xdr:rowOff>
              </from>
              <to>
                <xdr:col>3</xdr:col>
                <xdr:colOff>209550</xdr:colOff>
                <xdr:row>1</xdr:row>
                <xdr:rowOff>180975</xdr:rowOff>
              </to>
            </anchor>
          </controlPr>
        </control>
      </mc:Choice>
      <mc:Fallback>
        <control shapeId="2125" r:id="rId1454" name="btnDoc0"/>
      </mc:Fallback>
    </mc:AlternateContent>
    <mc:AlternateContent xmlns:mc="http://schemas.openxmlformats.org/markup-compatibility/2006">
      <mc:Choice Requires="x14">
        <control shapeId="2132" r:id="rId1456" name="btnDoc1">
          <controlPr locked="0" defaultSize="0" autoFill="0" autoLine="0" altText="" r:id="rId1457">
            <anchor moveWithCells="1" sizeWithCells="1">
              <from>
                <xdr:col>3</xdr:col>
                <xdr:colOff>247650</xdr:colOff>
                <xdr:row>0</xdr:row>
                <xdr:rowOff>85725</xdr:rowOff>
              </from>
              <to>
                <xdr:col>5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2132" r:id="rId1456" name="btnDoc1"/>
      </mc:Fallback>
    </mc:AlternateContent>
    <mc:AlternateContent xmlns:mc="http://schemas.openxmlformats.org/markup-compatibility/2006">
      <mc:Choice Requires="x14">
        <control shapeId="2133" r:id="rId1458" name="btnDoc2">
          <controlPr locked="0" defaultSize="0" autoFill="0" autoLine="0" altText="" r:id="rId1459">
            <anchor moveWithCells="1" sizeWithCells="1">
              <from>
                <xdr:col>5</xdr:col>
                <xdr:colOff>190500</xdr:colOff>
                <xdr:row>0</xdr:row>
                <xdr:rowOff>95250</xdr:rowOff>
              </from>
              <to>
                <xdr:col>7</xdr:col>
                <xdr:colOff>38100</xdr:colOff>
                <xdr:row>1</xdr:row>
                <xdr:rowOff>171450</xdr:rowOff>
              </to>
            </anchor>
          </controlPr>
        </control>
      </mc:Choice>
      <mc:Fallback>
        <control shapeId="2133" r:id="rId1458" name="btnDoc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181"/>
  <sheetViews>
    <sheetView workbookViewId="0">
      <pane ySplit="2" topLeftCell="A40" activePane="bottomLeft" state="frozen"/>
      <selection pane="bottomLeft" activeCell="C33" sqref="C33"/>
    </sheetView>
  </sheetViews>
  <sheetFormatPr defaultRowHeight="12.95" customHeight="1"/>
  <cols>
    <col min="2" max="2" width="16" bestFit="1" customWidth="1"/>
    <col min="3" max="3" width="98.5" bestFit="1" customWidth="1"/>
  </cols>
  <sheetData>
    <row r="2" spans="2:3" ht="12.95" customHeight="1">
      <c r="B2" s="47" t="s">
        <v>6489</v>
      </c>
      <c r="C2" s="47" t="s">
        <v>6490</v>
      </c>
    </row>
    <row r="3" spans="2:3" ht="12.95" customHeight="1">
      <c r="B3" s="61" t="s">
        <v>6715</v>
      </c>
      <c r="C3" s="23"/>
    </row>
    <row r="4" spans="2:3" ht="12.95" customHeight="1">
      <c r="B4" s="23" t="s">
        <v>7040</v>
      </c>
      <c r="C4" s="23" t="s">
        <v>7041</v>
      </c>
    </row>
    <row r="5" spans="2:3" ht="12.95" customHeight="1">
      <c r="B5" s="48" t="s">
        <v>7042</v>
      </c>
      <c r="C5" s="48" t="s">
        <v>145</v>
      </c>
    </row>
    <row r="6" spans="2:3" ht="12.95" customHeight="1">
      <c r="B6" s="23" t="s">
        <v>7043</v>
      </c>
      <c r="C6" s="23" t="s">
        <v>7044</v>
      </c>
    </row>
    <row r="7" spans="2:3" ht="12.95" customHeight="1">
      <c r="B7" s="23" t="s">
        <v>7045</v>
      </c>
      <c r="C7" s="23" t="s">
        <v>7046</v>
      </c>
    </row>
    <row r="8" spans="2:3" ht="12.95" customHeight="1">
      <c r="B8" s="23" t="s">
        <v>7047</v>
      </c>
      <c r="C8" s="23" t="s">
        <v>7048</v>
      </c>
    </row>
    <row r="9" spans="2:3" ht="12.95" customHeight="1">
      <c r="B9" s="48" t="s">
        <v>7049</v>
      </c>
      <c r="C9" s="48" t="s">
        <v>6905</v>
      </c>
    </row>
    <row r="10" spans="2:3" ht="12.95" customHeight="1">
      <c r="B10" s="23" t="s">
        <v>7050</v>
      </c>
      <c r="C10" s="23" t="s">
        <v>7051</v>
      </c>
    </row>
    <row r="11" spans="2:3" ht="12.95" customHeight="1">
      <c r="B11" s="48" t="s">
        <v>7052</v>
      </c>
      <c r="C11" s="48" t="s">
        <v>7053</v>
      </c>
    </row>
    <row r="12" spans="2:3" ht="12.95" customHeight="1">
      <c r="B12" s="48" t="s">
        <v>7054</v>
      </c>
      <c r="C12" s="48" t="s">
        <v>2237</v>
      </c>
    </row>
    <row r="13" spans="2:3" ht="12.95" customHeight="1">
      <c r="B13" s="23" t="s">
        <v>7055</v>
      </c>
      <c r="C13" s="23" t="s">
        <v>4221</v>
      </c>
    </row>
    <row r="14" spans="2:3" ht="12.95" customHeight="1">
      <c r="B14" s="48" t="s">
        <v>7056</v>
      </c>
      <c r="C14" s="48" t="s">
        <v>7057</v>
      </c>
    </row>
    <row r="15" spans="2:3" ht="12.95" customHeight="1">
      <c r="B15" s="48" t="s">
        <v>7058</v>
      </c>
      <c r="C15" s="48" t="s">
        <v>7059</v>
      </c>
    </row>
    <row r="16" spans="2:3" ht="12.95" customHeight="1">
      <c r="B16" s="23" t="s">
        <v>7060</v>
      </c>
      <c r="C16" s="23" t="s">
        <v>7061</v>
      </c>
    </row>
    <row r="17" spans="2:3" ht="12.95" customHeight="1">
      <c r="B17" s="23" t="s">
        <v>7062</v>
      </c>
      <c r="C17" s="23" t="s">
        <v>7063</v>
      </c>
    </row>
    <row r="18" spans="2:3" ht="12.95" customHeight="1">
      <c r="B18" s="23" t="s">
        <v>7064</v>
      </c>
      <c r="C18" s="23" t="s">
        <v>7065</v>
      </c>
    </row>
    <row r="19" spans="2:3" ht="12.95" customHeight="1">
      <c r="B19" s="23" t="s">
        <v>7066</v>
      </c>
      <c r="C19" s="23" t="s">
        <v>7067</v>
      </c>
    </row>
    <row r="20" spans="2:3" ht="12.95" customHeight="1">
      <c r="B20" s="23" t="s">
        <v>7068</v>
      </c>
      <c r="C20" s="23" t="s">
        <v>7069</v>
      </c>
    </row>
    <row r="21" spans="2:3" ht="12.95" customHeight="1">
      <c r="B21" s="23" t="s">
        <v>7070</v>
      </c>
      <c r="C21" s="23" t="s">
        <v>6165</v>
      </c>
    </row>
    <row r="22" spans="2:3" ht="12.95" customHeight="1">
      <c r="B22" s="23" t="s">
        <v>7071</v>
      </c>
      <c r="C22" s="23" t="s">
        <v>7072</v>
      </c>
    </row>
    <row r="23" spans="2:3" ht="12.95" customHeight="1">
      <c r="B23" s="23" t="s">
        <v>7073</v>
      </c>
      <c r="C23" s="23" t="s">
        <v>7074</v>
      </c>
    </row>
    <row r="24" spans="2:3" ht="12.95" customHeight="1">
      <c r="B24" s="23" t="s">
        <v>7075</v>
      </c>
      <c r="C24" s="23" t="s">
        <v>7076</v>
      </c>
    </row>
    <row r="25" spans="2:3" ht="12.95" customHeight="1">
      <c r="B25" s="23" t="s">
        <v>7077</v>
      </c>
      <c r="C25" s="23" t="s">
        <v>7078</v>
      </c>
    </row>
    <row r="26" spans="2:3" ht="12.95" customHeight="1">
      <c r="B26" s="23" t="s">
        <v>7079</v>
      </c>
      <c r="C26" s="23" t="s">
        <v>7080</v>
      </c>
    </row>
    <row r="27" spans="2:3" ht="12.95" customHeight="1">
      <c r="B27" s="23" t="s">
        <v>7081</v>
      </c>
      <c r="C27" s="23" t="s">
        <v>7082</v>
      </c>
    </row>
    <row r="28" spans="2:3" ht="12.95" customHeight="1">
      <c r="B28" s="48" t="s">
        <v>7083</v>
      </c>
      <c r="C28" s="48" t="s">
        <v>7084</v>
      </c>
    </row>
    <row r="29" spans="2:3" ht="12.95" customHeight="1">
      <c r="B29" s="48" t="s">
        <v>7085</v>
      </c>
      <c r="C29" s="48" t="s">
        <v>7086</v>
      </c>
    </row>
    <row r="30" spans="2:3" ht="12.95" customHeight="1">
      <c r="B30" s="48" t="s">
        <v>7087</v>
      </c>
      <c r="C30" s="48" t="s">
        <v>7088</v>
      </c>
    </row>
    <row r="31" spans="2:3" ht="12.95" customHeight="1">
      <c r="B31" s="48" t="s">
        <v>7089</v>
      </c>
      <c r="C31" s="48" t="s">
        <v>7090</v>
      </c>
    </row>
    <row r="32" spans="2:3" ht="12.95" customHeight="1">
      <c r="B32" s="23" t="s">
        <v>7091</v>
      </c>
      <c r="C32" s="23" t="s">
        <v>7092</v>
      </c>
    </row>
    <row r="33" spans="2:3" ht="12.95" customHeight="1">
      <c r="B33" s="23" t="s">
        <v>7093</v>
      </c>
      <c r="C33" s="23" t="s">
        <v>7094</v>
      </c>
    </row>
    <row r="34" spans="2:3" ht="12.95" customHeight="1">
      <c r="B34" s="23" t="s">
        <v>7095</v>
      </c>
      <c r="C34" s="23" t="s">
        <v>7096</v>
      </c>
    </row>
    <row r="35" spans="2:3" ht="12.95" customHeight="1">
      <c r="B35" s="289" t="s">
        <v>6717</v>
      </c>
      <c r="C35" s="289" t="s">
        <v>6716</v>
      </c>
    </row>
    <row r="36" spans="2:3" ht="12.95" customHeight="1">
      <c r="B36" s="48" t="s">
        <v>7097</v>
      </c>
      <c r="C36" s="48" t="s">
        <v>7098</v>
      </c>
    </row>
    <row r="37" spans="2:3" ht="12.95" customHeight="1">
      <c r="B37" s="23" t="s">
        <v>7099</v>
      </c>
      <c r="C37" s="23" t="s">
        <v>7100</v>
      </c>
    </row>
    <row r="38" spans="2:3" ht="12.95" customHeight="1">
      <c r="B38" s="48" t="s">
        <v>7101</v>
      </c>
      <c r="C38" s="48" t="s">
        <v>7102</v>
      </c>
    </row>
    <row r="39" spans="2:3" ht="12.95" customHeight="1">
      <c r="B39" s="23" t="s">
        <v>7103</v>
      </c>
      <c r="C39" s="23" t="s">
        <v>7104</v>
      </c>
    </row>
    <row r="40" spans="2:3" ht="12.95" customHeight="1">
      <c r="B40" s="23" t="s">
        <v>7105</v>
      </c>
      <c r="C40" s="23" t="s">
        <v>7106</v>
      </c>
    </row>
    <row r="41" spans="2:3" ht="12.95" customHeight="1">
      <c r="B41" s="23" t="s">
        <v>7107</v>
      </c>
      <c r="C41" s="23" t="s">
        <v>7108</v>
      </c>
    </row>
    <row r="42" spans="2:3" ht="12.95" customHeight="1">
      <c r="B42" s="23" t="s">
        <v>7109</v>
      </c>
      <c r="C42" s="23" t="s">
        <v>7110</v>
      </c>
    </row>
    <row r="43" spans="2:3" ht="12.95" customHeight="1">
      <c r="B43" s="23" t="s">
        <v>7111</v>
      </c>
      <c r="C43" s="23" t="s">
        <v>7112</v>
      </c>
    </row>
    <row r="44" spans="2:3" ht="12.95" customHeight="1">
      <c r="B44" s="23" t="s">
        <v>7113</v>
      </c>
      <c r="C44" s="23" t="s">
        <v>7114</v>
      </c>
    </row>
    <row r="45" spans="2:3" ht="12.95" customHeight="1">
      <c r="B45" s="23" t="s">
        <v>7115</v>
      </c>
      <c r="C45" s="23" t="s">
        <v>7116</v>
      </c>
    </row>
    <row r="46" spans="2:3" ht="12.95" customHeight="1">
      <c r="B46" s="23" t="s">
        <v>7117</v>
      </c>
      <c r="C46" s="23" t="s">
        <v>7118</v>
      </c>
    </row>
    <row r="47" spans="2:3" ht="12.95" customHeight="1">
      <c r="B47" s="23" t="s">
        <v>7119</v>
      </c>
      <c r="C47" s="23" t="s">
        <v>7120</v>
      </c>
    </row>
    <row r="48" spans="2:3" ht="12.95" customHeight="1">
      <c r="B48" s="23" t="s">
        <v>7121</v>
      </c>
      <c r="C48" s="23" t="s">
        <v>7122</v>
      </c>
    </row>
    <row r="49" spans="2:3" ht="12.95" customHeight="1">
      <c r="B49" s="48" t="s">
        <v>7123</v>
      </c>
      <c r="C49" s="48" t="s">
        <v>7124</v>
      </c>
    </row>
    <row r="50" spans="2:3" ht="12.95" customHeight="1">
      <c r="B50" s="48" t="s">
        <v>7125</v>
      </c>
      <c r="C50" s="48" t="s">
        <v>7126</v>
      </c>
    </row>
    <row r="51" spans="2:3" ht="12.95" customHeight="1">
      <c r="B51" s="23" t="s">
        <v>7127</v>
      </c>
      <c r="C51" s="23" t="s">
        <v>7128</v>
      </c>
    </row>
    <row r="52" spans="2:3" ht="12.95" customHeight="1">
      <c r="B52" s="23" t="s">
        <v>7129</v>
      </c>
      <c r="C52" s="23" t="s">
        <v>7130</v>
      </c>
    </row>
    <row r="53" spans="2:3" ht="12.95" customHeight="1">
      <c r="B53" s="23" t="s">
        <v>7131</v>
      </c>
      <c r="C53" s="23" t="s">
        <v>7132</v>
      </c>
    </row>
    <row r="54" spans="2:3" ht="12.95" customHeight="1">
      <c r="B54" s="23" t="s">
        <v>7133</v>
      </c>
      <c r="C54" s="23" t="s">
        <v>7134</v>
      </c>
    </row>
    <row r="55" spans="2:3" ht="12.95" customHeight="1">
      <c r="B55" s="23" t="s">
        <v>7135</v>
      </c>
      <c r="C55" s="23" t="s">
        <v>7136</v>
      </c>
    </row>
    <row r="56" spans="2:3" ht="12.95" customHeight="1">
      <c r="B56" s="23" t="s">
        <v>7137</v>
      </c>
      <c r="C56" s="23" t="s">
        <v>7138</v>
      </c>
    </row>
    <row r="57" spans="2:3" ht="12.95" customHeight="1">
      <c r="B57" s="23" t="s">
        <v>7139</v>
      </c>
      <c r="C57" s="23" t="s">
        <v>7140</v>
      </c>
    </row>
    <row r="58" spans="2:3" ht="12.95" customHeight="1">
      <c r="B58" s="61" t="s">
        <v>6708</v>
      </c>
      <c r="C58" s="23"/>
    </row>
    <row r="59" spans="2:3" ht="12.95" customHeight="1">
      <c r="B59" s="23" t="s">
        <v>6384</v>
      </c>
      <c r="C59" s="23" t="s">
        <v>6385</v>
      </c>
    </row>
    <row r="60" spans="2:3" ht="12.95" customHeight="1">
      <c r="B60" s="48" t="s">
        <v>6386</v>
      </c>
      <c r="C60" s="48" t="s">
        <v>8798</v>
      </c>
    </row>
    <row r="61" spans="2:3" ht="12.95" customHeight="1">
      <c r="B61" s="23" t="s">
        <v>6388</v>
      </c>
      <c r="C61" s="23" t="s">
        <v>6389</v>
      </c>
    </row>
    <row r="62" spans="2:3" ht="12.95" customHeight="1">
      <c r="B62" s="48" t="s">
        <v>6390</v>
      </c>
      <c r="C62" s="48" t="s">
        <v>6391</v>
      </c>
    </row>
    <row r="63" spans="2:3" ht="12.95" customHeight="1">
      <c r="B63" s="23" t="s">
        <v>6392</v>
      </c>
      <c r="C63" s="23" t="s">
        <v>6393</v>
      </c>
    </row>
    <row r="64" spans="2:3" ht="12.95" customHeight="1">
      <c r="B64" s="48" t="s">
        <v>6394</v>
      </c>
      <c r="C64" s="48" t="s">
        <v>6371</v>
      </c>
    </row>
    <row r="65" spans="2:3" ht="12.95" customHeight="1">
      <c r="B65" s="48" t="s">
        <v>6395</v>
      </c>
      <c r="C65" s="48" t="s">
        <v>4040</v>
      </c>
    </row>
    <row r="66" spans="2:3" ht="12.95" customHeight="1">
      <c r="B66" s="23" t="s">
        <v>6396</v>
      </c>
      <c r="C66" s="23" t="s">
        <v>6397</v>
      </c>
    </row>
    <row r="67" spans="2:3" ht="12.95" customHeight="1">
      <c r="B67" s="48" t="s">
        <v>6398</v>
      </c>
      <c r="C67" s="48" t="s">
        <v>8813</v>
      </c>
    </row>
    <row r="68" spans="2:3" ht="12.95" customHeight="1">
      <c r="B68" s="48" t="s">
        <v>6400</v>
      </c>
      <c r="C68" s="48" t="s">
        <v>6401</v>
      </c>
    </row>
    <row r="69" spans="2:3" ht="12.95" customHeight="1">
      <c r="B69" s="23" t="s">
        <v>6402</v>
      </c>
      <c r="C69" s="23" t="s">
        <v>6403</v>
      </c>
    </row>
    <row r="70" spans="2:3" ht="12.95" customHeight="1">
      <c r="B70" s="48" t="s">
        <v>6404</v>
      </c>
      <c r="C70" s="48" t="s">
        <v>4511</v>
      </c>
    </row>
    <row r="71" spans="2:3" ht="12.95" customHeight="1">
      <c r="B71" s="48" t="s">
        <v>6405</v>
      </c>
      <c r="C71" s="48" t="s">
        <v>6406</v>
      </c>
    </row>
    <row r="72" spans="2:3" ht="12.95" customHeight="1">
      <c r="B72" s="23" t="s">
        <v>6407</v>
      </c>
      <c r="C72" s="23" t="s">
        <v>6408</v>
      </c>
    </row>
    <row r="73" spans="2:3" ht="12.95" customHeight="1">
      <c r="B73" s="48" t="s">
        <v>6409</v>
      </c>
      <c r="C73" s="48" t="s">
        <v>6410</v>
      </c>
    </row>
    <row r="74" spans="2:3" ht="12.95" customHeight="1">
      <c r="B74" s="23" t="s">
        <v>6411</v>
      </c>
      <c r="C74" s="23" t="s">
        <v>6412</v>
      </c>
    </row>
    <row r="75" spans="2:3" ht="12.95" customHeight="1">
      <c r="B75" s="48" t="s">
        <v>6413</v>
      </c>
      <c r="C75" s="48" t="s">
        <v>6414</v>
      </c>
    </row>
    <row r="76" spans="2:3" ht="12.95" customHeight="1">
      <c r="B76" s="23" t="s">
        <v>6415</v>
      </c>
      <c r="C76" s="23" t="s">
        <v>6416</v>
      </c>
    </row>
    <row r="77" spans="2:3" ht="12.95" customHeight="1">
      <c r="B77" s="23" t="s">
        <v>6417</v>
      </c>
      <c r="C77" s="23" t="s">
        <v>6418</v>
      </c>
    </row>
    <row r="78" spans="2:3" ht="12.95" customHeight="1">
      <c r="B78" s="23" t="s">
        <v>6419</v>
      </c>
      <c r="C78" s="23" t="s">
        <v>6420</v>
      </c>
    </row>
    <row r="79" spans="2:3" ht="12.95" customHeight="1">
      <c r="B79" s="48" t="s">
        <v>6421</v>
      </c>
      <c r="C79" s="48" t="s">
        <v>6422</v>
      </c>
    </row>
    <row r="80" spans="2:3" ht="12.95" customHeight="1">
      <c r="B80" s="23" t="s">
        <v>6423</v>
      </c>
      <c r="C80" s="23" t="s">
        <v>6424</v>
      </c>
    </row>
    <row r="81" spans="2:3" ht="12.95" customHeight="1">
      <c r="B81" s="48" t="s">
        <v>6425</v>
      </c>
      <c r="C81" s="48" t="s">
        <v>6426</v>
      </c>
    </row>
    <row r="82" spans="2:3" ht="12.95" customHeight="1">
      <c r="B82" s="48" t="s">
        <v>6427</v>
      </c>
      <c r="C82" s="48" t="s">
        <v>6428</v>
      </c>
    </row>
    <row r="83" spans="2:3" ht="12.95" customHeight="1">
      <c r="B83" s="48" t="s">
        <v>6429</v>
      </c>
      <c r="C83" s="48" t="s">
        <v>6430</v>
      </c>
    </row>
    <row r="84" spans="2:3" ht="12.95" customHeight="1">
      <c r="B84" s="23" t="s">
        <v>6431</v>
      </c>
      <c r="C84" s="23" t="s">
        <v>6432</v>
      </c>
    </row>
    <row r="85" spans="2:3" ht="12.95" customHeight="1">
      <c r="B85" s="48" t="s">
        <v>6433</v>
      </c>
      <c r="C85" s="48" t="s">
        <v>6434</v>
      </c>
    </row>
    <row r="86" spans="2:3" ht="12.95" customHeight="1">
      <c r="B86" s="48" t="s">
        <v>6435</v>
      </c>
      <c r="C86" s="48" t="s">
        <v>6436</v>
      </c>
    </row>
    <row r="87" spans="2:3" ht="12.95" customHeight="1">
      <c r="B87" s="23" t="s">
        <v>6437</v>
      </c>
      <c r="C87" s="23" t="s">
        <v>6438</v>
      </c>
    </row>
    <row r="88" spans="2:3" ht="12.95" customHeight="1">
      <c r="B88" s="23" t="s">
        <v>6439</v>
      </c>
      <c r="C88" s="23" t="s">
        <v>6440</v>
      </c>
    </row>
    <row r="89" spans="2:3" ht="12.95" customHeight="1">
      <c r="B89" s="23" t="s">
        <v>6441</v>
      </c>
      <c r="C89" s="23" t="s">
        <v>6442</v>
      </c>
    </row>
    <row r="90" spans="2:3" ht="12.95" customHeight="1">
      <c r="B90" s="23" t="s">
        <v>6443</v>
      </c>
      <c r="C90" s="23" t="s">
        <v>6444</v>
      </c>
    </row>
    <row r="91" spans="2:3" ht="12.95" customHeight="1">
      <c r="B91" s="23" t="s">
        <v>6445</v>
      </c>
      <c r="C91" s="23" t="s">
        <v>6446</v>
      </c>
    </row>
    <row r="92" spans="2:3" ht="12.95" customHeight="1">
      <c r="B92" s="48" t="s">
        <v>6447</v>
      </c>
      <c r="C92" s="48" t="s">
        <v>6448</v>
      </c>
    </row>
    <row r="93" spans="2:3" ht="12.95" customHeight="1">
      <c r="B93" s="23" t="s">
        <v>6449</v>
      </c>
      <c r="C93" s="23" t="s">
        <v>6450</v>
      </c>
    </row>
    <row r="94" spans="2:3" ht="12.95" customHeight="1">
      <c r="B94" s="23" t="s">
        <v>6451</v>
      </c>
      <c r="C94" s="23" t="s">
        <v>6452</v>
      </c>
    </row>
    <row r="95" spans="2:3" ht="12.95" customHeight="1">
      <c r="B95" s="23" t="s">
        <v>6453</v>
      </c>
      <c r="C95" s="23" t="s">
        <v>6454</v>
      </c>
    </row>
    <row r="96" spans="2:3" ht="12.95" customHeight="1">
      <c r="B96" s="23" t="s">
        <v>6455</v>
      </c>
      <c r="C96" s="23" t="s">
        <v>6456</v>
      </c>
    </row>
    <row r="97" spans="2:3" ht="12.95" customHeight="1">
      <c r="B97" s="23" t="s">
        <v>6457</v>
      </c>
      <c r="C97" s="23" t="s">
        <v>6458</v>
      </c>
    </row>
    <row r="98" spans="2:3" ht="12.95" customHeight="1">
      <c r="B98" s="23" t="s">
        <v>6459</v>
      </c>
      <c r="C98" s="23" t="s">
        <v>6460</v>
      </c>
    </row>
    <row r="99" spans="2:3" ht="12.95" customHeight="1">
      <c r="B99" s="23" t="s">
        <v>6461</v>
      </c>
      <c r="C99" s="23" t="s">
        <v>6462</v>
      </c>
    </row>
    <row r="100" spans="2:3" ht="12.95" customHeight="1">
      <c r="B100" s="48" t="s">
        <v>6463</v>
      </c>
      <c r="C100" s="48" t="s">
        <v>6464</v>
      </c>
    </row>
    <row r="101" spans="2:3" ht="12.95" customHeight="1">
      <c r="B101" s="48" t="s">
        <v>6465</v>
      </c>
      <c r="C101" s="48" t="s">
        <v>6466</v>
      </c>
    </row>
    <row r="102" spans="2:3" ht="12.95" customHeight="1">
      <c r="B102" s="48" t="s">
        <v>6467</v>
      </c>
      <c r="C102" s="48" t="s">
        <v>6468</v>
      </c>
    </row>
    <row r="103" spans="2:3" ht="12.95" customHeight="1">
      <c r="B103" s="48" t="s">
        <v>6469</v>
      </c>
      <c r="C103" s="48" t="s">
        <v>6470</v>
      </c>
    </row>
    <row r="104" spans="2:3" ht="12.95" customHeight="1">
      <c r="B104" s="23" t="s">
        <v>6471</v>
      </c>
      <c r="C104" s="23" t="s">
        <v>6472</v>
      </c>
    </row>
    <row r="105" spans="2:3" ht="12.95" customHeight="1">
      <c r="B105" s="23" t="s">
        <v>6473</v>
      </c>
      <c r="C105" s="23" t="s">
        <v>6474</v>
      </c>
    </row>
    <row r="106" spans="2:3" ht="12.95" customHeight="1">
      <c r="B106" s="23" t="s">
        <v>6475</v>
      </c>
      <c r="C106" s="23" t="s">
        <v>6476</v>
      </c>
    </row>
    <row r="107" spans="2:3" ht="12.95" customHeight="1">
      <c r="B107" s="23" t="s">
        <v>6477</v>
      </c>
      <c r="C107" s="23" t="s">
        <v>6478</v>
      </c>
    </row>
    <row r="108" spans="2:3" ht="12.95" customHeight="1">
      <c r="B108" s="48" t="s">
        <v>8811</v>
      </c>
      <c r="C108" s="48" t="s">
        <v>8812</v>
      </c>
    </row>
    <row r="109" spans="2:3" ht="12.95" customHeight="1">
      <c r="B109" s="48" t="s">
        <v>8868</v>
      </c>
      <c r="C109" s="48" t="s">
        <v>8792</v>
      </c>
    </row>
    <row r="110" spans="2:3" ht="12.95" customHeight="1">
      <c r="B110" s="23" t="s">
        <v>6479</v>
      </c>
      <c r="C110" s="23" t="s">
        <v>6480</v>
      </c>
    </row>
    <row r="111" spans="2:3" ht="12.95" customHeight="1">
      <c r="B111" s="23" t="s">
        <v>6481</v>
      </c>
      <c r="C111" s="23" t="s">
        <v>6482</v>
      </c>
    </row>
    <row r="112" spans="2:3" ht="12.95" customHeight="1">
      <c r="B112" s="23" t="s">
        <v>6483</v>
      </c>
      <c r="C112" s="23" t="s">
        <v>6484</v>
      </c>
    </row>
    <row r="113" spans="2:3" ht="12.95" customHeight="1">
      <c r="B113" s="23" t="s">
        <v>6485</v>
      </c>
      <c r="C113" s="23" t="s">
        <v>6486</v>
      </c>
    </row>
    <row r="114" spans="2:3" ht="12.95" customHeight="1">
      <c r="B114" s="48" t="s">
        <v>6487</v>
      </c>
      <c r="C114" s="48" t="s">
        <v>6488</v>
      </c>
    </row>
    <row r="115" spans="2:3" ht="12.95" customHeight="1">
      <c r="B115" s="23"/>
      <c r="C115" s="23"/>
    </row>
    <row r="116" spans="2:3" ht="12.95" customHeight="1">
      <c r="B116" s="23" t="s">
        <v>8654</v>
      </c>
      <c r="C116" s="23" t="s">
        <v>8655</v>
      </c>
    </row>
    <row r="117" spans="2:3" ht="12.95" customHeight="1">
      <c r="B117" s="23" t="s">
        <v>8656</v>
      </c>
      <c r="C117" s="23" t="s">
        <v>8657</v>
      </c>
    </row>
    <row r="118" spans="2:3" ht="12.95" customHeight="1">
      <c r="B118" s="48" t="s">
        <v>8658</v>
      </c>
      <c r="C118" s="48" t="s">
        <v>8659</v>
      </c>
    </row>
    <row r="119" spans="2:3" ht="12.95" customHeight="1">
      <c r="B119" s="23" t="s">
        <v>8660</v>
      </c>
      <c r="C119" s="23" t="s">
        <v>8661</v>
      </c>
    </row>
    <row r="120" spans="2:3" ht="12.95" customHeight="1">
      <c r="B120" s="23" t="s">
        <v>8662</v>
      </c>
      <c r="C120" s="23" t="s">
        <v>8663</v>
      </c>
    </row>
    <row r="121" spans="2:3" ht="12.95" customHeight="1">
      <c r="B121" s="23" t="s">
        <v>8664</v>
      </c>
      <c r="C121" s="23" t="s">
        <v>8665</v>
      </c>
    </row>
    <row r="122" spans="2:3" ht="12.95" customHeight="1">
      <c r="B122" s="23" t="s">
        <v>8666</v>
      </c>
      <c r="C122" s="23" t="s">
        <v>6446</v>
      </c>
    </row>
    <row r="123" spans="2:3" ht="12.95" customHeight="1">
      <c r="B123" s="23" t="s">
        <v>8667</v>
      </c>
      <c r="C123" s="23" t="s">
        <v>8668</v>
      </c>
    </row>
    <row r="124" spans="2:3" ht="12.95" customHeight="1">
      <c r="B124" s="23" t="s">
        <v>8669</v>
      </c>
      <c r="C124" s="23" t="s">
        <v>8670</v>
      </c>
    </row>
    <row r="125" spans="2:3" ht="12.95" customHeight="1">
      <c r="B125" s="23" t="s">
        <v>8671</v>
      </c>
      <c r="C125" s="23" t="s">
        <v>8672</v>
      </c>
    </row>
    <row r="126" spans="2:3" ht="12.95" customHeight="1">
      <c r="B126" s="23" t="s">
        <v>8673</v>
      </c>
      <c r="C126" s="23" t="s">
        <v>8674</v>
      </c>
    </row>
    <row r="127" spans="2:3" ht="12.95" customHeight="1">
      <c r="B127" s="23" t="s">
        <v>8675</v>
      </c>
      <c r="C127" s="23" t="s">
        <v>8676</v>
      </c>
    </row>
    <row r="128" spans="2:3" ht="12.95" customHeight="1">
      <c r="B128" s="23" t="s">
        <v>8677</v>
      </c>
      <c r="C128" s="23" t="s">
        <v>8678</v>
      </c>
    </row>
    <row r="129" spans="2:3" ht="12.95" customHeight="1">
      <c r="B129" s="23" t="s">
        <v>8679</v>
      </c>
      <c r="C129" s="23" t="s">
        <v>8680</v>
      </c>
    </row>
    <row r="130" spans="2:3" ht="12.95" customHeight="1">
      <c r="B130" s="23" t="s">
        <v>8681</v>
      </c>
      <c r="C130" s="23" t="s">
        <v>8682</v>
      </c>
    </row>
    <row r="131" spans="2:3" ht="12.95" customHeight="1">
      <c r="B131" s="23" t="s">
        <v>8683</v>
      </c>
      <c r="C131" s="23" t="s">
        <v>8684</v>
      </c>
    </row>
    <row r="132" spans="2:3" ht="12.95" customHeight="1">
      <c r="B132" s="23" t="s">
        <v>8685</v>
      </c>
      <c r="C132" s="23" t="s">
        <v>8686</v>
      </c>
    </row>
    <row r="133" spans="2:3" ht="12.95" customHeight="1">
      <c r="B133" s="23" t="s">
        <v>8687</v>
      </c>
      <c r="C133" s="23" t="s">
        <v>8688</v>
      </c>
    </row>
    <row r="134" spans="2:3" ht="12.95" customHeight="1">
      <c r="B134" s="23" t="s">
        <v>8689</v>
      </c>
      <c r="C134" s="23" t="s">
        <v>8690</v>
      </c>
    </row>
    <row r="135" spans="2:3" ht="12.95" customHeight="1">
      <c r="B135" s="23" t="s">
        <v>8691</v>
      </c>
      <c r="C135" s="23" t="s">
        <v>8692</v>
      </c>
    </row>
    <row r="136" spans="2:3" ht="12.95" customHeight="1">
      <c r="B136" s="23" t="s">
        <v>8693</v>
      </c>
      <c r="C136" s="23" t="s">
        <v>8694</v>
      </c>
    </row>
    <row r="137" spans="2:3" ht="12.95" customHeight="1">
      <c r="B137" s="23" t="s">
        <v>8695</v>
      </c>
      <c r="C137" s="23" t="s">
        <v>8696</v>
      </c>
    </row>
    <row r="138" spans="2:3" ht="12.95" customHeight="1">
      <c r="B138" s="23" t="s">
        <v>8697</v>
      </c>
      <c r="C138" s="23" t="s">
        <v>8698</v>
      </c>
    </row>
    <row r="139" spans="2:3" ht="12.95" customHeight="1">
      <c r="B139" s="23" t="s">
        <v>8699</v>
      </c>
      <c r="C139" s="23" t="s">
        <v>8700</v>
      </c>
    </row>
    <row r="140" spans="2:3" ht="12.95" customHeight="1">
      <c r="B140" s="23" t="s">
        <v>8701</v>
      </c>
      <c r="C140" s="23" t="s">
        <v>8702</v>
      </c>
    </row>
    <row r="141" spans="2:3" ht="12.95" customHeight="1">
      <c r="B141" s="23" t="s">
        <v>8703</v>
      </c>
      <c r="C141" s="23" t="s">
        <v>8704</v>
      </c>
    </row>
    <row r="142" spans="2:3" ht="12.95" customHeight="1">
      <c r="B142" s="23" t="s">
        <v>8705</v>
      </c>
      <c r="C142" s="23" t="s">
        <v>8706</v>
      </c>
    </row>
    <row r="143" spans="2:3" ht="12.95" customHeight="1">
      <c r="B143" s="23" t="s">
        <v>8707</v>
      </c>
      <c r="C143" s="23" t="s">
        <v>8708</v>
      </c>
    </row>
    <row r="144" spans="2:3" ht="12.95" customHeight="1">
      <c r="B144" s="23" t="s">
        <v>8709</v>
      </c>
      <c r="C144" s="23" t="s">
        <v>8710</v>
      </c>
    </row>
    <row r="145" spans="2:3" ht="12.95" customHeight="1">
      <c r="B145" s="23" t="s">
        <v>8711</v>
      </c>
      <c r="C145" s="23" t="s">
        <v>8712</v>
      </c>
    </row>
    <row r="146" spans="2:3" ht="12.95" customHeight="1">
      <c r="B146" s="23" t="s">
        <v>8713</v>
      </c>
      <c r="C146" s="23" t="s">
        <v>8714</v>
      </c>
    </row>
    <row r="147" spans="2:3" ht="12.95" customHeight="1">
      <c r="B147" s="23" t="s">
        <v>8715</v>
      </c>
      <c r="C147" s="23" t="s">
        <v>8716</v>
      </c>
    </row>
    <row r="148" spans="2:3" ht="12.95" customHeight="1">
      <c r="B148" s="23" t="s">
        <v>8717</v>
      </c>
      <c r="C148" s="23" t="s">
        <v>8718</v>
      </c>
    </row>
    <row r="149" spans="2:3" ht="12.95" customHeight="1">
      <c r="B149" s="23" t="s">
        <v>8719</v>
      </c>
      <c r="C149" s="23" t="s">
        <v>8720</v>
      </c>
    </row>
    <row r="150" spans="2:3" ht="12.95" customHeight="1">
      <c r="B150" s="23" t="s">
        <v>8721</v>
      </c>
      <c r="C150" s="23" t="s">
        <v>8722</v>
      </c>
    </row>
    <row r="151" spans="2:3" ht="12.95" customHeight="1">
      <c r="B151" s="23" t="s">
        <v>8723</v>
      </c>
      <c r="C151" s="23" t="s">
        <v>8724</v>
      </c>
    </row>
    <row r="152" spans="2:3" ht="12.95" customHeight="1">
      <c r="B152" s="23" t="s">
        <v>8725</v>
      </c>
      <c r="C152" s="23" t="s">
        <v>8726</v>
      </c>
    </row>
    <row r="153" spans="2:3" ht="12.95" customHeight="1">
      <c r="B153" s="23" t="s">
        <v>8727</v>
      </c>
      <c r="C153" s="23" t="s">
        <v>8728</v>
      </c>
    </row>
    <row r="154" spans="2:3" ht="12.95" customHeight="1">
      <c r="B154" s="23" t="s">
        <v>8729</v>
      </c>
      <c r="C154" s="23" t="s">
        <v>8730</v>
      </c>
    </row>
    <row r="155" spans="2:3" ht="12.95" customHeight="1">
      <c r="B155" s="23" t="s">
        <v>6699</v>
      </c>
      <c r="C155" s="23" t="s">
        <v>6700</v>
      </c>
    </row>
    <row r="156" spans="2:3" ht="12.95" customHeight="1">
      <c r="B156" s="23" t="s">
        <v>6701</v>
      </c>
      <c r="C156" s="23" t="s">
        <v>6702</v>
      </c>
    </row>
    <row r="157" spans="2:3" ht="12.95" customHeight="1">
      <c r="B157" s="23" t="s">
        <v>6703</v>
      </c>
      <c r="C157" s="23" t="s">
        <v>6704</v>
      </c>
    </row>
    <row r="158" spans="2:3" ht="12.95" customHeight="1">
      <c r="B158" s="23" t="s">
        <v>6705</v>
      </c>
      <c r="C158" s="23" t="s">
        <v>6706</v>
      </c>
    </row>
    <row r="159" spans="2:3" ht="12.95" customHeight="1">
      <c r="B159" s="23" t="s">
        <v>6707</v>
      </c>
      <c r="C159" s="23" t="s">
        <v>6706</v>
      </c>
    </row>
    <row r="160" spans="2:3" ht="12.95" customHeight="1">
      <c r="B160" s="23" t="s">
        <v>8731</v>
      </c>
      <c r="C160" s="23" t="s">
        <v>8732</v>
      </c>
    </row>
    <row r="161" spans="2:3" ht="12.95" customHeight="1">
      <c r="B161" s="23" t="s">
        <v>8733</v>
      </c>
      <c r="C161" s="23" t="s">
        <v>8734</v>
      </c>
    </row>
    <row r="162" spans="2:3" ht="12.95" customHeight="1">
      <c r="B162" s="48" t="s">
        <v>8735</v>
      </c>
      <c r="C162" s="48" t="s">
        <v>8736</v>
      </c>
    </row>
    <row r="163" spans="2:3" ht="12.95" customHeight="1">
      <c r="B163" s="23" t="s">
        <v>8737</v>
      </c>
      <c r="C163" s="23" t="s">
        <v>8738</v>
      </c>
    </row>
    <row r="164" spans="2:3" ht="12.95" customHeight="1">
      <c r="B164" s="23" t="s">
        <v>8739</v>
      </c>
      <c r="C164" s="23" t="s">
        <v>8740</v>
      </c>
    </row>
    <row r="165" spans="2:3" ht="12.95" customHeight="1">
      <c r="B165" s="23" t="s">
        <v>8741</v>
      </c>
      <c r="C165" s="23" t="s">
        <v>8742</v>
      </c>
    </row>
    <row r="166" spans="2:3" ht="12.95" customHeight="1">
      <c r="B166" s="23" t="s">
        <v>8743</v>
      </c>
      <c r="C166" s="23" t="s">
        <v>8744</v>
      </c>
    </row>
    <row r="167" spans="2:3" ht="12.95" customHeight="1">
      <c r="B167" s="23" t="s">
        <v>8745</v>
      </c>
      <c r="C167" s="23" t="s">
        <v>8746</v>
      </c>
    </row>
    <row r="168" spans="2:3" ht="12.95" customHeight="1">
      <c r="B168" s="23" t="s">
        <v>8747</v>
      </c>
      <c r="C168" s="23" t="s">
        <v>6442</v>
      </c>
    </row>
    <row r="169" spans="2:3" ht="12.95" customHeight="1">
      <c r="B169" s="23" t="s">
        <v>8748</v>
      </c>
      <c r="C169" s="23" t="s">
        <v>8749</v>
      </c>
    </row>
    <row r="170" spans="2:3" ht="12.95" customHeight="1">
      <c r="B170" s="23" t="s">
        <v>8750</v>
      </c>
      <c r="C170" s="23" t="s">
        <v>8751</v>
      </c>
    </row>
    <row r="171" spans="2:3" ht="12.95" customHeight="1">
      <c r="B171" s="23" t="s">
        <v>8752</v>
      </c>
      <c r="C171" s="23" t="s">
        <v>7815</v>
      </c>
    </row>
    <row r="172" spans="2:3" ht="12.95" customHeight="1">
      <c r="B172" s="23" t="s">
        <v>8753</v>
      </c>
      <c r="C172" s="23" t="s">
        <v>8754</v>
      </c>
    </row>
    <row r="173" spans="2:3" ht="12.95" customHeight="1">
      <c r="B173" s="23" t="s">
        <v>8755</v>
      </c>
      <c r="C173" s="23" t="s">
        <v>8754</v>
      </c>
    </row>
    <row r="174" spans="2:3" ht="12.95" customHeight="1">
      <c r="B174" s="23" t="s">
        <v>8756</v>
      </c>
      <c r="C174" s="23" t="s">
        <v>8757</v>
      </c>
    </row>
    <row r="175" spans="2:3" ht="12.95" customHeight="1">
      <c r="B175" s="23" t="s">
        <v>8758</v>
      </c>
      <c r="C175" s="23" t="s">
        <v>8759</v>
      </c>
    </row>
    <row r="176" spans="2:3" ht="12.95" customHeight="1">
      <c r="B176" s="23" t="s">
        <v>8760</v>
      </c>
      <c r="C176" s="23" t="s">
        <v>8761</v>
      </c>
    </row>
    <row r="177" spans="2:3" ht="12.95" customHeight="1">
      <c r="B177" s="23" t="s">
        <v>8762</v>
      </c>
      <c r="C177" s="23" t="s">
        <v>8763</v>
      </c>
    </row>
    <row r="178" spans="2:3" ht="12.95" customHeight="1">
      <c r="B178" s="23" t="s">
        <v>8764</v>
      </c>
      <c r="C178" s="23" t="s">
        <v>8765</v>
      </c>
    </row>
    <row r="179" spans="2:3" ht="12.95" customHeight="1">
      <c r="B179" s="23" t="s">
        <v>8766</v>
      </c>
      <c r="C179" s="23" t="s">
        <v>8767</v>
      </c>
    </row>
    <row r="180" spans="2:3" ht="12.95" customHeight="1">
      <c r="B180" s="23" t="s">
        <v>8768</v>
      </c>
      <c r="C180" s="23" t="s">
        <v>8769</v>
      </c>
    </row>
    <row r="181" spans="2:3" ht="12.95" customHeight="1">
      <c r="B181" s="23" t="s">
        <v>8770</v>
      </c>
      <c r="C181" s="23" t="s">
        <v>8771</v>
      </c>
    </row>
  </sheetData>
  <autoFilter ref="B2:C2"/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J336"/>
  <sheetViews>
    <sheetView topLeftCell="A142" workbookViewId="0">
      <selection activeCell="G166" sqref="G166"/>
    </sheetView>
  </sheetViews>
  <sheetFormatPr defaultRowHeight="11.25"/>
  <cols>
    <col min="1" max="1" width="9" style="49"/>
    <col min="2" max="2" width="10.25" style="49" bestFit="1" customWidth="1"/>
    <col min="3" max="3" width="22.5" style="49" bestFit="1" customWidth="1"/>
    <col min="4" max="4" width="12.875" style="49" bestFit="1" customWidth="1"/>
    <col min="5" max="5" width="14.75" style="49" bestFit="1" customWidth="1"/>
    <col min="6" max="6" width="5.125" style="49" bestFit="1" customWidth="1"/>
    <col min="7" max="7" width="3.125" style="49" bestFit="1" customWidth="1"/>
    <col min="8" max="8" width="4.25" style="49" bestFit="1" customWidth="1"/>
    <col min="9" max="9" width="34.25" style="49" bestFit="1" customWidth="1"/>
    <col min="10" max="10" width="8.875" style="49" customWidth="1"/>
    <col min="11" max="16384" width="9" style="49"/>
  </cols>
  <sheetData>
    <row r="1" spans="2:10" ht="12" thickBot="1"/>
    <row r="2" spans="2:10" ht="12" thickBot="1">
      <c r="B2" s="52" t="s">
        <v>6489</v>
      </c>
      <c r="C2" s="53" t="s">
        <v>6501</v>
      </c>
      <c r="D2" s="53" t="s">
        <v>6502</v>
      </c>
      <c r="E2" s="53" t="s">
        <v>6503</v>
      </c>
      <c r="F2" s="53" t="s">
        <v>6504</v>
      </c>
      <c r="G2" s="53"/>
      <c r="H2" s="53" t="s">
        <v>6505</v>
      </c>
      <c r="I2" s="53" t="s">
        <v>6506</v>
      </c>
      <c r="J2" s="54"/>
    </row>
    <row r="3" spans="2:10" ht="13.5">
      <c r="B3" s="48" t="s">
        <v>7056</v>
      </c>
      <c r="C3" s="48" t="s">
        <v>7057</v>
      </c>
      <c r="D3" s="50" t="s">
        <v>2800</v>
      </c>
      <c r="E3" s="50" t="s">
        <v>6500</v>
      </c>
      <c r="F3" s="50" t="s">
        <v>5995</v>
      </c>
      <c r="G3" s="50"/>
      <c r="H3" s="50">
        <v>1</v>
      </c>
      <c r="I3" s="50" t="s">
        <v>2799</v>
      </c>
    </row>
    <row r="4" spans="2:10" ht="13.5">
      <c r="B4" s="48"/>
      <c r="C4" s="48"/>
      <c r="D4" s="51"/>
      <c r="E4" s="51"/>
      <c r="F4" s="51"/>
      <c r="G4" s="50"/>
      <c r="H4" s="51"/>
      <c r="I4" s="51"/>
    </row>
    <row r="5" spans="2:10" ht="13.5">
      <c r="B5" s="48"/>
      <c r="C5" s="48"/>
      <c r="D5" s="51"/>
      <c r="E5" s="51"/>
      <c r="F5" s="51"/>
      <c r="G5" s="51"/>
      <c r="H5" s="51"/>
      <c r="I5" s="51"/>
      <c r="J5" s="51"/>
    </row>
    <row r="6" spans="2:10" ht="13.5">
      <c r="B6" s="48" t="s">
        <v>7085</v>
      </c>
      <c r="C6" s="48" t="s">
        <v>7086</v>
      </c>
      <c r="D6" s="51" t="s">
        <v>2800</v>
      </c>
      <c r="E6" s="51" t="s">
        <v>6500</v>
      </c>
      <c r="F6" s="51" t="s">
        <v>5995</v>
      </c>
      <c r="G6" s="50"/>
      <c r="H6" s="51">
        <v>1</v>
      </c>
      <c r="I6" s="51" t="s">
        <v>2799</v>
      </c>
      <c r="J6" s="51"/>
    </row>
    <row r="7" spans="2:10" ht="13.5">
      <c r="B7" s="48" t="s">
        <v>7085</v>
      </c>
      <c r="C7" s="48" t="s">
        <v>7086</v>
      </c>
      <c r="D7" s="51" t="s">
        <v>7141</v>
      </c>
      <c r="E7" s="51" t="s">
        <v>6697</v>
      </c>
      <c r="F7" s="51" t="s">
        <v>5995</v>
      </c>
      <c r="G7" s="50"/>
      <c r="H7" s="51">
        <v>2</v>
      </c>
      <c r="I7" s="51" t="s">
        <v>7339</v>
      </c>
      <c r="J7" s="51"/>
    </row>
    <row r="8" spans="2:10" ht="13.5">
      <c r="B8" s="48" t="s">
        <v>7085</v>
      </c>
      <c r="C8" s="48" t="s">
        <v>7086</v>
      </c>
      <c r="D8" s="51" t="s">
        <v>7142</v>
      </c>
      <c r="E8" s="51" t="s">
        <v>6688</v>
      </c>
      <c r="F8" s="51" t="s">
        <v>5995</v>
      </c>
      <c r="G8" s="50"/>
      <c r="H8" s="51">
        <v>3</v>
      </c>
      <c r="I8" s="51" t="s">
        <v>7143</v>
      </c>
      <c r="J8" s="51"/>
    </row>
    <row r="9" spans="2:10" ht="13.5">
      <c r="B9" s="48"/>
      <c r="C9" s="48"/>
      <c r="D9" s="51"/>
      <c r="E9" s="51"/>
      <c r="F9" s="51"/>
      <c r="G9" s="51"/>
      <c r="H9" s="51"/>
      <c r="I9" s="51"/>
      <c r="J9" s="51"/>
    </row>
    <row r="10" spans="2:10" ht="13.5">
      <c r="B10" s="48" t="s">
        <v>7087</v>
      </c>
      <c r="C10" s="48" t="s">
        <v>7088</v>
      </c>
      <c r="D10" s="51" t="s">
        <v>2800</v>
      </c>
      <c r="E10" s="51" t="s">
        <v>6500</v>
      </c>
      <c r="F10" s="51" t="s">
        <v>5995</v>
      </c>
      <c r="G10" s="50"/>
      <c r="H10" s="51">
        <v>1</v>
      </c>
      <c r="I10" s="51" t="s">
        <v>2799</v>
      </c>
      <c r="J10" s="51"/>
    </row>
    <row r="11" spans="2:10" ht="13.5">
      <c r="B11" s="48" t="s">
        <v>7087</v>
      </c>
      <c r="C11" s="48" t="s">
        <v>7088</v>
      </c>
      <c r="D11" s="51" t="s">
        <v>7141</v>
      </c>
      <c r="E11" s="51" t="s">
        <v>6697</v>
      </c>
      <c r="F11" s="51" t="s">
        <v>5995</v>
      </c>
      <c r="G11" s="50"/>
      <c r="H11" s="51">
        <v>2</v>
      </c>
      <c r="I11" s="51" t="s">
        <v>7169</v>
      </c>
      <c r="J11" s="51"/>
    </row>
    <row r="12" spans="2:10" ht="13.5">
      <c r="B12" s="48" t="s">
        <v>7087</v>
      </c>
      <c r="C12" s="48" t="s">
        <v>7088</v>
      </c>
      <c r="D12" s="51" t="s">
        <v>7142</v>
      </c>
      <c r="E12" s="51" t="s">
        <v>6688</v>
      </c>
      <c r="F12" s="51" t="s">
        <v>5995</v>
      </c>
      <c r="G12" s="50"/>
      <c r="H12" s="51">
        <v>3</v>
      </c>
      <c r="I12" s="51" t="s">
        <v>7143</v>
      </c>
      <c r="J12" s="51"/>
    </row>
    <row r="13" spans="2:10" ht="13.5">
      <c r="B13" s="48"/>
      <c r="C13" s="48"/>
      <c r="D13" s="51"/>
      <c r="E13" s="51"/>
      <c r="F13" s="51"/>
      <c r="G13" s="51"/>
      <c r="H13" s="51"/>
      <c r="I13" s="51"/>
      <c r="J13" s="51"/>
    </row>
    <row r="14" spans="2:10" ht="13.5">
      <c r="B14" s="48" t="s">
        <v>7089</v>
      </c>
      <c r="C14" s="48" t="s">
        <v>7090</v>
      </c>
      <c r="D14" s="51" t="s">
        <v>2800</v>
      </c>
      <c r="E14" s="51" t="s">
        <v>6500</v>
      </c>
      <c r="F14" s="51" t="s">
        <v>5995</v>
      </c>
      <c r="G14" s="50"/>
      <c r="H14" s="51">
        <v>1</v>
      </c>
      <c r="I14" s="51" t="s">
        <v>2799</v>
      </c>
      <c r="J14" s="51"/>
    </row>
    <row r="15" spans="2:10" ht="13.5">
      <c r="B15" s="48" t="s">
        <v>7089</v>
      </c>
      <c r="C15" s="48" t="s">
        <v>7357</v>
      </c>
      <c r="D15" s="51" t="s">
        <v>7142</v>
      </c>
      <c r="E15" s="51" t="s">
        <v>6688</v>
      </c>
      <c r="F15" s="51" t="s">
        <v>5995</v>
      </c>
      <c r="G15" s="50"/>
      <c r="H15" s="51">
        <v>2</v>
      </c>
      <c r="I15" s="51" t="s">
        <v>7342</v>
      </c>
      <c r="J15" s="51"/>
    </row>
    <row r="16" spans="2:10" ht="13.5">
      <c r="B16" s="48" t="s">
        <v>7089</v>
      </c>
      <c r="C16" s="48" t="s">
        <v>7090</v>
      </c>
      <c r="D16" s="51" t="s">
        <v>4997</v>
      </c>
      <c r="E16" s="51" t="s">
        <v>7000</v>
      </c>
      <c r="F16" s="51" t="s">
        <v>5995</v>
      </c>
      <c r="G16" s="50"/>
      <c r="H16" s="51">
        <v>3</v>
      </c>
      <c r="I16" s="51" t="s">
        <v>4996</v>
      </c>
      <c r="J16" s="51"/>
    </row>
    <row r="17" spans="2:10" ht="13.5">
      <c r="B17" s="48"/>
      <c r="C17" s="48"/>
      <c r="D17" s="51"/>
      <c r="E17" s="51"/>
      <c r="F17" s="51"/>
      <c r="G17" s="51"/>
      <c r="H17" s="51"/>
      <c r="I17" s="51"/>
      <c r="J17" s="51"/>
    </row>
    <row r="18" spans="2:10" ht="13.5">
      <c r="B18" s="48"/>
      <c r="C18" s="48"/>
      <c r="D18" s="51"/>
      <c r="E18" s="51"/>
      <c r="F18" s="51"/>
      <c r="G18" s="51"/>
      <c r="H18" s="51"/>
      <c r="I18" s="51"/>
      <c r="J18" s="51"/>
    </row>
    <row r="20" spans="2:10" s="60" customFormat="1"/>
    <row r="22" spans="2:10" ht="13.5">
      <c r="B22" s="48" t="s">
        <v>7083</v>
      </c>
      <c r="C22" s="48" t="s">
        <v>7084</v>
      </c>
      <c r="D22" s="48" t="s">
        <v>2800</v>
      </c>
      <c r="E22" s="48" t="s">
        <v>6500</v>
      </c>
      <c r="F22" s="48" t="s">
        <v>5995</v>
      </c>
      <c r="G22" s="48" t="s">
        <v>8314</v>
      </c>
      <c r="H22" s="48">
        <v>1</v>
      </c>
      <c r="I22" s="48" t="s">
        <v>2799</v>
      </c>
      <c r="J22" s="51"/>
    </row>
    <row r="23" spans="2:10" ht="13.5">
      <c r="B23" s="48" t="s">
        <v>7083</v>
      </c>
      <c r="C23" s="48" t="s">
        <v>7084</v>
      </c>
      <c r="D23" s="91" t="s">
        <v>7141</v>
      </c>
      <c r="E23" s="91" t="s">
        <v>6697</v>
      </c>
      <c r="F23" s="91" t="s">
        <v>5995</v>
      </c>
      <c r="G23" s="48" t="s">
        <v>8314</v>
      </c>
      <c r="H23" s="91">
        <v>2</v>
      </c>
      <c r="I23" s="91" t="s">
        <v>7169</v>
      </c>
      <c r="J23" s="51"/>
    </row>
    <row r="24" spans="2:10" ht="13.5">
      <c r="B24" s="48" t="s">
        <v>7083</v>
      </c>
      <c r="C24" s="48" t="s">
        <v>7084</v>
      </c>
      <c r="D24" s="91" t="s">
        <v>7142</v>
      </c>
      <c r="E24" s="91" t="s">
        <v>6688</v>
      </c>
      <c r="F24" s="91" t="s">
        <v>5995</v>
      </c>
      <c r="G24" s="48" t="s">
        <v>8314</v>
      </c>
      <c r="H24" s="91">
        <v>3</v>
      </c>
      <c r="I24" s="91" t="s">
        <v>7143</v>
      </c>
      <c r="J24" s="51"/>
    </row>
    <row r="25" spans="2:10" ht="13.5">
      <c r="B25" s="48" t="s">
        <v>7083</v>
      </c>
      <c r="C25" s="48" t="s">
        <v>7084</v>
      </c>
      <c r="D25" s="50" t="s">
        <v>7144</v>
      </c>
      <c r="E25" s="50" t="s">
        <v>6697</v>
      </c>
      <c r="F25" s="50" t="s">
        <v>5977</v>
      </c>
      <c r="G25" s="50"/>
      <c r="H25" s="50">
        <v>4</v>
      </c>
      <c r="I25" s="50" t="s">
        <v>7145</v>
      </c>
    </row>
    <row r="26" spans="2:10" ht="13.5">
      <c r="B26" s="48" t="s">
        <v>7083</v>
      </c>
      <c r="C26" s="48" t="s">
        <v>7084</v>
      </c>
      <c r="D26" s="50" t="s">
        <v>7146</v>
      </c>
      <c r="E26" s="50" t="s">
        <v>6909</v>
      </c>
      <c r="F26" s="50" t="s">
        <v>5977</v>
      </c>
      <c r="G26" s="50"/>
      <c r="H26" s="50">
        <v>5</v>
      </c>
      <c r="I26" s="50" t="s">
        <v>7147</v>
      </c>
    </row>
    <row r="27" spans="2:10" ht="13.5">
      <c r="B27" s="48" t="s">
        <v>7083</v>
      </c>
      <c r="C27" s="48" t="s">
        <v>7084</v>
      </c>
      <c r="D27" s="50" t="s">
        <v>7148</v>
      </c>
      <c r="E27" s="50" t="s">
        <v>6590</v>
      </c>
      <c r="F27" s="50" t="s">
        <v>5977</v>
      </c>
      <c r="G27" s="50"/>
      <c r="H27" s="50">
        <v>6</v>
      </c>
      <c r="I27" s="50" t="s">
        <v>7149</v>
      </c>
    </row>
    <row r="28" spans="2:10" ht="13.5">
      <c r="B28" s="48" t="s">
        <v>7083</v>
      </c>
      <c r="C28" s="48" t="s">
        <v>7084</v>
      </c>
      <c r="D28" s="50" t="s">
        <v>7150</v>
      </c>
      <c r="E28" s="50" t="s">
        <v>6590</v>
      </c>
      <c r="F28" s="50" t="s">
        <v>5977</v>
      </c>
      <c r="G28" s="50"/>
      <c r="H28" s="50">
        <v>7</v>
      </c>
      <c r="I28" s="50" t="s">
        <v>7151</v>
      </c>
    </row>
    <row r="29" spans="2:10" ht="13.5">
      <c r="B29" s="48" t="s">
        <v>7083</v>
      </c>
      <c r="C29" s="48" t="s">
        <v>7084</v>
      </c>
      <c r="D29" s="50" t="s">
        <v>7152</v>
      </c>
      <c r="E29" s="50" t="s">
        <v>6590</v>
      </c>
      <c r="F29" s="50" t="s">
        <v>5977</v>
      </c>
      <c r="G29" s="50"/>
      <c r="H29" s="50">
        <v>8</v>
      </c>
      <c r="I29" s="50" t="s">
        <v>7153</v>
      </c>
    </row>
    <row r="30" spans="2:10" ht="13.5">
      <c r="B30" s="48" t="s">
        <v>7083</v>
      </c>
      <c r="C30" s="48" t="s">
        <v>7084</v>
      </c>
      <c r="D30" s="50" t="s">
        <v>7154</v>
      </c>
      <c r="E30" s="50" t="s">
        <v>6903</v>
      </c>
      <c r="F30" s="50" t="s">
        <v>5977</v>
      </c>
      <c r="G30" s="50"/>
      <c r="H30" s="50">
        <v>9</v>
      </c>
      <c r="I30" s="50" t="s">
        <v>7155</v>
      </c>
    </row>
    <row r="31" spans="2:10" ht="13.5">
      <c r="B31" s="48" t="s">
        <v>7083</v>
      </c>
      <c r="C31" s="48" t="s">
        <v>7084</v>
      </c>
      <c r="D31" s="50" t="s">
        <v>7156</v>
      </c>
      <c r="E31" s="50" t="s">
        <v>6688</v>
      </c>
      <c r="F31" s="50" t="s">
        <v>5977</v>
      </c>
      <c r="G31" s="50"/>
      <c r="H31" s="50">
        <v>10</v>
      </c>
      <c r="I31" s="50" t="s">
        <v>7157</v>
      </c>
    </row>
    <row r="32" spans="2:10" ht="13.5">
      <c r="B32" s="48" t="s">
        <v>7083</v>
      </c>
      <c r="C32" s="48" t="s">
        <v>7084</v>
      </c>
      <c r="D32" s="50" t="s">
        <v>6600</v>
      </c>
      <c r="E32" s="50" t="s">
        <v>6697</v>
      </c>
      <c r="F32" s="50" t="s">
        <v>5977</v>
      </c>
      <c r="G32" s="50"/>
      <c r="H32" s="50">
        <v>11</v>
      </c>
      <c r="I32" s="50" t="s">
        <v>6719</v>
      </c>
    </row>
    <row r="33" spans="2:9" ht="13.5">
      <c r="B33" s="48" t="s">
        <v>7083</v>
      </c>
      <c r="C33" s="48" t="s">
        <v>7084</v>
      </c>
      <c r="D33" s="50" t="s">
        <v>6908</v>
      </c>
      <c r="E33" s="50" t="s">
        <v>7158</v>
      </c>
      <c r="F33" s="50" t="s">
        <v>5977</v>
      </c>
      <c r="G33" s="50"/>
      <c r="H33" s="50">
        <v>12</v>
      </c>
      <c r="I33" s="50" t="s">
        <v>6910</v>
      </c>
    </row>
    <row r="34" spans="2:9" ht="13.5">
      <c r="B34" s="48" t="s">
        <v>7083</v>
      </c>
      <c r="C34" s="48" t="s">
        <v>7084</v>
      </c>
      <c r="D34" s="50" t="s">
        <v>6601</v>
      </c>
      <c r="E34" s="50" t="s">
        <v>6697</v>
      </c>
      <c r="F34" s="50" t="s">
        <v>5977</v>
      </c>
      <c r="G34" s="50"/>
      <c r="H34" s="50">
        <v>13</v>
      </c>
      <c r="I34" s="50" t="s">
        <v>6720</v>
      </c>
    </row>
    <row r="35" spans="2:9" ht="13.5">
      <c r="B35" s="48" t="s">
        <v>7083</v>
      </c>
      <c r="C35" s="48" t="s">
        <v>7084</v>
      </c>
      <c r="D35" s="50" t="s">
        <v>6911</v>
      </c>
      <c r="E35" s="50" t="s">
        <v>6903</v>
      </c>
      <c r="F35" s="50" t="s">
        <v>5977</v>
      </c>
      <c r="G35" s="50"/>
      <c r="H35" s="50">
        <v>14</v>
      </c>
      <c r="I35" s="50" t="s">
        <v>6912</v>
      </c>
    </row>
    <row r="36" spans="2:9" ht="13.5">
      <c r="B36" s="48" t="s">
        <v>7083</v>
      </c>
      <c r="C36" s="48" t="s">
        <v>7084</v>
      </c>
      <c r="D36" s="50" t="s">
        <v>6685</v>
      </c>
      <c r="E36" s="50" t="s">
        <v>6697</v>
      </c>
      <c r="F36" s="50" t="s">
        <v>5977</v>
      </c>
      <c r="G36" s="50"/>
      <c r="H36" s="50">
        <v>15</v>
      </c>
      <c r="I36" s="50" t="s">
        <v>7340</v>
      </c>
    </row>
    <row r="37" spans="2:9" ht="13.5">
      <c r="B37" s="48" t="s">
        <v>7083</v>
      </c>
      <c r="C37" s="48" t="s">
        <v>7084</v>
      </c>
      <c r="D37" s="50" t="s">
        <v>6913</v>
      </c>
      <c r="E37" s="50" t="s">
        <v>6909</v>
      </c>
      <c r="F37" s="50" t="s">
        <v>5977</v>
      </c>
      <c r="G37" s="50"/>
      <c r="H37" s="50">
        <v>16</v>
      </c>
      <c r="I37" s="50" t="s">
        <v>6914</v>
      </c>
    </row>
    <row r="38" spans="2:9" ht="13.5">
      <c r="B38" s="48" t="s">
        <v>7083</v>
      </c>
      <c r="C38" s="48" t="s">
        <v>7084</v>
      </c>
      <c r="D38" s="50" t="s">
        <v>6915</v>
      </c>
      <c r="E38" s="50" t="s">
        <v>6903</v>
      </c>
      <c r="F38" s="50" t="s">
        <v>5977</v>
      </c>
      <c r="G38" s="50"/>
      <c r="H38" s="50">
        <v>17</v>
      </c>
      <c r="I38" s="50" t="s">
        <v>6282</v>
      </c>
    </row>
    <row r="39" spans="2:9" ht="13.5">
      <c r="B39" s="48" t="s">
        <v>7083</v>
      </c>
      <c r="C39" s="48" t="s">
        <v>7084</v>
      </c>
      <c r="D39" s="50" t="s">
        <v>7159</v>
      </c>
      <c r="E39" s="50" t="s">
        <v>6697</v>
      </c>
      <c r="F39" s="50" t="s">
        <v>5977</v>
      </c>
      <c r="G39" s="50"/>
      <c r="H39" s="50">
        <v>18</v>
      </c>
      <c r="I39" s="50" t="s">
        <v>7160</v>
      </c>
    </row>
    <row r="40" spans="2:9" ht="13.5">
      <c r="B40" s="48" t="s">
        <v>7083</v>
      </c>
      <c r="C40" s="48" t="s">
        <v>7084</v>
      </c>
      <c r="D40" s="50" t="s">
        <v>7161</v>
      </c>
      <c r="E40" s="50" t="s">
        <v>6899</v>
      </c>
      <c r="F40" s="50" t="s">
        <v>5977</v>
      </c>
      <c r="G40" s="50"/>
      <c r="H40" s="50">
        <v>19</v>
      </c>
      <c r="I40" s="50" t="s">
        <v>7162</v>
      </c>
    </row>
    <row r="41" spans="2:9" ht="13.5">
      <c r="B41" s="48" t="s">
        <v>7083</v>
      </c>
      <c r="C41" s="48" t="s">
        <v>7084</v>
      </c>
      <c r="D41" s="50" t="s">
        <v>7163</v>
      </c>
      <c r="E41" s="50" t="s">
        <v>6697</v>
      </c>
      <c r="F41" s="50" t="s">
        <v>5977</v>
      </c>
      <c r="G41" s="50"/>
      <c r="H41" s="50">
        <v>20</v>
      </c>
      <c r="I41" s="50" t="s">
        <v>7164</v>
      </c>
    </row>
    <row r="42" spans="2:9" ht="13.5">
      <c r="B42" s="48" t="s">
        <v>7083</v>
      </c>
      <c r="C42" s="48" t="s">
        <v>7084</v>
      </c>
      <c r="D42" s="50" t="s">
        <v>7165</v>
      </c>
      <c r="E42" s="50" t="s">
        <v>7024</v>
      </c>
      <c r="F42" s="50" t="s">
        <v>5977</v>
      </c>
      <c r="G42" s="50"/>
      <c r="H42" s="50">
        <v>21</v>
      </c>
      <c r="I42" s="50" t="s">
        <v>6183</v>
      </c>
    </row>
    <row r="43" spans="2:9" ht="13.5">
      <c r="B43" s="48" t="s">
        <v>7083</v>
      </c>
      <c r="C43" s="48" t="s">
        <v>7084</v>
      </c>
      <c r="D43" s="50" t="s">
        <v>6904</v>
      </c>
      <c r="E43" s="50" t="s">
        <v>6571</v>
      </c>
      <c r="F43" s="50" t="s">
        <v>5977</v>
      </c>
      <c r="G43" s="50"/>
      <c r="H43" s="50">
        <v>22</v>
      </c>
      <c r="I43" s="50" t="s">
        <v>6905</v>
      </c>
    </row>
    <row r="44" spans="2:9" ht="13.5">
      <c r="B44" s="48" t="s">
        <v>7083</v>
      </c>
      <c r="C44" s="48" t="s">
        <v>7084</v>
      </c>
      <c r="D44" s="50" t="s">
        <v>6906</v>
      </c>
      <c r="E44" s="50" t="s">
        <v>6907</v>
      </c>
      <c r="F44" s="50" t="s">
        <v>5977</v>
      </c>
      <c r="G44" s="50"/>
      <c r="H44" s="50">
        <v>23</v>
      </c>
      <c r="I44" s="50" t="s">
        <v>549</v>
      </c>
    </row>
    <row r="45" spans="2:9" ht="13.5">
      <c r="B45" s="48" t="s">
        <v>7083</v>
      </c>
      <c r="C45" s="48" t="s">
        <v>7084</v>
      </c>
      <c r="D45" s="50" t="s">
        <v>4502</v>
      </c>
      <c r="E45" s="50" t="s">
        <v>7024</v>
      </c>
      <c r="F45" s="50" t="s">
        <v>5977</v>
      </c>
      <c r="G45" s="50"/>
      <c r="H45" s="50">
        <v>24</v>
      </c>
      <c r="I45" s="50" t="s">
        <v>4501</v>
      </c>
    </row>
    <row r="46" spans="2:9" ht="13.5">
      <c r="B46" s="48" t="s">
        <v>7083</v>
      </c>
      <c r="C46" s="48" t="s">
        <v>7084</v>
      </c>
      <c r="D46" s="50" t="s">
        <v>4997</v>
      </c>
      <c r="E46" s="50" t="s">
        <v>7000</v>
      </c>
      <c r="F46" s="50" t="s">
        <v>5977</v>
      </c>
      <c r="G46" s="50"/>
      <c r="H46" s="50">
        <v>25</v>
      </c>
      <c r="I46" s="50" t="s">
        <v>7166</v>
      </c>
    </row>
    <row r="47" spans="2:9" ht="13.5">
      <c r="B47" s="48" t="s">
        <v>7083</v>
      </c>
      <c r="C47" s="48" t="s">
        <v>7084</v>
      </c>
      <c r="D47" s="50" t="s">
        <v>7004</v>
      </c>
      <c r="E47" s="50" t="s">
        <v>6718</v>
      </c>
      <c r="F47" s="50" t="s">
        <v>5977</v>
      </c>
      <c r="G47" s="50"/>
      <c r="H47" s="50">
        <v>26</v>
      </c>
      <c r="I47" s="50" t="s">
        <v>2646</v>
      </c>
    </row>
    <row r="48" spans="2:9" ht="13.5">
      <c r="B48" s="48" t="s">
        <v>7083</v>
      </c>
      <c r="C48" s="48" t="s">
        <v>7084</v>
      </c>
      <c r="D48" s="50" t="s">
        <v>7005</v>
      </c>
      <c r="E48" s="50" t="s">
        <v>6688</v>
      </c>
      <c r="F48" s="50" t="s">
        <v>5977</v>
      </c>
      <c r="G48" s="50"/>
      <c r="H48" s="50">
        <v>27</v>
      </c>
      <c r="I48" s="50" t="s">
        <v>2589</v>
      </c>
    </row>
    <row r="49" spans="2:9" ht="13.5">
      <c r="B49" s="48" t="s">
        <v>7083</v>
      </c>
      <c r="C49" s="48" t="s">
        <v>7084</v>
      </c>
      <c r="D49" s="50" t="s">
        <v>7006</v>
      </c>
      <c r="E49" s="50" t="s">
        <v>6718</v>
      </c>
      <c r="F49" s="50" t="s">
        <v>5977</v>
      </c>
      <c r="G49" s="50"/>
      <c r="H49" s="50">
        <v>28</v>
      </c>
      <c r="I49" s="50" t="s">
        <v>5540</v>
      </c>
    </row>
    <row r="50" spans="2:9" ht="13.5">
      <c r="B50" s="48" t="s">
        <v>7083</v>
      </c>
      <c r="C50" s="48" t="s">
        <v>7084</v>
      </c>
      <c r="D50" s="50" t="s">
        <v>7007</v>
      </c>
      <c r="E50" s="50" t="s">
        <v>6688</v>
      </c>
      <c r="F50" s="50" t="s">
        <v>5977</v>
      </c>
      <c r="G50" s="50"/>
      <c r="H50" s="50">
        <v>29</v>
      </c>
      <c r="I50" s="50" t="s">
        <v>5521</v>
      </c>
    </row>
    <row r="51" spans="2:9" ht="13.5">
      <c r="B51" s="48" t="s">
        <v>7083</v>
      </c>
      <c r="C51" s="48" t="s">
        <v>7084</v>
      </c>
      <c r="D51" s="50" t="s">
        <v>7167</v>
      </c>
      <c r="E51" s="50" t="s">
        <v>6500</v>
      </c>
      <c r="F51" s="50" t="s">
        <v>5977</v>
      </c>
      <c r="G51" s="50"/>
      <c r="H51" s="50">
        <v>30</v>
      </c>
      <c r="I51" s="50" t="s">
        <v>7168</v>
      </c>
    </row>
    <row r="53" spans="2:9" ht="13.5">
      <c r="B53" s="48" t="s">
        <v>7085</v>
      </c>
      <c r="C53" s="48" t="s">
        <v>7086</v>
      </c>
      <c r="D53" s="50" t="s">
        <v>7144</v>
      </c>
      <c r="E53" s="50" t="s">
        <v>6697</v>
      </c>
      <c r="F53" s="50" t="s">
        <v>5977</v>
      </c>
      <c r="G53" s="50"/>
      <c r="H53" s="50">
        <v>4</v>
      </c>
      <c r="I53" s="50" t="s">
        <v>7145</v>
      </c>
    </row>
    <row r="54" spans="2:9" ht="13.5">
      <c r="B54" s="48" t="s">
        <v>7085</v>
      </c>
      <c r="C54" s="48" t="s">
        <v>7086</v>
      </c>
      <c r="D54" s="50" t="s">
        <v>7146</v>
      </c>
      <c r="E54" s="50" t="s">
        <v>6909</v>
      </c>
      <c r="F54" s="50" t="s">
        <v>5977</v>
      </c>
      <c r="G54" s="50"/>
      <c r="H54" s="50">
        <v>5</v>
      </c>
      <c r="I54" s="50" t="s">
        <v>7147</v>
      </c>
    </row>
    <row r="55" spans="2:9" ht="13.5">
      <c r="B55" s="48" t="s">
        <v>7085</v>
      </c>
      <c r="C55" s="48" t="s">
        <v>7086</v>
      </c>
      <c r="D55" s="50" t="s">
        <v>7148</v>
      </c>
      <c r="E55" s="50" t="s">
        <v>6590</v>
      </c>
      <c r="F55" s="50" t="s">
        <v>5977</v>
      </c>
      <c r="G55" s="50"/>
      <c r="H55" s="50">
        <v>6</v>
      </c>
      <c r="I55" s="50" t="s">
        <v>7149</v>
      </c>
    </row>
    <row r="56" spans="2:9" ht="13.5">
      <c r="B56" s="48" t="s">
        <v>7085</v>
      </c>
      <c r="C56" s="48" t="s">
        <v>7086</v>
      </c>
      <c r="D56" s="50" t="s">
        <v>7150</v>
      </c>
      <c r="E56" s="50" t="s">
        <v>6590</v>
      </c>
      <c r="F56" s="50" t="s">
        <v>5977</v>
      </c>
      <c r="G56" s="50"/>
      <c r="H56" s="50">
        <v>7</v>
      </c>
      <c r="I56" s="50" t="s">
        <v>7151</v>
      </c>
    </row>
    <row r="57" spans="2:9" ht="13.5">
      <c r="B57" s="48" t="s">
        <v>7085</v>
      </c>
      <c r="C57" s="48" t="s">
        <v>7086</v>
      </c>
      <c r="D57" s="50" t="s">
        <v>7152</v>
      </c>
      <c r="E57" s="50" t="s">
        <v>6590</v>
      </c>
      <c r="F57" s="50" t="s">
        <v>5977</v>
      </c>
      <c r="G57" s="50"/>
      <c r="H57" s="50">
        <v>8</v>
      </c>
      <c r="I57" s="50" t="s">
        <v>7153</v>
      </c>
    </row>
    <row r="58" spans="2:9" ht="13.5">
      <c r="B58" s="48" t="s">
        <v>7085</v>
      </c>
      <c r="C58" s="48" t="s">
        <v>7086</v>
      </c>
      <c r="D58" s="50" t="s">
        <v>7154</v>
      </c>
      <c r="E58" s="50" t="s">
        <v>6903</v>
      </c>
      <c r="F58" s="50" t="s">
        <v>5977</v>
      </c>
      <c r="G58" s="50"/>
      <c r="H58" s="50">
        <v>9</v>
      </c>
      <c r="I58" s="50" t="s">
        <v>7155</v>
      </c>
    </row>
    <row r="59" spans="2:9" ht="13.5">
      <c r="B59" s="48" t="s">
        <v>7085</v>
      </c>
      <c r="C59" s="48" t="s">
        <v>7086</v>
      </c>
      <c r="D59" s="50" t="s">
        <v>7156</v>
      </c>
      <c r="E59" s="50" t="s">
        <v>6688</v>
      </c>
      <c r="F59" s="50" t="s">
        <v>5977</v>
      </c>
      <c r="G59" s="50"/>
      <c r="H59" s="50">
        <v>10</v>
      </c>
      <c r="I59" s="50" t="s">
        <v>7157</v>
      </c>
    </row>
    <row r="60" spans="2:9" ht="13.5">
      <c r="B60" s="48" t="s">
        <v>7085</v>
      </c>
      <c r="C60" s="48" t="s">
        <v>7086</v>
      </c>
      <c r="D60" s="50" t="s">
        <v>6600</v>
      </c>
      <c r="E60" s="50" t="s">
        <v>6697</v>
      </c>
      <c r="F60" s="50" t="s">
        <v>5977</v>
      </c>
      <c r="G60" s="50"/>
      <c r="H60" s="50">
        <v>11</v>
      </c>
      <c r="I60" s="50" t="s">
        <v>6719</v>
      </c>
    </row>
    <row r="61" spans="2:9" ht="13.5">
      <c r="B61" s="48" t="s">
        <v>7085</v>
      </c>
      <c r="C61" s="48" t="s">
        <v>7086</v>
      </c>
      <c r="D61" s="50" t="s">
        <v>6908</v>
      </c>
      <c r="E61" s="50" t="s">
        <v>7158</v>
      </c>
      <c r="F61" s="50" t="s">
        <v>5977</v>
      </c>
      <c r="G61" s="50"/>
      <c r="H61" s="50">
        <v>12</v>
      </c>
      <c r="I61" s="50" t="s">
        <v>6910</v>
      </c>
    </row>
    <row r="62" spans="2:9" ht="13.5">
      <c r="B62" s="48" t="s">
        <v>7085</v>
      </c>
      <c r="C62" s="48" t="s">
        <v>7086</v>
      </c>
      <c r="D62" s="50" t="s">
        <v>6601</v>
      </c>
      <c r="E62" s="50" t="s">
        <v>6697</v>
      </c>
      <c r="F62" s="50" t="s">
        <v>5977</v>
      </c>
      <c r="G62" s="50"/>
      <c r="H62" s="50">
        <v>13</v>
      </c>
      <c r="I62" s="50" t="s">
        <v>6720</v>
      </c>
    </row>
    <row r="63" spans="2:9" ht="13.5">
      <c r="B63" s="48" t="s">
        <v>7085</v>
      </c>
      <c r="C63" s="48" t="s">
        <v>7086</v>
      </c>
      <c r="D63" s="50" t="s">
        <v>6911</v>
      </c>
      <c r="E63" s="50" t="s">
        <v>6903</v>
      </c>
      <c r="F63" s="50" t="s">
        <v>5977</v>
      </c>
      <c r="G63" s="50"/>
      <c r="H63" s="50">
        <v>14</v>
      </c>
      <c r="I63" s="50" t="s">
        <v>6912</v>
      </c>
    </row>
    <row r="64" spans="2:9" ht="13.5">
      <c r="B64" s="48" t="s">
        <v>7085</v>
      </c>
      <c r="C64" s="48" t="s">
        <v>7086</v>
      </c>
      <c r="D64" s="50" t="s">
        <v>6685</v>
      </c>
      <c r="E64" s="50" t="s">
        <v>6697</v>
      </c>
      <c r="F64" s="50" t="s">
        <v>5977</v>
      </c>
      <c r="G64" s="50"/>
      <c r="H64" s="50">
        <v>15</v>
      </c>
      <c r="I64" s="50" t="s">
        <v>6171</v>
      </c>
    </row>
    <row r="65" spans="2:9" ht="13.5">
      <c r="B65" s="48" t="s">
        <v>7085</v>
      </c>
      <c r="C65" s="48" t="s">
        <v>7086</v>
      </c>
      <c r="D65" s="50" t="s">
        <v>6913</v>
      </c>
      <c r="E65" s="50" t="s">
        <v>6909</v>
      </c>
      <c r="F65" s="50" t="s">
        <v>5977</v>
      </c>
      <c r="G65" s="50"/>
      <c r="H65" s="50">
        <v>16</v>
      </c>
      <c r="I65" s="50" t="s">
        <v>6914</v>
      </c>
    </row>
    <row r="66" spans="2:9" ht="13.5">
      <c r="B66" s="48" t="s">
        <v>7085</v>
      </c>
      <c r="C66" s="48" t="s">
        <v>7086</v>
      </c>
      <c r="D66" s="50" t="s">
        <v>6915</v>
      </c>
      <c r="E66" s="50" t="s">
        <v>6903</v>
      </c>
      <c r="F66" s="50" t="s">
        <v>5977</v>
      </c>
      <c r="G66" s="50"/>
      <c r="H66" s="50">
        <v>17</v>
      </c>
      <c r="I66" s="50" t="s">
        <v>6282</v>
      </c>
    </row>
    <row r="67" spans="2:9" ht="13.5">
      <c r="B67" s="48" t="s">
        <v>7085</v>
      </c>
      <c r="C67" s="48" t="s">
        <v>7086</v>
      </c>
      <c r="D67" s="50" t="s">
        <v>7159</v>
      </c>
      <c r="E67" s="50" t="s">
        <v>6697</v>
      </c>
      <c r="F67" s="50" t="s">
        <v>5977</v>
      </c>
      <c r="G67" s="50"/>
      <c r="H67" s="50">
        <v>18</v>
      </c>
      <c r="I67" s="50" t="s">
        <v>7160</v>
      </c>
    </row>
    <row r="68" spans="2:9" ht="13.5">
      <c r="B68" s="48" t="s">
        <v>7085</v>
      </c>
      <c r="C68" s="48" t="s">
        <v>7086</v>
      </c>
      <c r="D68" s="50" t="s">
        <v>7161</v>
      </c>
      <c r="E68" s="50" t="s">
        <v>6899</v>
      </c>
      <c r="F68" s="50" t="s">
        <v>5977</v>
      </c>
      <c r="G68" s="50"/>
      <c r="H68" s="50">
        <v>19</v>
      </c>
      <c r="I68" s="50" t="s">
        <v>7162</v>
      </c>
    </row>
    <row r="69" spans="2:9" ht="13.5">
      <c r="B69" s="48" t="s">
        <v>7085</v>
      </c>
      <c r="C69" s="48" t="s">
        <v>7086</v>
      </c>
      <c r="D69" s="50" t="s">
        <v>7163</v>
      </c>
      <c r="E69" s="50" t="s">
        <v>6697</v>
      </c>
      <c r="F69" s="50" t="s">
        <v>5977</v>
      </c>
      <c r="G69" s="50"/>
      <c r="H69" s="50">
        <v>20</v>
      </c>
      <c r="I69" s="50" t="s">
        <v>7164</v>
      </c>
    </row>
    <row r="70" spans="2:9" ht="13.5">
      <c r="B70" s="48" t="s">
        <v>7085</v>
      </c>
      <c r="C70" s="48" t="s">
        <v>7086</v>
      </c>
      <c r="D70" s="50" t="s">
        <v>7165</v>
      </c>
      <c r="E70" s="50" t="s">
        <v>7024</v>
      </c>
      <c r="F70" s="50" t="s">
        <v>5977</v>
      </c>
      <c r="G70" s="50"/>
      <c r="H70" s="50">
        <v>21</v>
      </c>
      <c r="I70" s="50" t="s">
        <v>6183</v>
      </c>
    </row>
    <row r="71" spans="2:9" ht="13.5">
      <c r="B71" s="48" t="s">
        <v>7085</v>
      </c>
      <c r="C71" s="48" t="s">
        <v>7086</v>
      </c>
      <c r="D71" s="50" t="s">
        <v>6904</v>
      </c>
      <c r="E71" s="50" t="s">
        <v>6571</v>
      </c>
      <c r="F71" s="50" t="s">
        <v>5977</v>
      </c>
      <c r="G71" s="50"/>
      <c r="H71" s="50">
        <v>22</v>
      </c>
      <c r="I71" s="50" t="s">
        <v>6905</v>
      </c>
    </row>
    <row r="72" spans="2:9" ht="13.5">
      <c r="B72" s="48" t="s">
        <v>7085</v>
      </c>
      <c r="C72" s="48" t="s">
        <v>7086</v>
      </c>
      <c r="D72" s="50" t="s">
        <v>6906</v>
      </c>
      <c r="E72" s="50" t="s">
        <v>6907</v>
      </c>
      <c r="F72" s="50" t="s">
        <v>5977</v>
      </c>
      <c r="G72" s="50"/>
      <c r="H72" s="50">
        <v>23</v>
      </c>
      <c r="I72" s="50" t="s">
        <v>549</v>
      </c>
    </row>
    <row r="73" spans="2:9" ht="13.5">
      <c r="B73" s="48" t="s">
        <v>7085</v>
      </c>
      <c r="C73" s="48" t="s">
        <v>7086</v>
      </c>
      <c r="D73" s="50" t="s">
        <v>7302</v>
      </c>
      <c r="E73" s="50" t="s">
        <v>6688</v>
      </c>
      <c r="F73" s="50" t="s">
        <v>5977</v>
      </c>
      <c r="G73" s="50"/>
      <c r="H73" s="50">
        <v>24</v>
      </c>
      <c r="I73" s="50" t="s">
        <v>7303</v>
      </c>
    </row>
    <row r="74" spans="2:9" ht="13.5">
      <c r="B74" s="48" t="s">
        <v>7085</v>
      </c>
      <c r="C74" s="48" t="s">
        <v>7086</v>
      </c>
      <c r="D74" s="50" t="s">
        <v>7304</v>
      </c>
      <c r="E74" s="50" t="s">
        <v>6688</v>
      </c>
      <c r="F74" s="50" t="s">
        <v>5977</v>
      </c>
      <c r="G74" s="50"/>
      <c r="H74" s="50">
        <v>25</v>
      </c>
      <c r="I74" s="50" t="s">
        <v>7305</v>
      </c>
    </row>
    <row r="75" spans="2:9" ht="13.5">
      <c r="B75" s="48" t="s">
        <v>7085</v>
      </c>
      <c r="C75" s="48" t="s">
        <v>7086</v>
      </c>
      <c r="D75" s="50" t="s">
        <v>6933</v>
      </c>
      <c r="E75" s="50" t="s">
        <v>6713</v>
      </c>
      <c r="F75" s="50" t="s">
        <v>5977</v>
      </c>
      <c r="G75" s="50"/>
      <c r="H75" s="50">
        <v>26</v>
      </c>
      <c r="I75" s="50" t="s">
        <v>7306</v>
      </c>
    </row>
    <row r="76" spans="2:9" ht="13.5">
      <c r="B76" s="48" t="s">
        <v>7085</v>
      </c>
      <c r="C76" s="48" t="s">
        <v>7086</v>
      </c>
      <c r="D76" s="50" t="s">
        <v>4997</v>
      </c>
      <c r="E76" s="50" t="s">
        <v>7000</v>
      </c>
      <c r="F76" s="50" t="s">
        <v>5977</v>
      </c>
      <c r="G76" s="50"/>
      <c r="H76" s="50">
        <v>27</v>
      </c>
      <c r="I76" s="50" t="s">
        <v>7166</v>
      </c>
    </row>
    <row r="77" spans="2:9" ht="13.5">
      <c r="B77" s="48" t="s">
        <v>7085</v>
      </c>
      <c r="C77" s="48" t="s">
        <v>7086</v>
      </c>
      <c r="D77" s="50" t="s">
        <v>4502</v>
      </c>
      <c r="E77" s="50" t="s">
        <v>7024</v>
      </c>
      <c r="F77" s="50" t="s">
        <v>5977</v>
      </c>
      <c r="G77" s="50"/>
      <c r="H77" s="50">
        <v>28</v>
      </c>
      <c r="I77" s="50" t="s">
        <v>4501</v>
      </c>
    </row>
    <row r="78" spans="2:9" ht="13.5">
      <c r="B78" s="48" t="s">
        <v>7085</v>
      </c>
      <c r="C78" s="48" t="s">
        <v>7086</v>
      </c>
      <c r="D78" s="50" t="s">
        <v>7307</v>
      </c>
      <c r="E78" s="50" t="s">
        <v>6713</v>
      </c>
      <c r="F78" s="50" t="s">
        <v>5977</v>
      </c>
      <c r="G78" s="50" t="s">
        <v>7308</v>
      </c>
      <c r="H78" s="50">
        <v>29</v>
      </c>
      <c r="I78" s="50" t="s">
        <v>7309</v>
      </c>
    </row>
    <row r="79" spans="2:9" ht="13.5">
      <c r="B79" s="48" t="s">
        <v>7085</v>
      </c>
      <c r="C79" s="48" t="s">
        <v>7086</v>
      </c>
      <c r="D79" s="50" t="s">
        <v>7004</v>
      </c>
      <c r="E79" s="50" t="s">
        <v>6718</v>
      </c>
      <c r="F79" s="50" t="s">
        <v>5977</v>
      </c>
      <c r="G79" s="50"/>
      <c r="H79" s="50">
        <v>30</v>
      </c>
      <c r="I79" s="50" t="s">
        <v>2646</v>
      </c>
    </row>
    <row r="80" spans="2:9" ht="13.5">
      <c r="B80" s="48" t="s">
        <v>7085</v>
      </c>
      <c r="C80" s="48" t="s">
        <v>7086</v>
      </c>
      <c r="D80" s="50" t="s">
        <v>7005</v>
      </c>
      <c r="E80" s="50" t="s">
        <v>6688</v>
      </c>
      <c r="F80" s="50" t="s">
        <v>5977</v>
      </c>
      <c r="G80" s="50"/>
      <c r="H80" s="50">
        <v>31</v>
      </c>
      <c r="I80" s="50" t="s">
        <v>2589</v>
      </c>
    </row>
    <row r="81" spans="2:9" ht="13.5">
      <c r="B81" s="48" t="s">
        <v>7085</v>
      </c>
      <c r="C81" s="48" t="s">
        <v>7086</v>
      </c>
      <c r="D81" s="50" t="s">
        <v>7006</v>
      </c>
      <c r="E81" s="50" t="s">
        <v>6718</v>
      </c>
      <c r="F81" s="50" t="s">
        <v>5977</v>
      </c>
      <c r="G81" s="50"/>
      <c r="H81" s="50">
        <v>32</v>
      </c>
      <c r="I81" s="50" t="s">
        <v>5540</v>
      </c>
    </row>
    <row r="82" spans="2:9" ht="13.5">
      <c r="B82" s="48" t="s">
        <v>7085</v>
      </c>
      <c r="C82" s="48" t="s">
        <v>7086</v>
      </c>
      <c r="D82" s="50" t="s">
        <v>7007</v>
      </c>
      <c r="E82" s="50" t="s">
        <v>6688</v>
      </c>
      <c r="F82" s="50" t="s">
        <v>5977</v>
      </c>
      <c r="G82" s="50"/>
      <c r="H82" s="50">
        <v>33</v>
      </c>
      <c r="I82" s="50" t="s">
        <v>5521</v>
      </c>
    </row>
    <row r="83" spans="2:9" ht="13.5">
      <c r="B83" s="48" t="s">
        <v>7085</v>
      </c>
      <c r="C83" s="48" t="s">
        <v>7086</v>
      </c>
      <c r="D83" s="50" t="s">
        <v>7167</v>
      </c>
      <c r="E83" s="50" t="s">
        <v>6500</v>
      </c>
      <c r="F83" s="50" t="s">
        <v>5977</v>
      </c>
      <c r="G83" s="50"/>
      <c r="H83" s="50">
        <v>34</v>
      </c>
      <c r="I83" s="50" t="s">
        <v>7168</v>
      </c>
    </row>
    <row r="84" spans="2:9" ht="13.5">
      <c r="B84" s="48" t="s">
        <v>7085</v>
      </c>
      <c r="C84" s="48" t="s">
        <v>7086</v>
      </c>
      <c r="D84" s="50" t="s">
        <v>6927</v>
      </c>
      <c r="E84" s="50" t="s">
        <v>6713</v>
      </c>
      <c r="F84" s="50" t="s">
        <v>5977</v>
      </c>
      <c r="G84" s="50"/>
      <c r="H84" s="50">
        <v>35</v>
      </c>
      <c r="I84" s="50" t="s">
        <v>7310</v>
      </c>
    </row>
    <row r="85" spans="2:9" ht="13.5">
      <c r="B85" s="48" t="s">
        <v>7085</v>
      </c>
      <c r="C85" s="48" t="s">
        <v>7086</v>
      </c>
      <c r="D85" s="50" t="s">
        <v>7311</v>
      </c>
      <c r="E85" s="50" t="s">
        <v>6688</v>
      </c>
      <c r="F85" s="50" t="s">
        <v>5977</v>
      </c>
      <c r="G85" s="50"/>
      <c r="H85" s="50">
        <v>36</v>
      </c>
      <c r="I85" s="50" t="s">
        <v>7312</v>
      </c>
    </row>
    <row r="86" spans="2:9" ht="13.5">
      <c r="B86" s="48" t="s">
        <v>7085</v>
      </c>
      <c r="C86" s="48" t="s">
        <v>7086</v>
      </c>
      <c r="D86" s="50" t="s">
        <v>7313</v>
      </c>
      <c r="E86" s="50" t="s">
        <v>6688</v>
      </c>
      <c r="F86" s="50" t="s">
        <v>5977</v>
      </c>
      <c r="G86" s="50"/>
      <c r="H86" s="50">
        <v>37</v>
      </c>
      <c r="I86" s="50" t="s">
        <v>7314</v>
      </c>
    </row>
    <row r="87" spans="2:9" ht="13.5">
      <c r="B87" s="48" t="s">
        <v>7085</v>
      </c>
      <c r="C87" s="48" t="s">
        <v>7086</v>
      </c>
      <c r="D87" s="50" t="s">
        <v>7315</v>
      </c>
      <c r="E87" s="50" t="s">
        <v>6688</v>
      </c>
      <c r="F87" s="50" t="s">
        <v>5977</v>
      </c>
      <c r="G87" s="50"/>
      <c r="H87" s="50">
        <v>38</v>
      </c>
      <c r="I87" s="50" t="s">
        <v>7316</v>
      </c>
    </row>
    <row r="88" spans="2:9" ht="13.5">
      <c r="B88" s="48" t="s">
        <v>7085</v>
      </c>
      <c r="C88" s="48" t="s">
        <v>7086</v>
      </c>
      <c r="D88" s="50" t="s">
        <v>7317</v>
      </c>
      <c r="E88" s="50" t="s">
        <v>6907</v>
      </c>
      <c r="F88" s="50" t="s">
        <v>5977</v>
      </c>
      <c r="G88" s="50"/>
      <c r="H88" s="50">
        <v>39</v>
      </c>
      <c r="I88" s="50" t="s">
        <v>7318</v>
      </c>
    </row>
    <row r="89" spans="2:9" ht="13.5">
      <c r="B89" s="48" t="s">
        <v>7085</v>
      </c>
      <c r="C89" s="48" t="s">
        <v>7086</v>
      </c>
      <c r="D89" s="50" t="s">
        <v>7319</v>
      </c>
      <c r="E89" s="50" t="s">
        <v>6697</v>
      </c>
      <c r="F89" s="50" t="s">
        <v>5977</v>
      </c>
      <c r="G89" s="50"/>
      <c r="H89" s="50">
        <v>40</v>
      </c>
      <c r="I89" s="50" t="s">
        <v>7320</v>
      </c>
    </row>
    <row r="90" spans="2:9" ht="13.5">
      <c r="B90" s="48" t="s">
        <v>7085</v>
      </c>
      <c r="C90" s="48" t="s">
        <v>7086</v>
      </c>
      <c r="D90" s="50" t="s">
        <v>7321</v>
      </c>
      <c r="E90" s="50" t="s">
        <v>7158</v>
      </c>
      <c r="F90" s="50" t="s">
        <v>5977</v>
      </c>
      <c r="G90" s="50"/>
      <c r="H90" s="50">
        <v>41</v>
      </c>
      <c r="I90" s="50" t="s">
        <v>7322</v>
      </c>
    </row>
    <row r="91" spans="2:9" ht="13.5">
      <c r="B91" s="48" t="s">
        <v>7085</v>
      </c>
      <c r="C91" s="48" t="s">
        <v>7086</v>
      </c>
      <c r="D91" s="50" t="s">
        <v>7323</v>
      </c>
      <c r="E91" s="50" t="s">
        <v>6697</v>
      </c>
      <c r="F91" s="50" t="s">
        <v>5977</v>
      </c>
      <c r="G91" s="50"/>
      <c r="H91" s="50">
        <v>42</v>
      </c>
      <c r="I91" s="50" t="s">
        <v>7324</v>
      </c>
    </row>
    <row r="92" spans="2:9" ht="13.5">
      <c r="B92" s="48" t="s">
        <v>7085</v>
      </c>
      <c r="C92" s="48" t="s">
        <v>7086</v>
      </c>
      <c r="D92" s="50" t="s">
        <v>7325</v>
      </c>
      <c r="E92" s="50" t="s">
        <v>6903</v>
      </c>
      <c r="F92" s="50" t="s">
        <v>5977</v>
      </c>
      <c r="G92" s="50"/>
      <c r="H92" s="50">
        <v>43</v>
      </c>
      <c r="I92" s="50" t="s">
        <v>7326</v>
      </c>
    </row>
    <row r="93" spans="2:9" ht="13.5">
      <c r="B93" s="48" t="s">
        <v>7085</v>
      </c>
      <c r="C93" s="48" t="s">
        <v>7086</v>
      </c>
      <c r="D93" s="50" t="s">
        <v>7327</v>
      </c>
      <c r="E93" s="50" t="s">
        <v>6697</v>
      </c>
      <c r="F93" s="50" t="s">
        <v>5977</v>
      </c>
      <c r="G93" s="50"/>
      <c r="H93" s="50">
        <v>44</v>
      </c>
      <c r="I93" s="50" t="s">
        <v>7328</v>
      </c>
    </row>
    <row r="94" spans="2:9" ht="13.5">
      <c r="B94" s="48" t="s">
        <v>7085</v>
      </c>
      <c r="C94" s="48" t="s">
        <v>7086</v>
      </c>
      <c r="D94" s="50" t="s">
        <v>7329</v>
      </c>
      <c r="E94" s="50" t="s">
        <v>6909</v>
      </c>
      <c r="F94" s="50" t="s">
        <v>5977</v>
      </c>
      <c r="G94" s="50"/>
      <c r="H94" s="50">
        <v>45</v>
      </c>
      <c r="I94" s="50" t="s">
        <v>7330</v>
      </c>
    </row>
    <row r="95" spans="2:9" ht="13.5">
      <c r="B95" s="48" t="s">
        <v>7085</v>
      </c>
      <c r="C95" s="48" t="s">
        <v>7086</v>
      </c>
      <c r="D95" s="50" t="s">
        <v>7331</v>
      </c>
      <c r="E95" s="50" t="s">
        <v>6697</v>
      </c>
      <c r="F95" s="50" t="s">
        <v>5977</v>
      </c>
      <c r="G95" s="50"/>
      <c r="H95" s="50">
        <v>46</v>
      </c>
      <c r="I95" s="50" t="s">
        <v>7332</v>
      </c>
    </row>
    <row r="96" spans="2:9" ht="13.5">
      <c r="B96" s="48" t="s">
        <v>7085</v>
      </c>
      <c r="C96" s="48" t="s">
        <v>7086</v>
      </c>
      <c r="D96" s="50" t="s">
        <v>7333</v>
      </c>
      <c r="E96" s="50" t="s">
        <v>6899</v>
      </c>
      <c r="F96" s="50" t="s">
        <v>5977</v>
      </c>
      <c r="G96" s="50"/>
      <c r="H96" s="50">
        <v>47</v>
      </c>
      <c r="I96" s="50" t="s">
        <v>7334</v>
      </c>
    </row>
    <row r="97" spans="2:9" ht="13.5">
      <c r="B97" s="48" t="s">
        <v>7085</v>
      </c>
      <c r="C97" s="48" t="s">
        <v>7086</v>
      </c>
      <c r="D97" s="50" t="s">
        <v>7335</v>
      </c>
      <c r="E97" s="50" t="s">
        <v>6571</v>
      </c>
      <c r="F97" s="50" t="s">
        <v>5977</v>
      </c>
      <c r="G97" s="50"/>
      <c r="H97" s="50">
        <v>48</v>
      </c>
      <c r="I97" s="50" t="s">
        <v>7336</v>
      </c>
    </row>
    <row r="98" spans="2:9" ht="13.5">
      <c r="B98" s="48" t="s">
        <v>7085</v>
      </c>
      <c r="C98" s="48" t="s">
        <v>7086</v>
      </c>
      <c r="D98" s="50" t="s">
        <v>7337</v>
      </c>
      <c r="E98" s="50" t="s">
        <v>6907</v>
      </c>
      <c r="F98" s="50" t="s">
        <v>5977</v>
      </c>
      <c r="G98" s="50"/>
      <c r="H98" s="50">
        <v>49</v>
      </c>
      <c r="I98" s="50" t="s">
        <v>7338</v>
      </c>
    </row>
    <row r="100" spans="2:9" ht="13.5">
      <c r="B100" s="48" t="s">
        <v>7089</v>
      </c>
      <c r="C100" s="48" t="s">
        <v>7090</v>
      </c>
      <c r="D100" s="50" t="s">
        <v>6600</v>
      </c>
      <c r="E100" s="50" t="s">
        <v>6697</v>
      </c>
      <c r="F100" s="50" t="s">
        <v>5977</v>
      </c>
      <c r="G100" s="50"/>
      <c r="H100" s="50">
        <v>4</v>
      </c>
      <c r="I100" s="50" t="s">
        <v>6719</v>
      </c>
    </row>
    <row r="101" spans="2:9" ht="13.5">
      <c r="B101" s="48" t="s">
        <v>7089</v>
      </c>
      <c r="C101" s="48" t="s">
        <v>7090</v>
      </c>
      <c r="D101" s="50" t="s">
        <v>6908</v>
      </c>
      <c r="E101" s="50" t="s">
        <v>7158</v>
      </c>
      <c r="F101" s="50" t="s">
        <v>5977</v>
      </c>
      <c r="G101" s="50"/>
      <c r="H101" s="50">
        <v>5</v>
      </c>
      <c r="I101" s="50" t="s">
        <v>6910</v>
      </c>
    </row>
    <row r="102" spans="2:9" ht="13.5">
      <c r="B102" s="48" t="s">
        <v>7089</v>
      </c>
      <c r="C102" s="48" t="s">
        <v>7090</v>
      </c>
      <c r="D102" s="50" t="s">
        <v>6601</v>
      </c>
      <c r="E102" s="50" t="s">
        <v>6697</v>
      </c>
      <c r="F102" s="50" t="s">
        <v>5977</v>
      </c>
      <c r="G102" s="50"/>
      <c r="H102" s="50">
        <v>6</v>
      </c>
      <c r="I102" s="50" t="s">
        <v>6720</v>
      </c>
    </row>
    <row r="103" spans="2:9" ht="13.5">
      <c r="B103" s="48" t="s">
        <v>7089</v>
      </c>
      <c r="C103" s="48" t="s">
        <v>7090</v>
      </c>
      <c r="D103" s="50" t="s">
        <v>6911</v>
      </c>
      <c r="E103" s="50" t="s">
        <v>6903</v>
      </c>
      <c r="F103" s="50" t="s">
        <v>5977</v>
      </c>
      <c r="G103" s="50"/>
      <c r="H103" s="50">
        <v>7</v>
      </c>
      <c r="I103" s="50" t="s">
        <v>6912</v>
      </c>
    </row>
    <row r="104" spans="2:9" ht="13.5">
      <c r="B104" s="48" t="s">
        <v>7089</v>
      </c>
      <c r="C104" s="48" t="s">
        <v>7090</v>
      </c>
      <c r="D104" s="50" t="s">
        <v>6685</v>
      </c>
      <c r="E104" s="50" t="s">
        <v>6697</v>
      </c>
      <c r="F104" s="50" t="s">
        <v>5977</v>
      </c>
      <c r="G104" s="50"/>
      <c r="H104" s="50">
        <v>8</v>
      </c>
      <c r="I104" s="50" t="s">
        <v>6171</v>
      </c>
    </row>
    <row r="105" spans="2:9" ht="13.5">
      <c r="B105" s="48" t="s">
        <v>7089</v>
      </c>
      <c r="C105" s="48" t="s">
        <v>7090</v>
      </c>
      <c r="D105" s="50" t="s">
        <v>6913</v>
      </c>
      <c r="E105" s="50" t="s">
        <v>6909</v>
      </c>
      <c r="F105" s="50" t="s">
        <v>5977</v>
      </c>
      <c r="G105" s="50"/>
      <c r="H105" s="50">
        <v>9</v>
      </c>
      <c r="I105" s="50" t="s">
        <v>6914</v>
      </c>
    </row>
    <row r="106" spans="2:9" ht="13.5">
      <c r="B106" s="48" t="s">
        <v>7089</v>
      </c>
      <c r="C106" s="48" t="s">
        <v>7090</v>
      </c>
      <c r="D106" s="50" t="s">
        <v>7159</v>
      </c>
      <c r="E106" s="50" t="s">
        <v>6697</v>
      </c>
      <c r="F106" s="50" t="s">
        <v>5977</v>
      </c>
      <c r="G106" s="50"/>
      <c r="H106" s="50">
        <v>10</v>
      </c>
      <c r="I106" s="50" t="s">
        <v>7160</v>
      </c>
    </row>
    <row r="107" spans="2:9" ht="13.5">
      <c r="B107" s="48" t="s">
        <v>7089</v>
      </c>
      <c r="C107" s="48" t="s">
        <v>7090</v>
      </c>
      <c r="D107" s="50" t="s">
        <v>7161</v>
      </c>
      <c r="E107" s="50" t="s">
        <v>6899</v>
      </c>
      <c r="F107" s="50" t="s">
        <v>5977</v>
      </c>
      <c r="G107" s="50"/>
      <c r="H107" s="50">
        <v>11</v>
      </c>
      <c r="I107" s="50" t="s">
        <v>7162</v>
      </c>
    </row>
    <row r="108" spans="2:9" ht="13.5">
      <c r="B108" s="48" t="s">
        <v>7089</v>
      </c>
      <c r="C108" s="48" t="s">
        <v>7090</v>
      </c>
      <c r="D108" s="50" t="s">
        <v>6915</v>
      </c>
      <c r="E108" s="50" t="s">
        <v>6903</v>
      </c>
      <c r="F108" s="50" t="s">
        <v>5977</v>
      </c>
      <c r="G108" s="50"/>
      <c r="H108" s="50">
        <v>12</v>
      </c>
      <c r="I108" s="50" t="s">
        <v>6282</v>
      </c>
    </row>
    <row r="109" spans="2:9" ht="13.5">
      <c r="B109" s="48" t="s">
        <v>7089</v>
      </c>
      <c r="C109" s="48" t="s">
        <v>7090</v>
      </c>
      <c r="D109" s="50" t="s">
        <v>6904</v>
      </c>
      <c r="E109" s="50" t="s">
        <v>6571</v>
      </c>
      <c r="F109" s="50" t="s">
        <v>5977</v>
      </c>
      <c r="G109" s="50"/>
      <c r="H109" s="50">
        <v>13</v>
      </c>
      <c r="I109" s="50" t="s">
        <v>6905</v>
      </c>
    </row>
    <row r="110" spans="2:9" ht="13.5">
      <c r="B110" s="48" t="s">
        <v>7089</v>
      </c>
      <c r="C110" s="48" t="s">
        <v>7090</v>
      </c>
      <c r="D110" s="50" t="s">
        <v>6906</v>
      </c>
      <c r="E110" s="50" t="s">
        <v>6907</v>
      </c>
      <c r="F110" s="50" t="s">
        <v>5977</v>
      </c>
      <c r="G110" s="50"/>
      <c r="H110" s="50">
        <v>14</v>
      </c>
      <c r="I110" s="50" t="s">
        <v>549</v>
      </c>
    </row>
    <row r="111" spans="2:9" ht="13.5">
      <c r="B111" s="48" t="s">
        <v>7089</v>
      </c>
      <c r="C111" s="48" t="s">
        <v>7090</v>
      </c>
      <c r="D111" s="50" t="s">
        <v>6687</v>
      </c>
      <c r="E111" s="50" t="s">
        <v>6688</v>
      </c>
      <c r="F111" s="50" t="s">
        <v>5977</v>
      </c>
      <c r="G111" s="50"/>
      <c r="H111" s="50">
        <v>15</v>
      </c>
      <c r="I111" s="50" t="s">
        <v>7343</v>
      </c>
    </row>
    <row r="112" spans="2:9" ht="13.5">
      <c r="B112" s="48" t="s">
        <v>7089</v>
      </c>
      <c r="C112" s="48" t="s">
        <v>7090</v>
      </c>
      <c r="D112" s="50" t="s">
        <v>7344</v>
      </c>
      <c r="E112" s="50" t="s">
        <v>6688</v>
      </c>
      <c r="F112" s="50" t="s">
        <v>5977</v>
      </c>
      <c r="G112" s="50"/>
      <c r="H112" s="50">
        <v>16</v>
      </c>
      <c r="I112" s="50" t="s">
        <v>7345</v>
      </c>
    </row>
    <row r="113" spans="2:9" ht="13.5">
      <c r="B113" s="48" t="s">
        <v>7089</v>
      </c>
      <c r="C113" s="48" t="s">
        <v>7090</v>
      </c>
      <c r="D113" s="50" t="s">
        <v>7346</v>
      </c>
      <c r="E113" s="50" t="s">
        <v>6688</v>
      </c>
      <c r="F113" s="50" t="s">
        <v>5977</v>
      </c>
      <c r="G113" s="50"/>
      <c r="H113" s="50">
        <v>17</v>
      </c>
      <c r="I113" s="50" t="s">
        <v>7347</v>
      </c>
    </row>
    <row r="114" spans="2:9" ht="13.5">
      <c r="B114" s="48" t="s">
        <v>7089</v>
      </c>
      <c r="C114" s="48" t="s">
        <v>7090</v>
      </c>
      <c r="D114" s="50" t="s">
        <v>7348</v>
      </c>
      <c r="E114" s="50" t="s">
        <v>6688</v>
      </c>
      <c r="F114" s="50" t="s">
        <v>5977</v>
      </c>
      <c r="G114" s="50"/>
      <c r="H114" s="50">
        <v>18</v>
      </c>
      <c r="I114" s="50" t="s">
        <v>7349</v>
      </c>
    </row>
    <row r="115" spans="2:9" ht="13.5">
      <c r="B115" s="48" t="s">
        <v>7089</v>
      </c>
      <c r="C115" s="48" t="s">
        <v>7090</v>
      </c>
      <c r="D115" s="50" t="s">
        <v>6690</v>
      </c>
      <c r="E115" s="50" t="s">
        <v>6688</v>
      </c>
      <c r="F115" s="50" t="s">
        <v>5977</v>
      </c>
      <c r="G115" s="50"/>
      <c r="H115" s="50">
        <v>19</v>
      </c>
      <c r="I115" s="50" t="s">
        <v>6691</v>
      </c>
    </row>
    <row r="116" spans="2:9" ht="13.5">
      <c r="B116" s="48" t="s">
        <v>7089</v>
      </c>
      <c r="C116" s="48" t="s">
        <v>7090</v>
      </c>
      <c r="D116" s="50" t="s">
        <v>6692</v>
      </c>
      <c r="E116" s="50" t="s">
        <v>6688</v>
      </c>
      <c r="F116" s="50" t="s">
        <v>5977</v>
      </c>
      <c r="G116" s="50"/>
      <c r="H116" s="50">
        <v>20</v>
      </c>
      <c r="I116" s="50" t="s">
        <v>6693</v>
      </c>
    </row>
    <row r="117" spans="2:9" ht="13.5">
      <c r="B117" s="48" t="s">
        <v>7089</v>
      </c>
      <c r="C117" s="48" t="s">
        <v>7090</v>
      </c>
      <c r="D117" s="50" t="s">
        <v>6921</v>
      </c>
      <c r="E117" s="50" t="s">
        <v>6688</v>
      </c>
      <c r="F117" s="50" t="s">
        <v>5977</v>
      </c>
      <c r="G117" s="50"/>
      <c r="H117" s="50">
        <v>21</v>
      </c>
      <c r="I117" s="50" t="s">
        <v>6922</v>
      </c>
    </row>
    <row r="118" spans="2:9" ht="13.5">
      <c r="B118" s="48" t="s">
        <v>7089</v>
      </c>
      <c r="C118" s="48" t="s">
        <v>7090</v>
      </c>
      <c r="D118" s="50" t="s">
        <v>7302</v>
      </c>
      <c r="E118" s="50" t="s">
        <v>6688</v>
      </c>
      <c r="F118" s="50" t="s">
        <v>5977</v>
      </c>
      <c r="G118" s="50"/>
      <c r="H118" s="50">
        <v>22</v>
      </c>
      <c r="I118" s="50" t="s">
        <v>7303</v>
      </c>
    </row>
    <row r="119" spans="2:9" ht="13.5">
      <c r="B119" s="48" t="s">
        <v>7089</v>
      </c>
      <c r="C119" s="48" t="s">
        <v>7090</v>
      </c>
      <c r="D119" s="50" t="s">
        <v>7304</v>
      </c>
      <c r="E119" s="50" t="s">
        <v>6688</v>
      </c>
      <c r="F119" s="50" t="s">
        <v>5977</v>
      </c>
      <c r="G119" s="50"/>
      <c r="H119" s="50">
        <v>23</v>
      </c>
      <c r="I119" s="50" t="s">
        <v>7305</v>
      </c>
    </row>
    <row r="120" spans="2:9" ht="13.5">
      <c r="B120" s="48" t="s">
        <v>7089</v>
      </c>
      <c r="C120" s="48" t="s">
        <v>7090</v>
      </c>
      <c r="D120" s="50" t="s">
        <v>6933</v>
      </c>
      <c r="E120" s="50" t="s">
        <v>6713</v>
      </c>
      <c r="F120" s="50" t="s">
        <v>5977</v>
      </c>
      <c r="G120" s="50"/>
      <c r="H120" s="50">
        <v>24</v>
      </c>
      <c r="I120" s="50" t="s">
        <v>7306</v>
      </c>
    </row>
    <row r="121" spans="2:9" ht="13.5">
      <c r="B121" s="48" t="s">
        <v>7089</v>
      </c>
      <c r="C121" s="48" t="s">
        <v>7090</v>
      </c>
      <c r="D121" s="50" t="s">
        <v>6935</v>
      </c>
      <c r="E121" s="50" t="s">
        <v>6688</v>
      </c>
      <c r="F121" s="50" t="s">
        <v>5977</v>
      </c>
      <c r="G121" s="50"/>
      <c r="H121" s="50">
        <v>25</v>
      </c>
      <c r="I121" s="50" t="s">
        <v>6936</v>
      </c>
    </row>
    <row r="122" spans="2:9" ht="13.5">
      <c r="B122" s="48" t="s">
        <v>7089</v>
      </c>
      <c r="C122" s="48" t="s">
        <v>7090</v>
      </c>
      <c r="D122" s="50" t="s">
        <v>7350</v>
      </c>
      <c r="E122" s="50" t="s">
        <v>7351</v>
      </c>
      <c r="F122" s="50" t="s">
        <v>5977</v>
      </c>
      <c r="G122" s="50"/>
      <c r="H122" s="50">
        <v>26</v>
      </c>
      <c r="I122" s="50" t="s">
        <v>6012</v>
      </c>
    </row>
    <row r="123" spans="2:9" ht="13.5">
      <c r="B123" s="48" t="s">
        <v>7089</v>
      </c>
      <c r="C123" s="48" t="s">
        <v>7090</v>
      </c>
      <c r="D123" s="50" t="s">
        <v>7004</v>
      </c>
      <c r="E123" s="50" t="s">
        <v>6718</v>
      </c>
      <c r="F123" s="50" t="s">
        <v>5977</v>
      </c>
      <c r="G123" s="50"/>
      <c r="H123" s="50">
        <v>27</v>
      </c>
      <c r="I123" s="50" t="s">
        <v>2646</v>
      </c>
    </row>
    <row r="124" spans="2:9" ht="13.5">
      <c r="B124" s="48" t="s">
        <v>7089</v>
      </c>
      <c r="C124" s="48" t="s">
        <v>7090</v>
      </c>
      <c r="D124" s="50" t="s">
        <v>7005</v>
      </c>
      <c r="E124" s="50" t="s">
        <v>6688</v>
      </c>
      <c r="F124" s="50" t="s">
        <v>5977</v>
      </c>
      <c r="G124" s="50"/>
      <c r="H124" s="50">
        <v>28</v>
      </c>
      <c r="I124" s="50" t="s">
        <v>2589</v>
      </c>
    </row>
    <row r="125" spans="2:9" ht="13.5">
      <c r="B125" s="48" t="s">
        <v>7089</v>
      </c>
      <c r="C125" s="48" t="s">
        <v>7090</v>
      </c>
      <c r="D125" s="50" t="s">
        <v>7006</v>
      </c>
      <c r="E125" s="50" t="s">
        <v>6718</v>
      </c>
      <c r="F125" s="50" t="s">
        <v>5977</v>
      </c>
      <c r="G125" s="50"/>
      <c r="H125" s="50">
        <v>29</v>
      </c>
      <c r="I125" s="50" t="s">
        <v>5540</v>
      </c>
    </row>
    <row r="126" spans="2:9" ht="13.5">
      <c r="B126" s="48" t="s">
        <v>7089</v>
      </c>
      <c r="C126" s="48" t="s">
        <v>7090</v>
      </c>
      <c r="D126" s="50" t="s">
        <v>7007</v>
      </c>
      <c r="E126" s="50" t="s">
        <v>6688</v>
      </c>
      <c r="F126" s="50" t="s">
        <v>5977</v>
      </c>
      <c r="G126" s="50"/>
      <c r="H126" s="50">
        <v>30</v>
      </c>
      <c r="I126" s="50" t="s">
        <v>5521</v>
      </c>
    </row>
    <row r="127" spans="2:9" ht="13.5">
      <c r="B127" s="48" t="s">
        <v>7089</v>
      </c>
      <c r="C127" s="48" t="s">
        <v>7090</v>
      </c>
      <c r="D127" s="50" t="s">
        <v>7167</v>
      </c>
      <c r="E127" s="50" t="s">
        <v>6500</v>
      </c>
      <c r="F127" s="50" t="s">
        <v>5977</v>
      </c>
      <c r="G127" s="50"/>
      <c r="H127" s="50">
        <v>31</v>
      </c>
      <c r="I127" s="50" t="s">
        <v>7168</v>
      </c>
    </row>
    <row r="129" spans="2:10" ht="13.5">
      <c r="B129" s="254" t="s">
        <v>6717</v>
      </c>
      <c r="C129" s="254" t="s">
        <v>6716</v>
      </c>
      <c r="D129" s="287" t="s">
        <v>2800</v>
      </c>
      <c r="E129" s="287" t="s">
        <v>6500</v>
      </c>
      <c r="F129" s="287" t="s">
        <v>5995</v>
      </c>
      <c r="G129" s="288"/>
      <c r="H129" s="287">
        <v>1</v>
      </c>
      <c r="I129" s="287" t="s">
        <v>2799</v>
      </c>
      <c r="J129" s="51"/>
    </row>
    <row r="130" spans="2:10" ht="13.5">
      <c r="B130" s="254" t="s">
        <v>6717</v>
      </c>
      <c r="C130" s="254" t="s">
        <v>6716</v>
      </c>
      <c r="D130" s="287" t="s">
        <v>4997</v>
      </c>
      <c r="E130" s="287" t="s">
        <v>6723</v>
      </c>
      <c r="F130" s="287" t="s">
        <v>5995</v>
      </c>
      <c r="G130" s="288"/>
      <c r="H130" s="287">
        <v>2</v>
      </c>
      <c r="I130" s="287" t="s">
        <v>5000</v>
      </c>
      <c r="J130" s="51"/>
    </row>
    <row r="131" spans="2:10" ht="13.5">
      <c r="B131" s="48" t="s">
        <v>6717</v>
      </c>
      <c r="C131" s="48" t="s">
        <v>6716</v>
      </c>
      <c r="D131" s="50" t="s">
        <v>8965</v>
      </c>
      <c r="E131" s="50" t="s">
        <v>6697</v>
      </c>
      <c r="F131" s="50" t="s">
        <v>5977</v>
      </c>
      <c r="G131" s="50"/>
      <c r="H131" s="50">
        <v>3</v>
      </c>
      <c r="I131" s="50" t="s">
        <v>9052</v>
      </c>
      <c r="J131" s="51"/>
    </row>
    <row r="132" spans="2:10" ht="13.5">
      <c r="B132" s="48" t="s">
        <v>6717</v>
      </c>
      <c r="C132" s="48" t="s">
        <v>6716</v>
      </c>
      <c r="D132" s="50" t="s">
        <v>8966</v>
      </c>
      <c r="E132" s="50" t="s">
        <v>6909</v>
      </c>
      <c r="F132" s="50" t="s">
        <v>5977</v>
      </c>
      <c r="G132" s="50"/>
      <c r="H132" s="50">
        <v>4</v>
      </c>
      <c r="I132" s="50" t="s">
        <v>8967</v>
      </c>
    </row>
    <row r="133" spans="2:10" ht="13.5">
      <c r="B133" s="48" t="s">
        <v>6717</v>
      </c>
      <c r="C133" s="48" t="s">
        <v>6716</v>
      </c>
      <c r="D133" s="50" t="s">
        <v>8968</v>
      </c>
      <c r="E133" s="50" t="s">
        <v>6697</v>
      </c>
      <c r="F133" s="50" t="s">
        <v>5977</v>
      </c>
      <c r="G133" s="50"/>
      <c r="H133" s="50">
        <v>5</v>
      </c>
      <c r="I133" s="50" t="s">
        <v>8969</v>
      </c>
    </row>
    <row r="134" spans="2:10" ht="13.5">
      <c r="B134" s="48" t="s">
        <v>6717</v>
      </c>
      <c r="C134" s="48" t="s">
        <v>6716</v>
      </c>
      <c r="D134" s="50" t="s">
        <v>8970</v>
      </c>
      <c r="E134" s="50" t="s">
        <v>6909</v>
      </c>
      <c r="F134" s="50" t="s">
        <v>5977</v>
      </c>
      <c r="G134" s="50"/>
      <c r="H134" s="50">
        <v>6</v>
      </c>
      <c r="I134" s="50" t="s">
        <v>8971</v>
      </c>
    </row>
    <row r="135" spans="2:10" ht="13.5">
      <c r="B135" s="48" t="s">
        <v>6717</v>
      </c>
      <c r="C135" s="48" t="s">
        <v>6716</v>
      </c>
      <c r="D135" s="50" t="s">
        <v>7311</v>
      </c>
      <c r="E135" s="50" t="s">
        <v>8513</v>
      </c>
      <c r="F135" s="50" t="s">
        <v>5977</v>
      </c>
      <c r="G135" s="50"/>
      <c r="H135" s="50">
        <v>7</v>
      </c>
      <c r="I135" s="50" t="s">
        <v>8908</v>
      </c>
    </row>
    <row r="136" spans="2:10" ht="13.5">
      <c r="B136" s="48" t="s">
        <v>6717</v>
      </c>
      <c r="C136" s="48" t="s">
        <v>6716</v>
      </c>
      <c r="D136" s="50" t="s">
        <v>7313</v>
      </c>
      <c r="E136" s="50" t="s">
        <v>8513</v>
      </c>
      <c r="F136" s="50" t="s">
        <v>5977</v>
      </c>
      <c r="G136" s="50"/>
      <c r="H136" s="50">
        <v>8</v>
      </c>
      <c r="I136" s="50" t="s">
        <v>7360</v>
      </c>
    </row>
    <row r="137" spans="2:10" ht="13.5">
      <c r="B137" s="48" t="s">
        <v>6717</v>
      </c>
      <c r="C137" s="48" t="s">
        <v>6716</v>
      </c>
      <c r="D137" s="50" t="s">
        <v>8972</v>
      </c>
      <c r="E137" s="50" t="s">
        <v>8973</v>
      </c>
      <c r="F137" s="50" t="s">
        <v>5977</v>
      </c>
      <c r="G137" s="50"/>
      <c r="H137" s="50">
        <v>9</v>
      </c>
      <c r="I137" s="50" t="s">
        <v>8974</v>
      </c>
    </row>
    <row r="138" spans="2:10" ht="13.5">
      <c r="B138" s="48" t="s">
        <v>6717</v>
      </c>
      <c r="C138" s="48" t="s">
        <v>6716</v>
      </c>
      <c r="D138" s="50" t="s">
        <v>8975</v>
      </c>
      <c r="E138" s="50" t="s">
        <v>6688</v>
      </c>
      <c r="F138" s="50" t="s">
        <v>5977</v>
      </c>
      <c r="G138" s="50"/>
      <c r="H138" s="50">
        <v>10</v>
      </c>
      <c r="I138" s="50" t="s">
        <v>8976</v>
      </c>
    </row>
    <row r="139" spans="2:10" ht="13.5">
      <c r="B139" s="48" t="s">
        <v>6717</v>
      </c>
      <c r="C139" s="48" t="s">
        <v>6716</v>
      </c>
      <c r="D139" s="50" t="s">
        <v>8977</v>
      </c>
      <c r="E139" s="50" t="s">
        <v>6688</v>
      </c>
      <c r="F139" s="50" t="s">
        <v>5977</v>
      </c>
      <c r="G139" s="50"/>
      <c r="H139" s="50">
        <v>11</v>
      </c>
      <c r="I139" s="50" t="s">
        <v>8978</v>
      </c>
    </row>
    <row r="140" spans="2:10" ht="13.5">
      <c r="B140" s="48" t="s">
        <v>6717</v>
      </c>
      <c r="C140" s="48" t="s">
        <v>6716</v>
      </c>
      <c r="D140" s="50" t="s">
        <v>8979</v>
      </c>
      <c r="E140" s="50" t="s">
        <v>8980</v>
      </c>
      <c r="F140" s="50" t="s">
        <v>5977</v>
      </c>
      <c r="G140" s="50"/>
      <c r="H140" s="50">
        <v>12</v>
      </c>
      <c r="I140" s="50" t="s">
        <v>8981</v>
      </c>
    </row>
    <row r="141" spans="2:10" ht="13.5">
      <c r="B141" s="48" t="s">
        <v>6717</v>
      </c>
      <c r="C141" s="48" t="s">
        <v>6716</v>
      </c>
      <c r="D141" s="50" t="s">
        <v>8982</v>
      </c>
      <c r="E141" s="50" t="s">
        <v>6688</v>
      </c>
      <c r="F141" s="50" t="s">
        <v>5977</v>
      </c>
      <c r="G141" s="50"/>
      <c r="H141" s="50">
        <v>13</v>
      </c>
      <c r="I141" s="50" t="s">
        <v>8983</v>
      </c>
    </row>
    <row r="142" spans="2:10" ht="13.5">
      <c r="B142" s="48" t="s">
        <v>6717</v>
      </c>
      <c r="C142" s="48" t="s">
        <v>6716</v>
      </c>
      <c r="D142" s="50" t="s">
        <v>8984</v>
      </c>
      <c r="E142" s="50" t="s">
        <v>7158</v>
      </c>
      <c r="F142" s="50" t="s">
        <v>5977</v>
      </c>
      <c r="G142" s="50"/>
      <c r="H142" s="50">
        <v>14</v>
      </c>
      <c r="I142" s="50" t="s">
        <v>8985</v>
      </c>
    </row>
    <row r="143" spans="2:10" ht="13.5">
      <c r="B143" s="48" t="s">
        <v>6717</v>
      </c>
      <c r="C143" s="48" t="s">
        <v>6716</v>
      </c>
      <c r="D143" s="50" t="s">
        <v>7377</v>
      </c>
      <c r="E143" s="50" t="s">
        <v>6903</v>
      </c>
      <c r="F143" s="50" t="s">
        <v>5977</v>
      </c>
      <c r="G143" s="50"/>
      <c r="H143" s="50">
        <v>15</v>
      </c>
      <c r="I143" s="50" t="s">
        <v>7363</v>
      </c>
    </row>
    <row r="144" spans="2:10" ht="13.5">
      <c r="B144" s="48" t="s">
        <v>6717</v>
      </c>
      <c r="C144" s="48" t="s">
        <v>6716</v>
      </c>
      <c r="D144" s="50" t="s">
        <v>8986</v>
      </c>
      <c r="E144" s="50" t="s">
        <v>6903</v>
      </c>
      <c r="F144" s="50" t="s">
        <v>5977</v>
      </c>
      <c r="G144" s="50"/>
      <c r="H144" s="50">
        <v>16</v>
      </c>
      <c r="I144" s="50" t="s">
        <v>8987</v>
      </c>
    </row>
    <row r="145" spans="2:10" ht="13.5">
      <c r="B145" s="48" t="s">
        <v>6717</v>
      </c>
      <c r="C145" s="48" t="s">
        <v>6716</v>
      </c>
      <c r="D145" s="50" t="s">
        <v>7380</v>
      </c>
      <c r="E145" s="50" t="s">
        <v>6907</v>
      </c>
      <c r="F145" s="50" t="s">
        <v>5977</v>
      </c>
      <c r="G145" s="50"/>
      <c r="H145" s="50">
        <v>17</v>
      </c>
      <c r="I145" s="50" t="s">
        <v>7367</v>
      </c>
    </row>
    <row r="146" spans="2:10" ht="13.5">
      <c r="B146" s="48" t="s">
        <v>6717</v>
      </c>
      <c r="C146" s="48" t="s">
        <v>6716</v>
      </c>
      <c r="D146" s="50" t="s">
        <v>7381</v>
      </c>
      <c r="E146" s="50" t="s">
        <v>6909</v>
      </c>
      <c r="F146" s="50" t="s">
        <v>5977</v>
      </c>
      <c r="G146" s="50"/>
      <c r="H146" s="50">
        <v>18</v>
      </c>
      <c r="I146" s="50" t="s">
        <v>7368</v>
      </c>
    </row>
    <row r="147" spans="2:10" ht="13.5">
      <c r="B147" s="48" t="s">
        <v>6717</v>
      </c>
      <c r="C147" s="48" t="s">
        <v>6716</v>
      </c>
      <c r="D147" s="50" t="s">
        <v>7382</v>
      </c>
      <c r="E147" s="50" t="s">
        <v>6903</v>
      </c>
      <c r="F147" s="50" t="s">
        <v>5977</v>
      </c>
      <c r="G147" s="50"/>
      <c r="H147" s="50">
        <v>19</v>
      </c>
      <c r="I147" s="50" t="s">
        <v>7369</v>
      </c>
    </row>
    <row r="148" spans="2:10" ht="13.5">
      <c r="B148" s="48" t="s">
        <v>6717</v>
      </c>
      <c r="C148" s="48" t="s">
        <v>6716</v>
      </c>
      <c r="D148" s="50" t="s">
        <v>8988</v>
      </c>
      <c r="E148" s="50" t="s">
        <v>6718</v>
      </c>
      <c r="F148" s="50" t="s">
        <v>5977</v>
      </c>
      <c r="G148" s="50"/>
      <c r="H148" s="50">
        <v>20</v>
      </c>
      <c r="I148" s="50" t="s">
        <v>8989</v>
      </c>
    </row>
    <row r="149" spans="2:10" ht="13.5">
      <c r="B149" s="48" t="s">
        <v>6717</v>
      </c>
      <c r="C149" s="48" t="s">
        <v>6716</v>
      </c>
      <c r="D149" s="50" t="s">
        <v>7004</v>
      </c>
      <c r="E149" s="50" t="s">
        <v>6718</v>
      </c>
      <c r="F149" s="50" t="s">
        <v>5977</v>
      </c>
      <c r="G149" s="50"/>
      <c r="H149" s="50">
        <v>21</v>
      </c>
      <c r="I149" s="50" t="s">
        <v>2646</v>
      </c>
    </row>
    <row r="150" spans="2:10" ht="13.5">
      <c r="B150" s="48" t="s">
        <v>6717</v>
      </c>
      <c r="C150" s="48" t="s">
        <v>6716</v>
      </c>
      <c r="D150" s="50" t="s">
        <v>7005</v>
      </c>
      <c r="E150" s="50" t="s">
        <v>6688</v>
      </c>
      <c r="F150" s="50" t="s">
        <v>5977</v>
      </c>
      <c r="G150" s="50"/>
      <c r="H150" s="50">
        <v>22</v>
      </c>
      <c r="I150" s="50" t="s">
        <v>8955</v>
      </c>
    </row>
    <row r="151" spans="2:10" ht="13.5">
      <c r="B151" s="48" t="s">
        <v>6717</v>
      </c>
      <c r="C151" s="48" t="s">
        <v>6716</v>
      </c>
      <c r="D151" s="50" t="s">
        <v>7006</v>
      </c>
      <c r="E151" s="50" t="s">
        <v>6718</v>
      </c>
      <c r="F151" s="50" t="s">
        <v>5977</v>
      </c>
      <c r="G151" s="50"/>
      <c r="H151" s="50">
        <v>23</v>
      </c>
      <c r="I151" s="50" t="s">
        <v>5540</v>
      </c>
    </row>
    <row r="152" spans="2:10" ht="13.5">
      <c r="B152" s="48" t="s">
        <v>6717</v>
      </c>
      <c r="C152" s="48" t="s">
        <v>6716</v>
      </c>
      <c r="D152" s="50" t="s">
        <v>7007</v>
      </c>
      <c r="E152" s="50" t="s">
        <v>6688</v>
      </c>
      <c r="F152" s="50" t="s">
        <v>5977</v>
      </c>
      <c r="G152" s="50"/>
      <c r="H152" s="50">
        <v>24</v>
      </c>
      <c r="I152" s="50" t="s">
        <v>8990</v>
      </c>
    </row>
    <row r="153" spans="2:10" ht="13.5">
      <c r="B153" s="48" t="s">
        <v>6717</v>
      </c>
      <c r="C153" s="48" t="s">
        <v>6716</v>
      </c>
      <c r="D153" s="50" t="s">
        <v>8991</v>
      </c>
      <c r="E153" s="50" t="s">
        <v>6688</v>
      </c>
      <c r="F153" s="50" t="s">
        <v>5977</v>
      </c>
      <c r="G153" s="50"/>
      <c r="H153" s="50">
        <v>25</v>
      </c>
      <c r="I153" s="50" t="s">
        <v>8992</v>
      </c>
    </row>
    <row r="154" spans="2:10" ht="13.5">
      <c r="B154" s="48" t="s">
        <v>6717</v>
      </c>
      <c r="C154" s="48" t="s">
        <v>6716</v>
      </c>
      <c r="D154" s="50" t="s">
        <v>8888</v>
      </c>
      <c r="E154" s="50" t="s">
        <v>6697</v>
      </c>
      <c r="F154" s="50" t="s">
        <v>5977</v>
      </c>
      <c r="G154" s="50"/>
      <c r="H154" s="50">
        <v>26</v>
      </c>
      <c r="I154" s="50" t="s">
        <v>8847</v>
      </c>
    </row>
    <row r="155" spans="2:10" ht="13.5">
      <c r="B155" s="48" t="s">
        <v>6717</v>
      </c>
      <c r="C155" s="48" t="s">
        <v>6716</v>
      </c>
      <c r="D155" s="50" t="s">
        <v>8993</v>
      </c>
      <c r="E155" s="50" t="s">
        <v>6498</v>
      </c>
      <c r="F155" s="50" t="s">
        <v>5977</v>
      </c>
      <c r="G155" s="50"/>
      <c r="H155" s="50">
        <v>27</v>
      </c>
      <c r="I155" s="50" t="s">
        <v>8994</v>
      </c>
    </row>
    <row r="156" spans="2:10" ht="13.5">
      <c r="B156" s="48"/>
      <c r="C156" s="48"/>
      <c r="D156" s="51"/>
      <c r="E156" s="51"/>
      <c r="F156" s="51"/>
      <c r="G156" s="50"/>
      <c r="H156" s="51"/>
      <c r="I156" s="51"/>
    </row>
    <row r="157" spans="2:10" ht="13.5">
      <c r="B157" s="254" t="s">
        <v>7097</v>
      </c>
      <c r="C157" s="254" t="s">
        <v>7098</v>
      </c>
      <c r="D157" s="287" t="s">
        <v>2800</v>
      </c>
      <c r="E157" s="287" t="s">
        <v>6500</v>
      </c>
      <c r="F157" s="287" t="s">
        <v>5995</v>
      </c>
      <c r="G157" s="288"/>
      <c r="H157" s="287">
        <v>1</v>
      </c>
      <c r="I157" s="287" t="s">
        <v>2799</v>
      </c>
      <c r="J157" s="51"/>
    </row>
    <row r="158" spans="2:10" ht="13.5">
      <c r="B158" s="254" t="s">
        <v>7097</v>
      </c>
      <c r="C158" s="254" t="s">
        <v>7098</v>
      </c>
      <c r="D158" s="287" t="s">
        <v>7358</v>
      </c>
      <c r="E158" s="287" t="s">
        <v>6498</v>
      </c>
      <c r="F158" s="287" t="s">
        <v>5995</v>
      </c>
      <c r="G158" s="288"/>
      <c r="H158" s="287">
        <v>2</v>
      </c>
      <c r="I158" s="287" t="s">
        <v>7359</v>
      </c>
      <c r="J158" s="51"/>
    </row>
    <row r="159" spans="2:10" ht="13.5">
      <c r="B159" s="254" t="s">
        <v>7097</v>
      </c>
      <c r="C159" s="254" t="s">
        <v>7098</v>
      </c>
      <c r="D159" s="287" t="s">
        <v>7311</v>
      </c>
      <c r="E159" s="287" t="s">
        <v>6688</v>
      </c>
      <c r="F159" s="287" t="s">
        <v>5995</v>
      </c>
      <c r="G159" s="288"/>
      <c r="H159" s="287">
        <v>3</v>
      </c>
      <c r="I159" s="287" t="s">
        <v>7312</v>
      </c>
      <c r="J159" s="51"/>
    </row>
    <row r="160" spans="2:10" ht="13.5">
      <c r="B160" s="48" t="s">
        <v>7097</v>
      </c>
      <c r="C160" s="48" t="s">
        <v>7098</v>
      </c>
      <c r="D160" s="50" t="s">
        <v>7313</v>
      </c>
      <c r="E160" s="50" t="s">
        <v>6688</v>
      </c>
      <c r="F160" s="50" t="s">
        <v>5977</v>
      </c>
      <c r="G160" s="50"/>
      <c r="H160" s="50">
        <v>4</v>
      </c>
      <c r="I160" s="50" t="s">
        <v>7360</v>
      </c>
    </row>
    <row r="161" spans="2:9" ht="13.5">
      <c r="B161" s="48" t="s">
        <v>7097</v>
      </c>
      <c r="C161" s="48" t="s">
        <v>7098</v>
      </c>
      <c r="D161" s="50" t="s">
        <v>6927</v>
      </c>
      <c r="E161" s="50" t="s">
        <v>6713</v>
      </c>
      <c r="F161" s="50" t="s">
        <v>5977</v>
      </c>
      <c r="G161" s="50"/>
      <c r="H161" s="50">
        <v>5</v>
      </c>
      <c r="I161" s="50" t="s">
        <v>7310</v>
      </c>
    </row>
    <row r="162" spans="2:9" ht="13.5">
      <c r="B162" s="48" t="s">
        <v>7097</v>
      </c>
      <c r="C162" s="48" t="s">
        <v>7098</v>
      </c>
      <c r="D162" s="50" t="s">
        <v>7376</v>
      </c>
      <c r="E162" s="50" t="s">
        <v>7361</v>
      </c>
      <c r="F162" s="50" t="s">
        <v>5977</v>
      </c>
      <c r="G162" s="50"/>
      <c r="H162" s="50">
        <v>6</v>
      </c>
      <c r="I162" s="50" t="s">
        <v>7362</v>
      </c>
    </row>
    <row r="163" spans="2:9" ht="13.5">
      <c r="B163" s="48" t="s">
        <v>7097</v>
      </c>
      <c r="C163" s="48" t="s">
        <v>7098</v>
      </c>
      <c r="D163" s="50" t="s">
        <v>7377</v>
      </c>
      <c r="E163" s="50" t="s">
        <v>6903</v>
      </c>
      <c r="F163" s="50" t="s">
        <v>5977</v>
      </c>
      <c r="G163" s="50"/>
      <c r="H163" s="50">
        <v>7</v>
      </c>
      <c r="I163" s="50" t="s">
        <v>7363</v>
      </c>
    </row>
    <row r="164" spans="2:9" ht="13.5">
      <c r="B164" s="48" t="s">
        <v>7097</v>
      </c>
      <c r="C164" s="48" t="s">
        <v>7098</v>
      </c>
      <c r="D164" s="50" t="s">
        <v>5380</v>
      </c>
      <c r="E164" s="50" t="s">
        <v>7364</v>
      </c>
      <c r="F164" s="50" t="s">
        <v>5977</v>
      </c>
      <c r="G164" s="50"/>
      <c r="H164" s="50">
        <v>8</v>
      </c>
      <c r="I164" s="50" t="s">
        <v>7365</v>
      </c>
    </row>
    <row r="165" spans="2:9" ht="13.5">
      <c r="B165" s="48" t="s">
        <v>7097</v>
      </c>
      <c r="C165" s="48" t="s">
        <v>7098</v>
      </c>
      <c r="D165" s="50" t="s">
        <v>7378</v>
      </c>
      <c r="E165" s="50" t="s">
        <v>6907</v>
      </c>
      <c r="F165" s="50" t="s">
        <v>5977</v>
      </c>
      <c r="G165" s="50"/>
      <c r="H165" s="50">
        <v>9</v>
      </c>
      <c r="I165" s="50" t="s">
        <v>7366</v>
      </c>
    </row>
    <row r="166" spans="2:9" ht="13.5">
      <c r="B166" s="48" t="s">
        <v>7097</v>
      </c>
      <c r="C166" s="48" t="s">
        <v>7098</v>
      </c>
      <c r="D166" s="50" t="s">
        <v>7379</v>
      </c>
      <c r="E166" s="50" t="s">
        <v>6688</v>
      </c>
      <c r="F166" s="50" t="s">
        <v>5977</v>
      </c>
      <c r="G166" s="50"/>
      <c r="H166" s="50">
        <v>10</v>
      </c>
      <c r="I166" s="50" t="s">
        <v>6932</v>
      </c>
    </row>
    <row r="167" spans="2:9" ht="13.5">
      <c r="B167" s="48" t="s">
        <v>7097</v>
      </c>
      <c r="C167" s="48" t="s">
        <v>7098</v>
      </c>
      <c r="D167" s="50" t="s">
        <v>7380</v>
      </c>
      <c r="E167" s="50" t="s">
        <v>6907</v>
      </c>
      <c r="F167" s="50" t="s">
        <v>5977</v>
      </c>
      <c r="G167" s="50"/>
      <c r="H167" s="50">
        <v>11</v>
      </c>
      <c r="I167" s="50" t="s">
        <v>7367</v>
      </c>
    </row>
    <row r="168" spans="2:9" ht="13.5">
      <c r="B168" s="48" t="s">
        <v>7097</v>
      </c>
      <c r="C168" s="48" t="s">
        <v>7098</v>
      </c>
      <c r="D168" s="50" t="s">
        <v>7381</v>
      </c>
      <c r="E168" s="50" t="s">
        <v>6909</v>
      </c>
      <c r="F168" s="50" t="s">
        <v>5977</v>
      </c>
      <c r="G168" s="50"/>
      <c r="H168" s="50">
        <v>12</v>
      </c>
      <c r="I168" s="50" t="s">
        <v>7368</v>
      </c>
    </row>
    <row r="169" spans="2:9" ht="13.5">
      <c r="B169" s="48" t="s">
        <v>7097</v>
      </c>
      <c r="C169" s="48" t="s">
        <v>7098</v>
      </c>
      <c r="D169" s="50" t="s">
        <v>7382</v>
      </c>
      <c r="E169" s="50" t="s">
        <v>6903</v>
      </c>
      <c r="F169" s="50" t="s">
        <v>5977</v>
      </c>
      <c r="G169" s="50"/>
      <c r="H169" s="50">
        <v>13</v>
      </c>
      <c r="I169" s="50" t="s">
        <v>7369</v>
      </c>
    </row>
    <row r="170" spans="2:9" ht="13.5">
      <c r="B170" s="48" t="s">
        <v>7097</v>
      </c>
      <c r="C170" s="48" t="s">
        <v>7098</v>
      </c>
      <c r="D170" s="50" t="s">
        <v>7383</v>
      </c>
      <c r="E170" s="50" t="s">
        <v>6909</v>
      </c>
      <c r="F170" s="50" t="s">
        <v>5977</v>
      </c>
      <c r="G170" s="50"/>
      <c r="H170" s="50">
        <v>14</v>
      </c>
      <c r="I170" s="50" t="s">
        <v>7370</v>
      </c>
    </row>
    <row r="171" spans="2:9" ht="13.5">
      <c r="B171" s="48" t="s">
        <v>7097</v>
      </c>
      <c r="C171" s="48" t="s">
        <v>7098</v>
      </c>
      <c r="D171" s="50" t="s">
        <v>7384</v>
      </c>
      <c r="E171" s="50" t="s">
        <v>6713</v>
      </c>
      <c r="F171" s="50" t="s">
        <v>5977</v>
      </c>
      <c r="G171" s="50"/>
      <c r="H171" s="50">
        <v>15</v>
      </c>
      <c r="I171" s="50" t="s">
        <v>7371</v>
      </c>
    </row>
    <row r="172" spans="2:9" ht="13.5">
      <c r="B172" s="48" t="s">
        <v>7097</v>
      </c>
      <c r="C172" s="48" t="s">
        <v>7098</v>
      </c>
      <c r="D172" s="50" t="s">
        <v>7385</v>
      </c>
      <c r="E172" s="50" t="s">
        <v>6688</v>
      </c>
      <c r="F172" s="50" t="s">
        <v>5977</v>
      </c>
      <c r="G172" s="50"/>
      <c r="H172" s="50">
        <v>16</v>
      </c>
      <c r="I172" s="50" t="s">
        <v>7372</v>
      </c>
    </row>
    <row r="173" spans="2:9" ht="13.5">
      <c r="B173" s="48" t="s">
        <v>7097</v>
      </c>
      <c r="C173" s="48" t="s">
        <v>7098</v>
      </c>
      <c r="D173" s="50" t="s">
        <v>7386</v>
      </c>
      <c r="E173" s="50" t="s">
        <v>6688</v>
      </c>
      <c r="F173" s="50" t="s">
        <v>5977</v>
      </c>
      <c r="G173" s="50"/>
      <c r="H173" s="50">
        <v>17</v>
      </c>
      <c r="I173" s="50" t="s">
        <v>7373</v>
      </c>
    </row>
    <row r="174" spans="2:9" ht="13.5">
      <c r="B174" s="48" t="s">
        <v>7097</v>
      </c>
      <c r="C174" s="48" t="s">
        <v>7098</v>
      </c>
      <c r="D174" s="50" t="s">
        <v>7141</v>
      </c>
      <c r="E174" s="50" t="s">
        <v>6697</v>
      </c>
      <c r="F174" s="50" t="s">
        <v>5977</v>
      </c>
      <c r="G174" s="50"/>
      <c r="H174" s="50">
        <v>18</v>
      </c>
      <c r="I174" s="50" t="s">
        <v>7374</v>
      </c>
    </row>
    <row r="175" spans="2:9" ht="13.5">
      <c r="B175" s="48" t="s">
        <v>7097</v>
      </c>
      <c r="C175" s="48" t="s">
        <v>7098</v>
      </c>
      <c r="D175" s="50" t="s">
        <v>7142</v>
      </c>
      <c r="E175" s="50" t="s">
        <v>6688</v>
      </c>
      <c r="F175" s="50" t="s">
        <v>5977</v>
      </c>
      <c r="G175" s="50"/>
      <c r="H175" s="50">
        <v>19</v>
      </c>
      <c r="I175" s="50" t="s">
        <v>7143</v>
      </c>
    </row>
    <row r="176" spans="2:9" ht="13.5">
      <c r="B176" s="48" t="s">
        <v>7097</v>
      </c>
      <c r="C176" s="48" t="s">
        <v>7098</v>
      </c>
      <c r="D176" s="50" t="s">
        <v>7004</v>
      </c>
      <c r="E176" s="50" t="s">
        <v>6718</v>
      </c>
      <c r="F176" s="50" t="s">
        <v>5977</v>
      </c>
      <c r="G176" s="50"/>
      <c r="H176" s="50">
        <v>20</v>
      </c>
      <c r="I176" s="50" t="s">
        <v>2646</v>
      </c>
    </row>
    <row r="177" spans="2:9" ht="13.5">
      <c r="B177" s="48" t="s">
        <v>7097</v>
      </c>
      <c r="C177" s="48" t="s">
        <v>7098</v>
      </c>
      <c r="D177" s="50" t="s">
        <v>7005</v>
      </c>
      <c r="E177" s="50" t="s">
        <v>6688</v>
      </c>
      <c r="F177" s="50" t="s">
        <v>5977</v>
      </c>
      <c r="G177" s="50"/>
      <c r="H177" s="50">
        <v>21</v>
      </c>
      <c r="I177" s="50" t="s">
        <v>2589</v>
      </c>
    </row>
    <row r="178" spans="2:9" ht="13.5">
      <c r="B178" s="48" t="s">
        <v>7097</v>
      </c>
      <c r="C178" s="48" t="s">
        <v>7098</v>
      </c>
      <c r="D178" s="50" t="s">
        <v>7006</v>
      </c>
      <c r="E178" s="50" t="s">
        <v>6718</v>
      </c>
      <c r="F178" s="50" t="s">
        <v>5977</v>
      </c>
      <c r="G178" s="50"/>
      <c r="H178" s="50">
        <v>22</v>
      </c>
      <c r="I178" s="50" t="s">
        <v>5540</v>
      </c>
    </row>
    <row r="179" spans="2:9" ht="13.5">
      <c r="B179" s="48" t="s">
        <v>7097</v>
      </c>
      <c r="C179" s="48" t="s">
        <v>7098</v>
      </c>
      <c r="D179" s="50" t="s">
        <v>7007</v>
      </c>
      <c r="E179" s="50" t="s">
        <v>6688</v>
      </c>
      <c r="F179" s="50" t="s">
        <v>5977</v>
      </c>
      <c r="G179" s="50"/>
      <c r="H179" s="50">
        <v>23</v>
      </c>
      <c r="I179" s="50" t="s">
        <v>5521</v>
      </c>
    </row>
    <row r="180" spans="2:9" ht="13.5">
      <c r="B180" s="48" t="s">
        <v>7097</v>
      </c>
      <c r="C180" s="48" t="s">
        <v>7098</v>
      </c>
      <c r="D180" s="50" t="s">
        <v>7387</v>
      </c>
      <c r="E180" s="50" t="s">
        <v>6495</v>
      </c>
      <c r="F180" s="50" t="s">
        <v>5977</v>
      </c>
      <c r="G180" s="50"/>
      <c r="H180" s="50">
        <v>24</v>
      </c>
      <c r="I180" s="50" t="s">
        <v>7375</v>
      </c>
    </row>
    <row r="182" spans="2:9" ht="13.5">
      <c r="B182" s="48" t="s">
        <v>7056</v>
      </c>
      <c r="C182" s="48" t="s">
        <v>7057</v>
      </c>
      <c r="D182" s="50" t="s">
        <v>2517</v>
      </c>
      <c r="E182" s="50" t="s">
        <v>6718</v>
      </c>
      <c r="F182" s="50" t="s">
        <v>5977</v>
      </c>
      <c r="G182" s="50"/>
      <c r="H182" s="50">
        <v>2</v>
      </c>
      <c r="I182" s="50" t="s">
        <v>8155</v>
      </c>
    </row>
    <row r="183" spans="2:9" ht="13.5">
      <c r="B183" s="48" t="s">
        <v>7056</v>
      </c>
      <c r="C183" s="48" t="s">
        <v>7057</v>
      </c>
      <c r="D183" s="50" t="s">
        <v>3496</v>
      </c>
      <c r="E183" s="50" t="s">
        <v>6718</v>
      </c>
      <c r="F183" s="50" t="s">
        <v>5977</v>
      </c>
      <c r="G183" s="50"/>
      <c r="H183" s="50">
        <v>3</v>
      </c>
      <c r="I183" s="50" t="s">
        <v>3443</v>
      </c>
    </row>
    <row r="184" spans="2:9" ht="13.5">
      <c r="B184" s="48" t="s">
        <v>7056</v>
      </c>
      <c r="C184" s="48" t="s">
        <v>7057</v>
      </c>
      <c r="D184" s="50" t="s">
        <v>8156</v>
      </c>
      <c r="E184" s="50" t="s">
        <v>6718</v>
      </c>
      <c r="F184" s="50" t="s">
        <v>5977</v>
      </c>
      <c r="G184" s="50"/>
      <c r="H184" s="50">
        <v>4</v>
      </c>
      <c r="I184" s="50" t="s">
        <v>8157</v>
      </c>
    </row>
    <row r="185" spans="2:9" ht="13.5">
      <c r="B185" s="48" t="s">
        <v>7056</v>
      </c>
      <c r="C185" s="48" t="s">
        <v>7057</v>
      </c>
      <c r="D185" s="50" t="s">
        <v>1698</v>
      </c>
      <c r="E185" s="50" t="s">
        <v>6903</v>
      </c>
      <c r="F185" s="50" t="s">
        <v>5977</v>
      </c>
      <c r="G185" s="50"/>
      <c r="H185" s="50">
        <v>5</v>
      </c>
      <c r="I185" s="50" t="s">
        <v>8158</v>
      </c>
    </row>
    <row r="186" spans="2:9" ht="13.5">
      <c r="B186" s="48" t="s">
        <v>7056</v>
      </c>
      <c r="C186" s="48" t="s">
        <v>7057</v>
      </c>
      <c r="D186" s="50" t="s">
        <v>6570</v>
      </c>
      <c r="E186" s="50" t="s">
        <v>6571</v>
      </c>
      <c r="F186" s="50" t="s">
        <v>5977</v>
      </c>
      <c r="G186" s="50"/>
      <c r="H186" s="50">
        <v>6</v>
      </c>
      <c r="I186" s="50" t="s">
        <v>2824</v>
      </c>
    </row>
    <row r="187" spans="2:9" ht="13.5">
      <c r="B187" s="48" t="s">
        <v>7056</v>
      </c>
      <c r="C187" s="48" t="s">
        <v>7057</v>
      </c>
      <c r="D187" s="50" t="s">
        <v>6900</v>
      </c>
      <c r="E187" s="50" t="s">
        <v>6498</v>
      </c>
      <c r="F187" s="50" t="s">
        <v>5977</v>
      </c>
      <c r="G187" s="50"/>
      <c r="H187" s="50">
        <v>7</v>
      </c>
      <c r="I187" s="50" t="s">
        <v>6901</v>
      </c>
    </row>
    <row r="188" spans="2:9" ht="13.5">
      <c r="B188" s="48" t="s">
        <v>7056</v>
      </c>
      <c r="C188" s="48" t="s">
        <v>7057</v>
      </c>
      <c r="D188" s="50" t="s">
        <v>8159</v>
      </c>
      <c r="E188" s="50" t="s">
        <v>6498</v>
      </c>
      <c r="F188" s="50" t="s">
        <v>5977</v>
      </c>
      <c r="G188" s="50"/>
      <c r="H188" s="50">
        <v>8</v>
      </c>
      <c r="I188" s="50" t="s">
        <v>8160</v>
      </c>
    </row>
    <row r="189" spans="2:9" ht="13.5">
      <c r="B189" s="48" t="s">
        <v>7056</v>
      </c>
      <c r="C189" s="48" t="s">
        <v>7057</v>
      </c>
      <c r="D189" s="50" t="s">
        <v>458</v>
      </c>
      <c r="E189" s="50" t="s">
        <v>6688</v>
      </c>
      <c r="F189" s="50" t="s">
        <v>5977</v>
      </c>
      <c r="G189" s="50"/>
      <c r="H189" s="50">
        <v>9</v>
      </c>
      <c r="I189" s="50" t="s">
        <v>8161</v>
      </c>
    </row>
    <row r="190" spans="2:9" ht="13.5">
      <c r="B190" s="48" t="s">
        <v>7056</v>
      </c>
      <c r="C190" s="48" t="s">
        <v>7057</v>
      </c>
      <c r="D190" s="50" t="s">
        <v>3677</v>
      </c>
      <c r="E190" s="50" t="s">
        <v>7351</v>
      </c>
      <c r="F190" s="50" t="s">
        <v>5977</v>
      </c>
      <c r="G190" s="50"/>
      <c r="H190" s="50">
        <v>10</v>
      </c>
      <c r="I190" s="50" t="s">
        <v>3676</v>
      </c>
    </row>
    <row r="191" spans="2:9" ht="13.5">
      <c r="B191" s="48" t="s">
        <v>7056</v>
      </c>
      <c r="C191" s="48" t="s">
        <v>7057</v>
      </c>
      <c r="D191" s="50" t="s">
        <v>8162</v>
      </c>
      <c r="E191" s="50" t="s">
        <v>6909</v>
      </c>
      <c r="F191" s="50" t="s">
        <v>5977</v>
      </c>
      <c r="G191" s="50"/>
      <c r="H191" s="50">
        <v>11</v>
      </c>
      <c r="I191" s="50" t="s">
        <v>8163</v>
      </c>
    </row>
    <row r="192" spans="2:9" ht="13.5">
      <c r="B192" s="48" t="s">
        <v>7056</v>
      </c>
      <c r="C192" s="48" t="s">
        <v>7057</v>
      </c>
      <c r="D192" s="50" t="s">
        <v>4026</v>
      </c>
      <c r="E192" s="50" t="s">
        <v>7351</v>
      </c>
      <c r="F192" s="50" t="s">
        <v>5977</v>
      </c>
      <c r="G192" s="50"/>
      <c r="H192" s="50">
        <v>12</v>
      </c>
      <c r="I192" s="50" t="s">
        <v>4025</v>
      </c>
    </row>
    <row r="193" spans="2:9" ht="13.5">
      <c r="B193" s="48" t="s">
        <v>7056</v>
      </c>
      <c r="C193" s="48" t="s">
        <v>7057</v>
      </c>
      <c r="D193" s="50" t="s">
        <v>8164</v>
      </c>
      <c r="E193" s="50" t="s">
        <v>6909</v>
      </c>
      <c r="F193" s="50" t="s">
        <v>5977</v>
      </c>
      <c r="G193" s="50"/>
      <c r="H193" s="50">
        <v>13</v>
      </c>
      <c r="I193" s="50" t="s">
        <v>8165</v>
      </c>
    </row>
    <row r="194" spans="2:9" ht="13.5">
      <c r="B194" s="48" t="s">
        <v>7056</v>
      </c>
      <c r="C194" s="48" t="s">
        <v>7057</v>
      </c>
      <c r="D194" s="50" t="s">
        <v>8166</v>
      </c>
      <c r="E194" s="50" t="s">
        <v>8167</v>
      </c>
      <c r="F194" s="50" t="s">
        <v>5977</v>
      </c>
      <c r="G194" s="50"/>
      <c r="H194" s="50">
        <v>14</v>
      </c>
      <c r="I194" s="50" t="s">
        <v>8168</v>
      </c>
    </row>
    <row r="195" spans="2:9" ht="13.5">
      <c r="B195" s="48" t="s">
        <v>7056</v>
      </c>
      <c r="C195" s="48" t="s">
        <v>7057</v>
      </c>
      <c r="D195" s="50" t="s">
        <v>8169</v>
      </c>
      <c r="E195" s="50" t="s">
        <v>7351</v>
      </c>
      <c r="F195" s="50" t="s">
        <v>5977</v>
      </c>
      <c r="G195" s="50"/>
      <c r="H195" s="50">
        <v>15</v>
      </c>
      <c r="I195" s="50" t="s">
        <v>8170</v>
      </c>
    </row>
    <row r="196" spans="2:9" ht="13.5">
      <c r="B196" s="48" t="s">
        <v>7056</v>
      </c>
      <c r="C196" s="48" t="s">
        <v>7057</v>
      </c>
      <c r="D196" s="50" t="s">
        <v>8171</v>
      </c>
      <c r="E196" s="50" t="s">
        <v>7351</v>
      </c>
      <c r="F196" s="50" t="s">
        <v>5977</v>
      </c>
      <c r="G196" s="50"/>
      <c r="H196" s="50">
        <v>16</v>
      </c>
      <c r="I196" s="50" t="s">
        <v>8172</v>
      </c>
    </row>
    <row r="197" spans="2:9" ht="13.5">
      <c r="B197" s="48" t="s">
        <v>7056</v>
      </c>
      <c r="C197" s="48" t="s">
        <v>7057</v>
      </c>
      <c r="D197" s="50" t="s">
        <v>8173</v>
      </c>
      <c r="E197" s="50" t="s">
        <v>6688</v>
      </c>
      <c r="F197" s="50" t="s">
        <v>5977</v>
      </c>
      <c r="G197" s="50"/>
      <c r="H197" s="50">
        <v>17</v>
      </c>
      <c r="I197" s="50" t="s">
        <v>8174</v>
      </c>
    </row>
    <row r="198" spans="2:9" ht="13.5">
      <c r="B198" s="48" t="s">
        <v>7056</v>
      </c>
      <c r="C198" s="48" t="s">
        <v>7057</v>
      </c>
      <c r="D198" s="50" t="s">
        <v>8175</v>
      </c>
      <c r="E198" s="50" t="s">
        <v>8167</v>
      </c>
      <c r="F198" s="50" t="s">
        <v>5977</v>
      </c>
      <c r="G198" s="50"/>
      <c r="H198" s="50">
        <v>18</v>
      </c>
      <c r="I198" s="50" t="s">
        <v>8176</v>
      </c>
    </row>
    <row r="199" spans="2:9" ht="13.5">
      <c r="B199" s="48" t="s">
        <v>7056</v>
      </c>
      <c r="C199" s="48" t="s">
        <v>7057</v>
      </c>
      <c r="D199" s="50" t="s">
        <v>8177</v>
      </c>
      <c r="E199" s="50" t="s">
        <v>7351</v>
      </c>
      <c r="F199" s="50" t="s">
        <v>5977</v>
      </c>
      <c r="G199" s="50"/>
      <c r="H199" s="50">
        <v>19</v>
      </c>
      <c r="I199" s="50" t="s">
        <v>8178</v>
      </c>
    </row>
    <row r="200" spans="2:9" ht="13.5">
      <c r="B200" s="48" t="s">
        <v>7056</v>
      </c>
      <c r="C200" s="48" t="s">
        <v>7057</v>
      </c>
      <c r="D200" s="50" t="s">
        <v>8179</v>
      </c>
      <c r="E200" s="50" t="s">
        <v>7351</v>
      </c>
      <c r="F200" s="50" t="s">
        <v>5977</v>
      </c>
      <c r="G200" s="50"/>
      <c r="H200" s="50">
        <v>20</v>
      </c>
      <c r="I200" s="50" t="s">
        <v>8180</v>
      </c>
    </row>
    <row r="201" spans="2:9" ht="13.5">
      <c r="B201" s="48" t="s">
        <v>7056</v>
      </c>
      <c r="C201" s="48" t="s">
        <v>7057</v>
      </c>
      <c r="D201" s="50" t="s">
        <v>8181</v>
      </c>
      <c r="E201" s="50" t="s">
        <v>8182</v>
      </c>
      <c r="F201" s="50" t="s">
        <v>5977</v>
      </c>
      <c r="G201" s="50"/>
      <c r="H201" s="50">
        <v>21</v>
      </c>
      <c r="I201" s="50" t="s">
        <v>8183</v>
      </c>
    </row>
    <row r="202" spans="2:9" ht="13.5">
      <c r="B202" s="48" t="s">
        <v>7056</v>
      </c>
      <c r="C202" s="48" t="s">
        <v>7057</v>
      </c>
      <c r="D202" s="50" t="s">
        <v>8184</v>
      </c>
      <c r="E202" s="50" t="s">
        <v>8182</v>
      </c>
      <c r="F202" s="50" t="s">
        <v>5977</v>
      </c>
      <c r="G202" s="50"/>
      <c r="H202" s="50">
        <v>22</v>
      </c>
      <c r="I202" s="50" t="s">
        <v>8185</v>
      </c>
    </row>
    <row r="203" spans="2:9" ht="13.5">
      <c r="B203" s="48" t="s">
        <v>7056</v>
      </c>
      <c r="C203" s="48" t="s">
        <v>7057</v>
      </c>
      <c r="D203" s="50" t="s">
        <v>2407</v>
      </c>
      <c r="E203" s="50" t="s">
        <v>8182</v>
      </c>
      <c r="F203" s="50" t="s">
        <v>5977</v>
      </c>
      <c r="G203" s="50"/>
      <c r="H203" s="50">
        <v>23</v>
      </c>
      <c r="I203" s="50" t="s">
        <v>2406</v>
      </c>
    </row>
    <row r="204" spans="2:9" ht="13.5">
      <c r="B204" s="48" t="s">
        <v>7056</v>
      </c>
      <c r="C204" s="48" t="s">
        <v>7057</v>
      </c>
      <c r="D204" s="50" t="s">
        <v>8186</v>
      </c>
      <c r="E204" s="50" t="s">
        <v>8182</v>
      </c>
      <c r="F204" s="50" t="s">
        <v>5977</v>
      </c>
      <c r="G204" s="50"/>
      <c r="H204" s="50">
        <v>24</v>
      </c>
      <c r="I204" s="50" t="s">
        <v>8187</v>
      </c>
    </row>
    <row r="205" spans="2:9" ht="13.5">
      <c r="B205" s="48" t="s">
        <v>7056</v>
      </c>
      <c r="C205" s="48" t="s">
        <v>7057</v>
      </c>
      <c r="D205" s="50" t="s">
        <v>8188</v>
      </c>
      <c r="E205" s="50" t="s">
        <v>6899</v>
      </c>
      <c r="F205" s="50" t="s">
        <v>5977</v>
      </c>
      <c r="G205" s="50"/>
      <c r="H205" s="50">
        <v>25</v>
      </c>
      <c r="I205" s="50" t="s">
        <v>8189</v>
      </c>
    </row>
    <row r="206" spans="2:9" ht="13.5">
      <c r="B206" s="48" t="s">
        <v>7056</v>
      </c>
      <c r="C206" s="48" t="s">
        <v>7057</v>
      </c>
      <c r="D206" s="50" t="s">
        <v>8190</v>
      </c>
      <c r="E206" s="50" t="s">
        <v>6713</v>
      </c>
      <c r="F206" s="50" t="s">
        <v>5977</v>
      </c>
      <c r="G206" s="50"/>
      <c r="H206" s="50">
        <v>26</v>
      </c>
      <c r="I206" s="50" t="s">
        <v>8191</v>
      </c>
    </row>
    <row r="207" spans="2:9" ht="13.5">
      <c r="B207" s="48" t="s">
        <v>7056</v>
      </c>
      <c r="C207" s="48" t="s">
        <v>7057</v>
      </c>
      <c r="D207" s="50" t="s">
        <v>8192</v>
      </c>
      <c r="E207" s="50" t="s">
        <v>6903</v>
      </c>
      <c r="F207" s="50" t="s">
        <v>5977</v>
      </c>
      <c r="G207" s="50"/>
      <c r="H207" s="50">
        <v>27</v>
      </c>
      <c r="I207" s="50" t="s">
        <v>8193</v>
      </c>
    </row>
    <row r="208" spans="2:9" ht="13.5">
      <c r="B208" s="48" t="s">
        <v>7056</v>
      </c>
      <c r="C208" s="48" t="s">
        <v>7057</v>
      </c>
      <c r="D208" s="50" t="s">
        <v>6589</v>
      </c>
      <c r="E208" s="50" t="s">
        <v>6590</v>
      </c>
      <c r="F208" s="50" t="s">
        <v>5977</v>
      </c>
      <c r="G208" s="50"/>
      <c r="H208" s="50">
        <v>28</v>
      </c>
      <c r="I208" s="50" t="s">
        <v>6101</v>
      </c>
    </row>
    <row r="209" spans="2:9" ht="13.5">
      <c r="B209" s="48" t="s">
        <v>7056</v>
      </c>
      <c r="C209" s="48" t="s">
        <v>7057</v>
      </c>
      <c r="D209" s="50" t="s">
        <v>6902</v>
      </c>
      <c r="E209" s="50" t="s">
        <v>6903</v>
      </c>
      <c r="F209" s="50" t="s">
        <v>5977</v>
      </c>
      <c r="G209" s="50"/>
      <c r="H209" s="50">
        <v>29</v>
      </c>
      <c r="I209" s="50" t="s">
        <v>142</v>
      </c>
    </row>
    <row r="210" spans="2:9" ht="13.5">
      <c r="B210" s="48" t="s">
        <v>7056</v>
      </c>
      <c r="C210" s="48" t="s">
        <v>7057</v>
      </c>
      <c r="D210" s="50" t="s">
        <v>8194</v>
      </c>
      <c r="E210" s="50" t="s">
        <v>6495</v>
      </c>
      <c r="F210" s="50" t="s">
        <v>5977</v>
      </c>
      <c r="G210" s="50"/>
      <c r="H210" s="50">
        <v>30</v>
      </c>
      <c r="I210" s="50" t="s">
        <v>8195</v>
      </c>
    </row>
    <row r="211" spans="2:9" ht="13.5">
      <c r="B211" s="48" t="s">
        <v>7056</v>
      </c>
      <c r="C211" s="48" t="s">
        <v>7057</v>
      </c>
      <c r="D211" s="50" t="s">
        <v>8196</v>
      </c>
      <c r="E211" s="50" t="s">
        <v>6909</v>
      </c>
      <c r="F211" s="50" t="s">
        <v>5977</v>
      </c>
      <c r="G211" s="50"/>
      <c r="H211" s="50">
        <v>31</v>
      </c>
      <c r="I211" s="50" t="s">
        <v>8197</v>
      </c>
    </row>
    <row r="212" spans="2:9" ht="13.5">
      <c r="B212" s="48" t="s">
        <v>7056</v>
      </c>
      <c r="C212" s="48" t="s">
        <v>7057</v>
      </c>
      <c r="D212" s="50" t="s">
        <v>8198</v>
      </c>
      <c r="E212" s="50" t="s">
        <v>6590</v>
      </c>
      <c r="F212" s="50" t="s">
        <v>5977</v>
      </c>
      <c r="G212" s="50"/>
      <c r="H212" s="50">
        <v>32</v>
      </c>
      <c r="I212" s="50" t="s">
        <v>8199</v>
      </c>
    </row>
    <row r="213" spans="2:9" ht="13.5">
      <c r="B213" s="48" t="s">
        <v>7056</v>
      </c>
      <c r="C213" s="48" t="s">
        <v>7057</v>
      </c>
      <c r="D213" s="50" t="s">
        <v>8200</v>
      </c>
      <c r="E213" s="50" t="s">
        <v>6903</v>
      </c>
      <c r="F213" s="50" t="s">
        <v>5977</v>
      </c>
      <c r="G213" s="50"/>
      <c r="H213" s="50">
        <v>33</v>
      </c>
      <c r="I213" s="50" t="s">
        <v>8201</v>
      </c>
    </row>
    <row r="214" spans="2:9" ht="13.5">
      <c r="B214" s="48" t="s">
        <v>7056</v>
      </c>
      <c r="C214" s="48" t="s">
        <v>7057</v>
      </c>
      <c r="D214" s="50" t="s">
        <v>8202</v>
      </c>
      <c r="E214" s="50" t="s">
        <v>6590</v>
      </c>
      <c r="F214" s="50" t="s">
        <v>5977</v>
      </c>
      <c r="G214" s="50"/>
      <c r="H214" s="50">
        <v>34</v>
      </c>
      <c r="I214" s="50" t="s">
        <v>8203</v>
      </c>
    </row>
    <row r="215" spans="2:9" ht="13.5">
      <c r="B215" s="48" t="s">
        <v>7056</v>
      </c>
      <c r="C215" s="48" t="s">
        <v>7057</v>
      </c>
      <c r="D215" s="50" t="s">
        <v>8204</v>
      </c>
      <c r="E215" s="50" t="s">
        <v>6903</v>
      </c>
      <c r="F215" s="50" t="s">
        <v>5977</v>
      </c>
      <c r="G215" s="50"/>
      <c r="H215" s="50">
        <v>35</v>
      </c>
      <c r="I215" s="50" t="s">
        <v>8205</v>
      </c>
    </row>
    <row r="216" spans="2:9" ht="13.5">
      <c r="B216" s="48" t="s">
        <v>7056</v>
      </c>
      <c r="C216" s="48" t="s">
        <v>7057</v>
      </c>
      <c r="D216" s="50" t="s">
        <v>8206</v>
      </c>
      <c r="E216" s="50" t="s">
        <v>6495</v>
      </c>
      <c r="F216" s="50" t="s">
        <v>5977</v>
      </c>
      <c r="G216" s="50"/>
      <c r="H216" s="50">
        <v>36</v>
      </c>
      <c r="I216" s="50" t="s">
        <v>8207</v>
      </c>
    </row>
    <row r="217" spans="2:9" ht="13.5">
      <c r="B217" s="48" t="s">
        <v>7056</v>
      </c>
      <c r="C217" s="48" t="s">
        <v>7057</v>
      </c>
      <c r="D217" s="50" t="s">
        <v>8208</v>
      </c>
      <c r="E217" s="50" t="s">
        <v>6903</v>
      </c>
      <c r="F217" s="50" t="s">
        <v>5977</v>
      </c>
      <c r="G217" s="50"/>
      <c r="H217" s="50">
        <v>37</v>
      </c>
      <c r="I217" s="50" t="s">
        <v>8209</v>
      </c>
    </row>
    <row r="218" spans="2:9" ht="13.5">
      <c r="B218" s="48" t="s">
        <v>7056</v>
      </c>
      <c r="C218" s="48" t="s">
        <v>7057</v>
      </c>
      <c r="D218" s="50" t="s">
        <v>6904</v>
      </c>
      <c r="E218" s="50" t="s">
        <v>6571</v>
      </c>
      <c r="F218" s="50" t="s">
        <v>5977</v>
      </c>
      <c r="G218" s="50"/>
      <c r="H218" s="50">
        <v>38</v>
      </c>
      <c r="I218" s="50" t="s">
        <v>6905</v>
      </c>
    </row>
    <row r="219" spans="2:9" ht="13.5">
      <c r="B219" s="48" t="s">
        <v>7056</v>
      </c>
      <c r="C219" s="48" t="s">
        <v>7057</v>
      </c>
      <c r="D219" s="50" t="s">
        <v>6906</v>
      </c>
      <c r="E219" s="50" t="s">
        <v>6907</v>
      </c>
      <c r="F219" s="50" t="s">
        <v>5977</v>
      </c>
      <c r="G219" s="50"/>
      <c r="H219" s="50">
        <v>39</v>
      </c>
      <c r="I219" s="50" t="s">
        <v>549</v>
      </c>
    </row>
    <row r="220" spans="2:9" ht="13.5">
      <c r="B220" s="48" t="s">
        <v>7056</v>
      </c>
      <c r="C220" s="48" t="s">
        <v>7057</v>
      </c>
      <c r="D220" s="50" t="s">
        <v>6600</v>
      </c>
      <c r="E220" s="50" t="s">
        <v>6697</v>
      </c>
      <c r="F220" s="50" t="s">
        <v>5977</v>
      </c>
      <c r="G220" s="50"/>
      <c r="H220" s="50">
        <v>40</v>
      </c>
      <c r="I220" s="50" t="s">
        <v>6719</v>
      </c>
    </row>
    <row r="221" spans="2:9" ht="13.5">
      <c r="B221" s="48" t="s">
        <v>7056</v>
      </c>
      <c r="C221" s="48" t="s">
        <v>7057</v>
      </c>
      <c r="D221" s="50" t="s">
        <v>6908</v>
      </c>
      <c r="E221" s="50" t="s">
        <v>6909</v>
      </c>
      <c r="F221" s="50" t="s">
        <v>5977</v>
      </c>
      <c r="G221" s="50"/>
      <c r="H221" s="50">
        <v>41</v>
      </c>
      <c r="I221" s="50" t="s">
        <v>6910</v>
      </c>
    </row>
    <row r="222" spans="2:9" ht="13.5">
      <c r="B222" s="48" t="s">
        <v>7056</v>
      </c>
      <c r="C222" s="48" t="s">
        <v>7057</v>
      </c>
      <c r="D222" s="50" t="s">
        <v>6601</v>
      </c>
      <c r="E222" s="50" t="s">
        <v>6697</v>
      </c>
      <c r="F222" s="50" t="s">
        <v>5977</v>
      </c>
      <c r="G222" s="50"/>
      <c r="H222" s="50">
        <v>42</v>
      </c>
      <c r="I222" s="50" t="s">
        <v>6720</v>
      </c>
    </row>
    <row r="223" spans="2:9" ht="13.5">
      <c r="B223" s="48" t="s">
        <v>7056</v>
      </c>
      <c r="C223" s="48" t="s">
        <v>7057</v>
      </c>
      <c r="D223" s="50" t="s">
        <v>6911</v>
      </c>
      <c r="E223" s="50" t="s">
        <v>6909</v>
      </c>
      <c r="F223" s="50" t="s">
        <v>5977</v>
      </c>
      <c r="G223" s="50"/>
      <c r="H223" s="50">
        <v>43</v>
      </c>
      <c r="I223" s="50" t="s">
        <v>6912</v>
      </c>
    </row>
    <row r="224" spans="2:9" ht="13.5">
      <c r="B224" s="48" t="s">
        <v>7056</v>
      </c>
      <c r="C224" s="48" t="s">
        <v>7057</v>
      </c>
      <c r="D224" s="50" t="s">
        <v>6685</v>
      </c>
      <c r="E224" s="50" t="s">
        <v>6697</v>
      </c>
      <c r="F224" s="50" t="s">
        <v>5977</v>
      </c>
      <c r="G224" s="50"/>
      <c r="H224" s="50">
        <v>44</v>
      </c>
      <c r="I224" s="50" t="s">
        <v>6171</v>
      </c>
    </row>
    <row r="225" spans="2:9" ht="13.5">
      <c r="B225" s="48" t="s">
        <v>7056</v>
      </c>
      <c r="C225" s="48" t="s">
        <v>7057</v>
      </c>
      <c r="D225" s="50" t="s">
        <v>6913</v>
      </c>
      <c r="E225" s="50" t="s">
        <v>6909</v>
      </c>
      <c r="F225" s="50" t="s">
        <v>5977</v>
      </c>
      <c r="G225" s="50"/>
      <c r="H225" s="50">
        <v>45</v>
      </c>
      <c r="I225" s="50" t="s">
        <v>6914</v>
      </c>
    </row>
    <row r="226" spans="2:9" ht="13.5">
      <c r="B226" s="48" t="s">
        <v>7056</v>
      </c>
      <c r="C226" s="48" t="s">
        <v>7057</v>
      </c>
      <c r="D226" s="50" t="s">
        <v>7159</v>
      </c>
      <c r="E226" s="50" t="s">
        <v>6697</v>
      </c>
      <c r="F226" s="50" t="s">
        <v>5977</v>
      </c>
      <c r="G226" s="50"/>
      <c r="H226" s="50">
        <v>46</v>
      </c>
      <c r="I226" s="50" t="s">
        <v>7160</v>
      </c>
    </row>
    <row r="227" spans="2:9" ht="13.5">
      <c r="B227" s="48" t="s">
        <v>7056</v>
      </c>
      <c r="C227" s="48" t="s">
        <v>7057</v>
      </c>
      <c r="D227" s="50" t="s">
        <v>7161</v>
      </c>
      <c r="E227" s="50" t="s">
        <v>6899</v>
      </c>
      <c r="F227" s="50" t="s">
        <v>5977</v>
      </c>
      <c r="G227" s="50"/>
      <c r="H227" s="50">
        <v>47</v>
      </c>
      <c r="I227" s="50" t="s">
        <v>7162</v>
      </c>
    </row>
    <row r="228" spans="2:9" ht="13.5">
      <c r="B228" s="48" t="s">
        <v>7056</v>
      </c>
      <c r="C228" s="48" t="s">
        <v>7057</v>
      </c>
      <c r="D228" s="50" t="s">
        <v>8210</v>
      </c>
      <c r="E228" s="50" t="s">
        <v>6697</v>
      </c>
      <c r="F228" s="50" t="s">
        <v>5977</v>
      </c>
      <c r="G228" s="50"/>
      <c r="H228" s="50">
        <v>48</v>
      </c>
      <c r="I228" s="50" t="s">
        <v>8211</v>
      </c>
    </row>
    <row r="229" spans="2:9" ht="13.5">
      <c r="B229" s="48" t="s">
        <v>7056</v>
      </c>
      <c r="C229" s="48" t="s">
        <v>7057</v>
      </c>
      <c r="D229" s="50" t="s">
        <v>8212</v>
      </c>
      <c r="E229" s="50" t="s">
        <v>6909</v>
      </c>
      <c r="F229" s="50" t="s">
        <v>5977</v>
      </c>
      <c r="G229" s="50"/>
      <c r="H229" s="50">
        <v>49</v>
      </c>
      <c r="I229" s="50" t="s">
        <v>8213</v>
      </c>
    </row>
    <row r="230" spans="2:9" ht="13.5">
      <c r="B230" s="48" t="s">
        <v>7056</v>
      </c>
      <c r="C230" s="48" t="s">
        <v>7057</v>
      </c>
      <c r="D230" s="50" t="s">
        <v>6915</v>
      </c>
      <c r="E230" s="50" t="s">
        <v>6903</v>
      </c>
      <c r="F230" s="50" t="s">
        <v>5977</v>
      </c>
      <c r="G230" s="50"/>
      <c r="H230" s="50">
        <v>50</v>
      </c>
      <c r="I230" s="50" t="s">
        <v>6282</v>
      </c>
    </row>
    <row r="231" spans="2:9" ht="13.5">
      <c r="B231" s="48" t="s">
        <v>7056</v>
      </c>
      <c r="C231" s="48" t="s">
        <v>7057</v>
      </c>
      <c r="D231" s="50" t="s">
        <v>6687</v>
      </c>
      <c r="E231" s="50" t="s">
        <v>6688</v>
      </c>
      <c r="F231" s="50" t="s">
        <v>5977</v>
      </c>
      <c r="G231" s="50"/>
      <c r="H231" s="50">
        <v>51</v>
      </c>
      <c r="I231" s="50" t="s">
        <v>7343</v>
      </c>
    </row>
    <row r="232" spans="2:9" ht="13.5">
      <c r="B232" s="48" t="s">
        <v>7056</v>
      </c>
      <c r="C232" s="48" t="s">
        <v>7057</v>
      </c>
      <c r="D232" s="50" t="s">
        <v>7344</v>
      </c>
      <c r="E232" s="50" t="s">
        <v>6688</v>
      </c>
      <c r="F232" s="50" t="s">
        <v>5977</v>
      </c>
      <c r="G232" s="50"/>
      <c r="H232" s="50">
        <v>52</v>
      </c>
      <c r="I232" s="50" t="s">
        <v>7345</v>
      </c>
    </row>
    <row r="233" spans="2:9" ht="13.5">
      <c r="B233" s="48" t="s">
        <v>7056</v>
      </c>
      <c r="C233" s="48" t="s">
        <v>7057</v>
      </c>
      <c r="D233" s="50" t="s">
        <v>7346</v>
      </c>
      <c r="E233" s="50" t="s">
        <v>6688</v>
      </c>
      <c r="F233" s="50" t="s">
        <v>5977</v>
      </c>
      <c r="G233" s="50"/>
      <c r="H233" s="50">
        <v>53</v>
      </c>
      <c r="I233" s="50" t="s">
        <v>7347</v>
      </c>
    </row>
    <row r="234" spans="2:9" ht="13.5">
      <c r="B234" s="48" t="s">
        <v>7056</v>
      </c>
      <c r="C234" s="48" t="s">
        <v>7057</v>
      </c>
      <c r="D234" s="50" t="s">
        <v>8214</v>
      </c>
      <c r="E234" s="50" t="s">
        <v>6688</v>
      </c>
      <c r="F234" s="50" t="s">
        <v>5977</v>
      </c>
      <c r="G234" s="50"/>
      <c r="H234" s="50">
        <v>54</v>
      </c>
      <c r="I234" s="50" t="s">
        <v>8215</v>
      </c>
    </row>
    <row r="235" spans="2:9" ht="13.5">
      <c r="B235" s="48" t="s">
        <v>7056</v>
      </c>
      <c r="C235" s="48" t="s">
        <v>7057</v>
      </c>
      <c r="D235" s="50" t="s">
        <v>7348</v>
      </c>
      <c r="E235" s="50" t="s">
        <v>6688</v>
      </c>
      <c r="F235" s="50" t="s">
        <v>5977</v>
      </c>
      <c r="G235" s="50"/>
      <c r="H235" s="50">
        <v>55</v>
      </c>
      <c r="I235" s="50" t="s">
        <v>7349</v>
      </c>
    </row>
    <row r="236" spans="2:9" ht="13.5">
      <c r="B236" s="48" t="s">
        <v>7056</v>
      </c>
      <c r="C236" s="48" t="s">
        <v>7057</v>
      </c>
      <c r="D236" s="50" t="s">
        <v>6690</v>
      </c>
      <c r="E236" s="50" t="s">
        <v>6688</v>
      </c>
      <c r="F236" s="50" t="s">
        <v>5977</v>
      </c>
      <c r="G236" s="50"/>
      <c r="H236" s="50">
        <v>56</v>
      </c>
      <c r="I236" s="50" t="s">
        <v>6691</v>
      </c>
    </row>
    <row r="237" spans="2:9" ht="13.5">
      <c r="B237" s="48" t="s">
        <v>7056</v>
      </c>
      <c r="C237" s="48" t="s">
        <v>7057</v>
      </c>
      <c r="D237" s="50" t="s">
        <v>6692</v>
      </c>
      <c r="E237" s="50" t="s">
        <v>6688</v>
      </c>
      <c r="F237" s="50" t="s">
        <v>5977</v>
      </c>
      <c r="G237" s="50"/>
      <c r="H237" s="50">
        <v>57</v>
      </c>
      <c r="I237" s="50" t="s">
        <v>6693</v>
      </c>
    </row>
    <row r="238" spans="2:9" ht="13.5">
      <c r="B238" s="48" t="s">
        <v>7056</v>
      </c>
      <c r="C238" s="48" t="s">
        <v>7057</v>
      </c>
      <c r="D238" s="50" t="s">
        <v>2413</v>
      </c>
      <c r="E238" s="50" t="s">
        <v>6721</v>
      </c>
      <c r="F238" s="50" t="s">
        <v>5977</v>
      </c>
      <c r="G238" s="50"/>
      <c r="H238" s="50">
        <v>58</v>
      </c>
      <c r="I238" s="50" t="s">
        <v>2412</v>
      </c>
    </row>
    <row r="239" spans="2:9" ht="13.5">
      <c r="B239" s="48" t="s">
        <v>7056</v>
      </c>
      <c r="C239" s="48" t="s">
        <v>7057</v>
      </c>
      <c r="D239" s="50" t="s">
        <v>8216</v>
      </c>
      <c r="E239" s="50" t="s">
        <v>7000</v>
      </c>
      <c r="F239" s="50" t="s">
        <v>5977</v>
      </c>
      <c r="G239" s="50"/>
      <c r="H239" s="50">
        <v>59</v>
      </c>
      <c r="I239" s="50" t="s">
        <v>8217</v>
      </c>
    </row>
    <row r="240" spans="2:9" ht="13.5">
      <c r="B240" s="48" t="s">
        <v>7056</v>
      </c>
      <c r="C240" s="48" t="s">
        <v>7057</v>
      </c>
      <c r="D240" s="50" t="s">
        <v>6917</v>
      </c>
      <c r="E240" s="50" t="s">
        <v>6688</v>
      </c>
      <c r="F240" s="50" t="s">
        <v>5977</v>
      </c>
      <c r="G240" s="50"/>
      <c r="H240" s="50">
        <v>60</v>
      </c>
      <c r="I240" s="50" t="s">
        <v>6918</v>
      </c>
    </row>
    <row r="241" spans="2:9" ht="13.5">
      <c r="B241" s="48" t="s">
        <v>7056</v>
      </c>
      <c r="C241" s="48" t="s">
        <v>7057</v>
      </c>
      <c r="D241" s="50" t="s">
        <v>6919</v>
      </c>
      <c r="E241" s="50" t="s">
        <v>6688</v>
      </c>
      <c r="F241" s="50" t="s">
        <v>5977</v>
      </c>
      <c r="G241" s="50"/>
      <c r="H241" s="50">
        <v>61</v>
      </c>
      <c r="I241" s="50" t="s">
        <v>6920</v>
      </c>
    </row>
    <row r="242" spans="2:9" ht="13.5">
      <c r="B242" s="48" t="s">
        <v>7056</v>
      </c>
      <c r="C242" s="48" t="s">
        <v>7057</v>
      </c>
      <c r="D242" s="50" t="s">
        <v>8218</v>
      </c>
      <c r="E242" s="50" t="s">
        <v>6697</v>
      </c>
      <c r="F242" s="50" t="s">
        <v>5977</v>
      </c>
      <c r="G242" s="50"/>
      <c r="H242" s="50">
        <v>62</v>
      </c>
      <c r="I242" s="50" t="s">
        <v>8219</v>
      </c>
    </row>
    <row r="243" spans="2:9" ht="13.5">
      <c r="B243" s="48" t="s">
        <v>7056</v>
      </c>
      <c r="C243" s="48" t="s">
        <v>7057</v>
      </c>
      <c r="D243" s="50" t="s">
        <v>8220</v>
      </c>
      <c r="E243" s="50" t="s">
        <v>6909</v>
      </c>
      <c r="F243" s="50" t="s">
        <v>5977</v>
      </c>
      <c r="G243" s="50"/>
      <c r="H243" s="50">
        <v>63</v>
      </c>
      <c r="I243" s="50" t="s">
        <v>8221</v>
      </c>
    </row>
    <row r="244" spans="2:9" ht="13.5">
      <c r="B244" s="48" t="s">
        <v>7056</v>
      </c>
      <c r="C244" s="48" t="s">
        <v>7057</v>
      </c>
      <c r="D244" s="50" t="s">
        <v>8222</v>
      </c>
      <c r="E244" s="50" t="s">
        <v>6590</v>
      </c>
      <c r="F244" s="50" t="s">
        <v>5977</v>
      </c>
      <c r="G244" s="50"/>
      <c r="H244" s="50">
        <v>64</v>
      </c>
      <c r="I244" s="50" t="s">
        <v>8223</v>
      </c>
    </row>
    <row r="245" spans="2:9" ht="13.5">
      <c r="B245" s="48" t="s">
        <v>7056</v>
      </c>
      <c r="C245" s="48" t="s">
        <v>7057</v>
      </c>
      <c r="D245" s="50" t="s">
        <v>8224</v>
      </c>
      <c r="E245" s="50" t="s">
        <v>6903</v>
      </c>
      <c r="F245" s="50" t="s">
        <v>5977</v>
      </c>
      <c r="G245" s="50"/>
      <c r="H245" s="50">
        <v>65</v>
      </c>
      <c r="I245" s="50" t="s">
        <v>8225</v>
      </c>
    </row>
    <row r="246" spans="2:9" ht="13.5">
      <c r="B246" s="48" t="s">
        <v>7056</v>
      </c>
      <c r="C246" s="48" t="s">
        <v>7057</v>
      </c>
      <c r="D246" s="50" t="s">
        <v>6921</v>
      </c>
      <c r="E246" s="50" t="s">
        <v>6688</v>
      </c>
      <c r="F246" s="50" t="s">
        <v>5977</v>
      </c>
      <c r="G246" s="50"/>
      <c r="H246" s="50">
        <v>66</v>
      </c>
      <c r="I246" s="50" t="s">
        <v>6922</v>
      </c>
    </row>
    <row r="247" spans="2:9" ht="13.5">
      <c r="B247" s="48" t="s">
        <v>7056</v>
      </c>
      <c r="C247" s="48" t="s">
        <v>7057</v>
      </c>
      <c r="D247" s="50" t="s">
        <v>7302</v>
      </c>
      <c r="E247" s="50" t="s">
        <v>6688</v>
      </c>
      <c r="F247" s="50" t="s">
        <v>5977</v>
      </c>
      <c r="G247" s="50"/>
      <c r="H247" s="50">
        <v>67</v>
      </c>
      <c r="I247" s="50" t="s">
        <v>7303</v>
      </c>
    </row>
    <row r="248" spans="2:9" ht="13.5">
      <c r="B248" s="48" t="s">
        <v>7056</v>
      </c>
      <c r="C248" s="48" t="s">
        <v>7057</v>
      </c>
      <c r="D248" s="50" t="s">
        <v>7304</v>
      </c>
      <c r="E248" s="50" t="s">
        <v>6688</v>
      </c>
      <c r="F248" s="50" t="s">
        <v>5977</v>
      </c>
      <c r="G248" s="50"/>
      <c r="H248" s="50">
        <v>68</v>
      </c>
      <c r="I248" s="50" t="s">
        <v>7305</v>
      </c>
    </row>
    <row r="249" spans="2:9" ht="13.5">
      <c r="B249" s="48" t="s">
        <v>7056</v>
      </c>
      <c r="C249" s="48" t="s">
        <v>7057</v>
      </c>
      <c r="D249" s="50" t="s">
        <v>6927</v>
      </c>
      <c r="E249" s="50" t="s">
        <v>6697</v>
      </c>
      <c r="F249" s="50" t="s">
        <v>5977</v>
      </c>
      <c r="G249" s="50"/>
      <c r="H249" s="50">
        <v>69</v>
      </c>
      <c r="I249" s="50" t="s">
        <v>7310</v>
      </c>
    </row>
    <row r="250" spans="2:9" ht="13.5">
      <c r="B250" s="48" t="s">
        <v>7056</v>
      </c>
      <c r="C250" s="48" t="s">
        <v>7057</v>
      </c>
      <c r="D250" s="50" t="s">
        <v>6929</v>
      </c>
      <c r="E250" s="50" t="s">
        <v>6688</v>
      </c>
      <c r="F250" s="50" t="s">
        <v>5977</v>
      </c>
      <c r="G250" s="50"/>
      <c r="H250" s="50">
        <v>70</v>
      </c>
      <c r="I250" s="50" t="s">
        <v>6930</v>
      </c>
    </row>
    <row r="251" spans="2:9" ht="13.5">
      <c r="B251" s="48" t="s">
        <v>7056</v>
      </c>
      <c r="C251" s="48" t="s">
        <v>7057</v>
      </c>
      <c r="D251" s="50" t="s">
        <v>6931</v>
      </c>
      <c r="E251" s="50" t="s">
        <v>6688</v>
      </c>
      <c r="F251" s="50" t="s">
        <v>5977</v>
      </c>
      <c r="G251" s="50"/>
      <c r="H251" s="50">
        <v>71</v>
      </c>
      <c r="I251" s="50" t="s">
        <v>6932</v>
      </c>
    </row>
    <row r="252" spans="2:9" ht="13.5">
      <c r="B252" s="48" t="s">
        <v>7056</v>
      </c>
      <c r="C252" s="48" t="s">
        <v>7057</v>
      </c>
      <c r="D252" s="50" t="s">
        <v>6933</v>
      </c>
      <c r="E252" s="50" t="s">
        <v>6713</v>
      </c>
      <c r="F252" s="50" t="s">
        <v>5977</v>
      </c>
      <c r="G252" s="50"/>
      <c r="H252" s="50">
        <v>72</v>
      </c>
      <c r="I252" s="50" t="s">
        <v>7306</v>
      </c>
    </row>
    <row r="253" spans="2:9" ht="13.5">
      <c r="B253" s="48" t="s">
        <v>7056</v>
      </c>
      <c r="C253" s="48" t="s">
        <v>7057</v>
      </c>
      <c r="D253" s="50" t="s">
        <v>6935</v>
      </c>
      <c r="E253" s="50" t="s">
        <v>6688</v>
      </c>
      <c r="F253" s="50" t="s">
        <v>5977</v>
      </c>
      <c r="G253" s="50"/>
      <c r="H253" s="50">
        <v>73</v>
      </c>
      <c r="I253" s="50" t="s">
        <v>6936</v>
      </c>
    </row>
    <row r="254" spans="2:9" ht="13.5">
      <c r="B254" s="48" t="s">
        <v>7056</v>
      </c>
      <c r="C254" s="48" t="s">
        <v>7057</v>
      </c>
      <c r="D254" s="50" t="s">
        <v>8226</v>
      </c>
      <c r="E254" s="50" t="s">
        <v>6903</v>
      </c>
      <c r="F254" s="50" t="s">
        <v>5977</v>
      </c>
      <c r="G254" s="50"/>
      <c r="H254" s="50">
        <v>74</v>
      </c>
      <c r="I254" s="50" t="s">
        <v>8227</v>
      </c>
    </row>
    <row r="255" spans="2:9" ht="13.5">
      <c r="B255" s="48" t="s">
        <v>7056</v>
      </c>
      <c r="C255" s="48" t="s">
        <v>7057</v>
      </c>
      <c r="D255" s="50" t="s">
        <v>8228</v>
      </c>
      <c r="E255" s="50" t="s">
        <v>6697</v>
      </c>
      <c r="F255" s="50" t="s">
        <v>5977</v>
      </c>
      <c r="G255" s="50"/>
      <c r="H255" s="50">
        <v>75</v>
      </c>
      <c r="I255" s="50" t="s">
        <v>8229</v>
      </c>
    </row>
    <row r="256" spans="2:9" ht="13.5">
      <c r="B256" s="48" t="s">
        <v>7056</v>
      </c>
      <c r="C256" s="48" t="s">
        <v>7057</v>
      </c>
      <c r="D256" s="50" t="s">
        <v>8230</v>
      </c>
      <c r="E256" s="50" t="s">
        <v>6903</v>
      </c>
      <c r="F256" s="50" t="s">
        <v>5977</v>
      </c>
      <c r="G256" s="50"/>
      <c r="H256" s="50">
        <v>76</v>
      </c>
      <c r="I256" s="50" t="s">
        <v>8231</v>
      </c>
    </row>
    <row r="257" spans="2:9" ht="13.5">
      <c r="B257" s="48" t="s">
        <v>7056</v>
      </c>
      <c r="C257" s="48" t="s">
        <v>7057</v>
      </c>
      <c r="D257" s="50" t="s">
        <v>8232</v>
      </c>
      <c r="E257" s="50" t="s">
        <v>6697</v>
      </c>
      <c r="F257" s="50" t="s">
        <v>5977</v>
      </c>
      <c r="G257" s="50"/>
      <c r="H257" s="50">
        <v>77</v>
      </c>
      <c r="I257" s="50" t="s">
        <v>8233</v>
      </c>
    </row>
    <row r="258" spans="2:9" ht="13.5">
      <c r="B258" s="48" t="s">
        <v>7056</v>
      </c>
      <c r="C258" s="48" t="s">
        <v>7057</v>
      </c>
      <c r="D258" s="50" t="s">
        <v>8234</v>
      </c>
      <c r="E258" s="50" t="s">
        <v>6903</v>
      </c>
      <c r="F258" s="50" t="s">
        <v>5977</v>
      </c>
      <c r="G258" s="50"/>
      <c r="H258" s="50">
        <v>78</v>
      </c>
      <c r="I258" s="50" t="s">
        <v>8235</v>
      </c>
    </row>
    <row r="259" spans="2:9" ht="13.5">
      <c r="B259" s="48" t="s">
        <v>7056</v>
      </c>
      <c r="C259" s="48" t="s">
        <v>7057</v>
      </c>
      <c r="D259" s="50" t="s">
        <v>8236</v>
      </c>
      <c r="E259" s="50" t="s">
        <v>6495</v>
      </c>
      <c r="F259" s="50" t="s">
        <v>5977</v>
      </c>
      <c r="G259" s="50"/>
      <c r="H259" s="50">
        <v>79</v>
      </c>
      <c r="I259" s="50" t="s">
        <v>8237</v>
      </c>
    </row>
    <row r="260" spans="2:9" ht="13.5">
      <c r="B260" s="48" t="s">
        <v>7056</v>
      </c>
      <c r="C260" s="48" t="s">
        <v>7057</v>
      </c>
      <c r="D260" s="50" t="s">
        <v>8238</v>
      </c>
      <c r="E260" s="50" t="s">
        <v>6903</v>
      </c>
      <c r="F260" s="50" t="s">
        <v>5977</v>
      </c>
      <c r="G260" s="50"/>
      <c r="H260" s="50">
        <v>80</v>
      </c>
      <c r="I260" s="50" t="s">
        <v>8239</v>
      </c>
    </row>
    <row r="261" spans="2:9" ht="13.5">
      <c r="B261" s="48" t="s">
        <v>7056</v>
      </c>
      <c r="C261" s="48" t="s">
        <v>7057</v>
      </c>
      <c r="D261" s="50" t="s">
        <v>8240</v>
      </c>
      <c r="E261" s="50" t="s">
        <v>6697</v>
      </c>
      <c r="F261" s="50" t="s">
        <v>5977</v>
      </c>
      <c r="G261" s="50"/>
      <c r="H261" s="50">
        <v>81</v>
      </c>
      <c r="I261" s="50" t="s">
        <v>8241</v>
      </c>
    </row>
    <row r="262" spans="2:9" ht="13.5">
      <c r="B262" s="48" t="s">
        <v>7056</v>
      </c>
      <c r="C262" s="48" t="s">
        <v>7057</v>
      </c>
      <c r="D262" s="50" t="s">
        <v>8242</v>
      </c>
      <c r="E262" s="50" t="s">
        <v>6903</v>
      </c>
      <c r="F262" s="50" t="s">
        <v>5977</v>
      </c>
      <c r="G262" s="50"/>
      <c r="H262" s="50">
        <v>82</v>
      </c>
      <c r="I262" s="50" t="s">
        <v>8243</v>
      </c>
    </row>
    <row r="263" spans="2:9" ht="13.5">
      <c r="B263" s="48" t="s">
        <v>7056</v>
      </c>
      <c r="C263" s="48" t="s">
        <v>7057</v>
      </c>
      <c r="D263" s="50" t="s">
        <v>8244</v>
      </c>
      <c r="E263" s="50" t="s">
        <v>6697</v>
      </c>
      <c r="F263" s="50" t="s">
        <v>5977</v>
      </c>
      <c r="G263" s="50"/>
      <c r="H263" s="50">
        <v>83</v>
      </c>
      <c r="I263" s="50" t="s">
        <v>8245</v>
      </c>
    </row>
    <row r="264" spans="2:9" ht="13.5">
      <c r="B264" s="48" t="s">
        <v>7056</v>
      </c>
      <c r="C264" s="48" t="s">
        <v>7057</v>
      </c>
      <c r="D264" s="50" t="s">
        <v>8246</v>
      </c>
      <c r="E264" s="50" t="s">
        <v>6903</v>
      </c>
      <c r="F264" s="50" t="s">
        <v>5977</v>
      </c>
      <c r="G264" s="50"/>
      <c r="H264" s="50">
        <v>84</v>
      </c>
      <c r="I264" s="50" t="s">
        <v>8247</v>
      </c>
    </row>
    <row r="265" spans="2:9" ht="13.5">
      <c r="B265" s="48" t="s">
        <v>7056</v>
      </c>
      <c r="C265" s="48" t="s">
        <v>7057</v>
      </c>
      <c r="D265" s="50" t="s">
        <v>8248</v>
      </c>
      <c r="E265" s="50" t="s">
        <v>6713</v>
      </c>
      <c r="F265" s="50" t="s">
        <v>5977</v>
      </c>
      <c r="G265" s="50"/>
      <c r="H265" s="50">
        <v>85</v>
      </c>
      <c r="I265" s="50" t="s">
        <v>8249</v>
      </c>
    </row>
    <row r="266" spans="2:9" ht="13.5">
      <c r="B266" s="48" t="s">
        <v>7056</v>
      </c>
      <c r="C266" s="48" t="s">
        <v>7057</v>
      </c>
      <c r="D266" s="50" t="s">
        <v>8250</v>
      </c>
      <c r="E266" s="50" t="s">
        <v>6697</v>
      </c>
      <c r="F266" s="50" t="s">
        <v>5977</v>
      </c>
      <c r="G266" s="50"/>
      <c r="H266" s="50">
        <v>86</v>
      </c>
      <c r="I266" s="50" t="s">
        <v>8251</v>
      </c>
    </row>
    <row r="267" spans="2:9" ht="13.5">
      <c r="B267" s="48" t="s">
        <v>7056</v>
      </c>
      <c r="C267" s="48" t="s">
        <v>7057</v>
      </c>
      <c r="D267" s="50" t="s">
        <v>8252</v>
      </c>
      <c r="E267" s="50" t="s">
        <v>6909</v>
      </c>
      <c r="F267" s="50" t="s">
        <v>5977</v>
      </c>
      <c r="G267" s="50"/>
      <c r="H267" s="50">
        <v>87</v>
      </c>
      <c r="I267" s="50" t="s">
        <v>8253</v>
      </c>
    </row>
    <row r="268" spans="2:9" ht="13.5">
      <c r="B268" s="48" t="s">
        <v>7056</v>
      </c>
      <c r="C268" s="48" t="s">
        <v>7057</v>
      </c>
      <c r="D268" s="50" t="s">
        <v>4248</v>
      </c>
      <c r="E268" s="50" t="s">
        <v>6909</v>
      </c>
      <c r="F268" s="50" t="s">
        <v>5977</v>
      </c>
      <c r="G268" s="50"/>
      <c r="H268" s="50">
        <v>88</v>
      </c>
      <c r="I268" s="50" t="s">
        <v>4197</v>
      </c>
    </row>
    <row r="269" spans="2:9" ht="13.5">
      <c r="B269" s="48" t="s">
        <v>7056</v>
      </c>
      <c r="C269" s="48" t="s">
        <v>7057</v>
      </c>
      <c r="D269" s="50" t="s">
        <v>8254</v>
      </c>
      <c r="E269" s="50" t="s">
        <v>7024</v>
      </c>
      <c r="F269" s="50" t="s">
        <v>5977</v>
      </c>
      <c r="G269" s="50"/>
      <c r="H269" s="50">
        <v>89</v>
      </c>
      <c r="I269" s="50" t="s">
        <v>8255</v>
      </c>
    </row>
    <row r="270" spans="2:9" ht="13.5">
      <c r="B270" s="48" t="s">
        <v>7056</v>
      </c>
      <c r="C270" s="48" t="s">
        <v>7057</v>
      </c>
      <c r="D270" s="50" t="s">
        <v>7002</v>
      </c>
      <c r="E270" s="50" t="s">
        <v>6697</v>
      </c>
      <c r="F270" s="50" t="s">
        <v>5977</v>
      </c>
      <c r="G270" s="50"/>
      <c r="H270" s="50">
        <v>90</v>
      </c>
      <c r="I270" s="50" t="s">
        <v>7003</v>
      </c>
    </row>
    <row r="271" spans="2:9" ht="13.5">
      <c r="B271" s="48" t="s">
        <v>7056</v>
      </c>
      <c r="C271" s="48" t="s">
        <v>7057</v>
      </c>
      <c r="D271" s="50" t="s">
        <v>7004</v>
      </c>
      <c r="E271" s="50" t="s">
        <v>6718</v>
      </c>
      <c r="F271" s="50" t="s">
        <v>5977</v>
      </c>
      <c r="G271" s="50"/>
      <c r="H271" s="50">
        <v>91</v>
      </c>
      <c r="I271" s="50" t="s">
        <v>2646</v>
      </c>
    </row>
    <row r="272" spans="2:9" ht="13.5">
      <c r="B272" s="48" t="s">
        <v>7056</v>
      </c>
      <c r="C272" s="48" t="s">
        <v>7057</v>
      </c>
      <c r="D272" s="50" t="s">
        <v>7005</v>
      </c>
      <c r="E272" s="50" t="s">
        <v>6688</v>
      </c>
      <c r="F272" s="50" t="s">
        <v>5977</v>
      </c>
      <c r="G272" s="50"/>
      <c r="H272" s="50">
        <v>92</v>
      </c>
      <c r="I272" s="50" t="s">
        <v>2589</v>
      </c>
    </row>
    <row r="273" spans="2:9" ht="13.5">
      <c r="B273" s="48" t="s">
        <v>7056</v>
      </c>
      <c r="C273" s="48" t="s">
        <v>7057</v>
      </c>
      <c r="D273" s="50" t="s">
        <v>7006</v>
      </c>
      <c r="E273" s="50" t="s">
        <v>6718</v>
      </c>
      <c r="F273" s="50" t="s">
        <v>5977</v>
      </c>
      <c r="G273" s="50"/>
      <c r="H273" s="50">
        <v>93</v>
      </c>
      <c r="I273" s="50" t="s">
        <v>5540</v>
      </c>
    </row>
    <row r="274" spans="2:9" ht="13.5">
      <c r="B274" s="48" t="s">
        <v>7056</v>
      </c>
      <c r="C274" s="48" t="s">
        <v>7057</v>
      </c>
      <c r="D274" s="50" t="s">
        <v>7007</v>
      </c>
      <c r="E274" s="50" t="s">
        <v>6688</v>
      </c>
      <c r="F274" s="50" t="s">
        <v>5977</v>
      </c>
      <c r="G274" s="50"/>
      <c r="H274" s="50">
        <v>94</v>
      </c>
      <c r="I274" s="50" t="s">
        <v>5521</v>
      </c>
    </row>
    <row r="275" spans="2:9" ht="13.5">
      <c r="B275" s="48" t="s">
        <v>7056</v>
      </c>
      <c r="C275" s="48" t="s">
        <v>7057</v>
      </c>
      <c r="D275" s="50" t="s">
        <v>8256</v>
      </c>
      <c r="E275" s="50" t="s">
        <v>6697</v>
      </c>
      <c r="F275" s="50" t="s">
        <v>5977</v>
      </c>
      <c r="G275" s="50"/>
      <c r="H275" s="50">
        <v>95</v>
      </c>
      <c r="I275" s="50" t="s">
        <v>8257</v>
      </c>
    </row>
    <row r="276" spans="2:9" ht="13.5">
      <c r="B276" s="48" t="s">
        <v>7056</v>
      </c>
      <c r="C276" s="48" t="s">
        <v>7057</v>
      </c>
      <c r="D276" s="50" t="s">
        <v>8258</v>
      </c>
      <c r="E276" s="50" t="s">
        <v>7000</v>
      </c>
      <c r="F276" s="50" t="s">
        <v>5977</v>
      </c>
      <c r="G276" s="50"/>
      <c r="H276" s="50">
        <v>96</v>
      </c>
      <c r="I276" s="50" t="s">
        <v>8259</v>
      </c>
    </row>
    <row r="277" spans="2:9" ht="13.5">
      <c r="B277" s="48" t="s">
        <v>7056</v>
      </c>
      <c r="C277" s="48" t="s">
        <v>7057</v>
      </c>
      <c r="D277" s="50" t="s">
        <v>8260</v>
      </c>
      <c r="E277" s="50" t="s">
        <v>6688</v>
      </c>
      <c r="F277" s="50" t="s">
        <v>5977</v>
      </c>
      <c r="G277" s="50"/>
      <c r="H277" s="50">
        <v>97</v>
      </c>
      <c r="I277" s="50" t="s">
        <v>8261</v>
      </c>
    </row>
    <row r="278" spans="2:9" ht="13.5">
      <c r="B278" s="48" t="s">
        <v>7056</v>
      </c>
      <c r="C278" s="48" t="s">
        <v>7057</v>
      </c>
      <c r="D278" s="50" t="s">
        <v>8262</v>
      </c>
      <c r="E278" s="50" t="s">
        <v>8263</v>
      </c>
      <c r="F278" s="50" t="s">
        <v>5977</v>
      </c>
      <c r="G278" s="50"/>
      <c r="H278" s="50">
        <v>98</v>
      </c>
      <c r="I278" s="50" t="s">
        <v>8264</v>
      </c>
    </row>
    <row r="280" spans="2:9" ht="13.5">
      <c r="B280" s="48" t="s">
        <v>7123</v>
      </c>
      <c r="C280" s="48" t="s">
        <v>7124</v>
      </c>
      <c r="D280" s="50" t="s">
        <v>8190</v>
      </c>
      <c r="E280" s="50" t="s">
        <v>6713</v>
      </c>
      <c r="F280" s="50" t="s">
        <v>5995</v>
      </c>
      <c r="G280" s="50" t="s">
        <v>8313</v>
      </c>
      <c r="H280" s="50">
        <v>1</v>
      </c>
      <c r="I280" s="50" t="s">
        <v>8191</v>
      </c>
    </row>
    <row r="281" spans="2:9" ht="13.5">
      <c r="B281" s="48" t="s">
        <v>7123</v>
      </c>
      <c r="C281" s="48" t="s">
        <v>7124</v>
      </c>
      <c r="D281" s="50" t="s">
        <v>7028</v>
      </c>
      <c r="E281" s="50" t="s">
        <v>6713</v>
      </c>
      <c r="F281" s="50" t="s">
        <v>5995</v>
      </c>
      <c r="G281" s="50" t="s">
        <v>8313</v>
      </c>
      <c r="H281" s="50">
        <v>2</v>
      </c>
      <c r="I281" s="50" t="s">
        <v>7029</v>
      </c>
    </row>
    <row r="282" spans="2:9" ht="13.5">
      <c r="B282" s="48" t="s">
        <v>7123</v>
      </c>
      <c r="C282" s="48" t="s">
        <v>7124</v>
      </c>
      <c r="D282" s="50" t="s">
        <v>6589</v>
      </c>
      <c r="E282" s="50" t="s">
        <v>6590</v>
      </c>
      <c r="F282" s="50" t="s">
        <v>5995</v>
      </c>
      <c r="G282" s="50" t="s">
        <v>8313</v>
      </c>
      <c r="H282" s="50">
        <v>3</v>
      </c>
      <c r="I282" s="50" t="s">
        <v>6101</v>
      </c>
    </row>
    <row r="283" spans="2:9" ht="13.5">
      <c r="B283" s="48" t="s">
        <v>7123</v>
      </c>
      <c r="C283" s="48" t="s">
        <v>7124</v>
      </c>
      <c r="D283" s="50" t="s">
        <v>6904</v>
      </c>
      <c r="E283" s="50" t="s">
        <v>6571</v>
      </c>
      <c r="F283" s="50" t="s">
        <v>5995</v>
      </c>
      <c r="G283" s="50" t="s">
        <v>8313</v>
      </c>
      <c r="H283" s="50">
        <v>4</v>
      </c>
      <c r="I283" s="50" t="s">
        <v>6905</v>
      </c>
    </row>
    <row r="284" spans="2:9" ht="13.5">
      <c r="B284" s="48" t="s">
        <v>7123</v>
      </c>
      <c r="C284" s="48" t="s">
        <v>7124</v>
      </c>
      <c r="D284" s="50" t="s">
        <v>8286</v>
      </c>
      <c r="E284" s="50" t="s">
        <v>6697</v>
      </c>
      <c r="F284" s="50" t="s">
        <v>5995</v>
      </c>
      <c r="G284" s="50" t="s">
        <v>8313</v>
      </c>
      <c r="H284" s="50">
        <v>5</v>
      </c>
      <c r="I284" s="50" t="s">
        <v>6269</v>
      </c>
    </row>
    <row r="285" spans="2:9" ht="13.5">
      <c r="B285" s="48" t="s">
        <v>7123</v>
      </c>
      <c r="C285" s="48" t="s">
        <v>7124</v>
      </c>
      <c r="D285" s="50" t="s">
        <v>8287</v>
      </c>
      <c r="E285" s="50" t="s">
        <v>6697</v>
      </c>
      <c r="F285" s="50" t="s">
        <v>5995</v>
      </c>
      <c r="G285" s="50" t="s">
        <v>8313</v>
      </c>
      <c r="H285" s="50">
        <v>6</v>
      </c>
      <c r="I285" s="50" t="s">
        <v>6267</v>
      </c>
    </row>
    <row r="286" spans="2:9" ht="13.5">
      <c r="B286" s="48" t="s">
        <v>7123</v>
      </c>
      <c r="C286" s="48" t="s">
        <v>7124</v>
      </c>
      <c r="D286" s="50" t="s">
        <v>8192</v>
      </c>
      <c r="E286" s="50" t="s">
        <v>6903</v>
      </c>
      <c r="F286" s="50" t="s">
        <v>5977</v>
      </c>
      <c r="G286" s="50"/>
      <c r="H286" s="50">
        <v>7</v>
      </c>
      <c r="I286" s="50" t="s">
        <v>8193</v>
      </c>
    </row>
    <row r="287" spans="2:9" ht="13.5">
      <c r="B287" s="48" t="s">
        <v>7123</v>
      </c>
      <c r="C287" s="48" t="s">
        <v>7124</v>
      </c>
      <c r="D287" s="50" t="s">
        <v>8288</v>
      </c>
      <c r="E287" s="50" t="s">
        <v>6903</v>
      </c>
      <c r="F287" s="50" t="s">
        <v>5977</v>
      </c>
      <c r="G287" s="50"/>
      <c r="H287" s="50">
        <v>8</v>
      </c>
      <c r="I287" s="50" t="s">
        <v>8289</v>
      </c>
    </row>
    <row r="288" spans="2:9" ht="13.5">
      <c r="B288" s="48" t="s">
        <v>7123</v>
      </c>
      <c r="C288" s="48" t="s">
        <v>7124</v>
      </c>
      <c r="D288" s="50" t="s">
        <v>6902</v>
      </c>
      <c r="E288" s="50" t="s">
        <v>6903</v>
      </c>
      <c r="F288" s="50" t="s">
        <v>5977</v>
      </c>
      <c r="G288" s="50"/>
      <c r="H288" s="50">
        <v>9</v>
      </c>
      <c r="I288" s="50" t="s">
        <v>142</v>
      </c>
    </row>
    <row r="289" spans="2:9" ht="13.5">
      <c r="B289" s="48" t="s">
        <v>7123</v>
      </c>
      <c r="C289" s="48" t="s">
        <v>7124</v>
      </c>
      <c r="D289" s="50" t="s">
        <v>6906</v>
      </c>
      <c r="E289" s="50" t="s">
        <v>6907</v>
      </c>
      <c r="F289" s="50" t="s">
        <v>5977</v>
      </c>
      <c r="G289" s="50"/>
      <c r="H289" s="50">
        <v>10</v>
      </c>
      <c r="I289" s="50" t="s">
        <v>549</v>
      </c>
    </row>
    <row r="290" spans="2:9" ht="13.5">
      <c r="B290" s="48" t="s">
        <v>7123</v>
      </c>
      <c r="C290" s="48" t="s">
        <v>7124</v>
      </c>
      <c r="D290" s="50" t="s">
        <v>8290</v>
      </c>
      <c r="E290" s="50" t="s">
        <v>6909</v>
      </c>
      <c r="F290" s="50" t="s">
        <v>5977</v>
      </c>
      <c r="G290" s="50"/>
      <c r="H290" s="50">
        <v>11</v>
      </c>
      <c r="I290" s="50" t="s">
        <v>8291</v>
      </c>
    </row>
    <row r="291" spans="2:9" ht="13.5">
      <c r="B291" s="48" t="s">
        <v>7123</v>
      </c>
      <c r="C291" s="48" t="s">
        <v>7124</v>
      </c>
      <c r="D291" s="50" t="s">
        <v>8292</v>
      </c>
      <c r="E291" s="50" t="s">
        <v>6909</v>
      </c>
      <c r="F291" s="50" t="s">
        <v>5977</v>
      </c>
      <c r="G291" s="50"/>
      <c r="H291" s="50">
        <v>12</v>
      </c>
      <c r="I291" s="50" t="s">
        <v>8293</v>
      </c>
    </row>
    <row r="292" spans="2:9" ht="13.5">
      <c r="B292" s="48" t="s">
        <v>7123</v>
      </c>
      <c r="C292" s="48" t="s">
        <v>7124</v>
      </c>
      <c r="D292" s="50" t="s">
        <v>8294</v>
      </c>
      <c r="E292" s="50" t="s">
        <v>6721</v>
      </c>
      <c r="F292" s="50" t="s">
        <v>5977</v>
      </c>
      <c r="G292" s="50"/>
      <c r="H292" s="50">
        <v>13</v>
      </c>
      <c r="I292" s="50" t="s">
        <v>8295</v>
      </c>
    </row>
    <row r="293" spans="2:9" ht="13.5">
      <c r="B293" s="48" t="s">
        <v>7123</v>
      </c>
      <c r="C293" s="48" t="s">
        <v>7124</v>
      </c>
      <c r="D293" s="50" t="s">
        <v>8296</v>
      </c>
      <c r="E293" s="50" t="s">
        <v>6721</v>
      </c>
      <c r="F293" s="50" t="s">
        <v>5977</v>
      </c>
      <c r="G293" s="50"/>
      <c r="H293" s="50">
        <v>14</v>
      </c>
      <c r="I293" s="50" t="s">
        <v>8297</v>
      </c>
    </row>
    <row r="294" spans="2:9" ht="13.5">
      <c r="B294" s="48" t="s">
        <v>7123</v>
      </c>
      <c r="C294" s="48" t="s">
        <v>7124</v>
      </c>
      <c r="D294" s="50" t="s">
        <v>7036</v>
      </c>
      <c r="E294" s="50" t="s">
        <v>6713</v>
      </c>
      <c r="F294" s="50" t="s">
        <v>5977</v>
      </c>
      <c r="G294" s="50"/>
      <c r="H294" s="50">
        <v>15</v>
      </c>
      <c r="I294" s="50" t="s">
        <v>7037</v>
      </c>
    </row>
    <row r="295" spans="2:9" ht="13.5">
      <c r="B295" s="48" t="s">
        <v>7123</v>
      </c>
      <c r="C295" s="48" t="s">
        <v>7124</v>
      </c>
      <c r="D295" s="50" t="s">
        <v>8298</v>
      </c>
      <c r="E295" s="50" t="s">
        <v>6903</v>
      </c>
      <c r="F295" s="50" t="s">
        <v>5977</v>
      </c>
      <c r="G295" s="50"/>
      <c r="H295" s="50">
        <v>16</v>
      </c>
      <c r="I295" s="50" t="s">
        <v>8299</v>
      </c>
    </row>
    <row r="296" spans="2:9" ht="13.5">
      <c r="B296" s="48" t="s">
        <v>7123</v>
      </c>
      <c r="C296" s="48" t="s">
        <v>7124</v>
      </c>
      <c r="D296" s="50" t="s">
        <v>7004</v>
      </c>
      <c r="E296" s="50" t="s">
        <v>6718</v>
      </c>
      <c r="F296" s="50" t="s">
        <v>5977</v>
      </c>
      <c r="G296" s="50"/>
      <c r="H296" s="50">
        <v>17</v>
      </c>
      <c r="I296" s="50" t="s">
        <v>2646</v>
      </c>
    </row>
    <row r="297" spans="2:9" ht="13.5">
      <c r="B297" s="48" t="s">
        <v>7123</v>
      </c>
      <c r="C297" s="48" t="s">
        <v>7124</v>
      </c>
      <c r="D297" s="50" t="s">
        <v>7005</v>
      </c>
      <c r="E297" s="50" t="s">
        <v>6688</v>
      </c>
      <c r="F297" s="50" t="s">
        <v>5977</v>
      </c>
      <c r="G297" s="50"/>
      <c r="H297" s="50">
        <v>18</v>
      </c>
      <c r="I297" s="50" t="s">
        <v>2589</v>
      </c>
    </row>
    <row r="298" spans="2:9" ht="13.5">
      <c r="B298" s="48" t="s">
        <v>7123</v>
      </c>
      <c r="C298" s="48" t="s">
        <v>7124</v>
      </c>
      <c r="D298" s="50" t="s">
        <v>7006</v>
      </c>
      <c r="E298" s="50" t="s">
        <v>6718</v>
      </c>
      <c r="F298" s="50" t="s">
        <v>5977</v>
      </c>
      <c r="G298" s="50"/>
      <c r="H298" s="50">
        <v>19</v>
      </c>
      <c r="I298" s="50" t="s">
        <v>5540</v>
      </c>
    </row>
    <row r="299" spans="2:9" ht="13.5">
      <c r="B299" s="48" t="s">
        <v>7123</v>
      </c>
      <c r="C299" s="48" t="s">
        <v>7124</v>
      </c>
      <c r="D299" s="50" t="s">
        <v>7007</v>
      </c>
      <c r="E299" s="50" t="s">
        <v>6688</v>
      </c>
      <c r="F299" s="50" t="s">
        <v>5977</v>
      </c>
      <c r="G299" s="50"/>
      <c r="H299" s="50">
        <v>20</v>
      </c>
      <c r="I299" s="50" t="s">
        <v>5521</v>
      </c>
    </row>
    <row r="300" spans="2:9" ht="13.5">
      <c r="B300" s="48" t="s">
        <v>7123</v>
      </c>
      <c r="C300" s="48" t="s">
        <v>7124</v>
      </c>
      <c r="D300" s="50" t="s">
        <v>7034</v>
      </c>
      <c r="E300" s="50" t="s">
        <v>6721</v>
      </c>
      <c r="F300" s="50" t="s">
        <v>5977</v>
      </c>
      <c r="G300" s="50"/>
      <c r="H300" s="50">
        <v>21</v>
      </c>
      <c r="I300" s="50" t="s">
        <v>7035</v>
      </c>
    </row>
    <row r="301" spans="2:9" ht="13.5">
      <c r="B301" s="48" t="s">
        <v>7123</v>
      </c>
      <c r="C301" s="48" t="s">
        <v>7124</v>
      </c>
      <c r="D301" s="50" t="s">
        <v>7002</v>
      </c>
      <c r="E301" s="50" t="s">
        <v>6697</v>
      </c>
      <c r="F301" s="50" t="s">
        <v>5977</v>
      </c>
      <c r="G301" s="50"/>
      <c r="H301" s="50">
        <v>22</v>
      </c>
      <c r="I301" s="50" t="s">
        <v>7003</v>
      </c>
    </row>
    <row r="302" spans="2:9" ht="13.5">
      <c r="B302" s="48" t="s">
        <v>7123</v>
      </c>
      <c r="C302" s="48" t="s">
        <v>7124</v>
      </c>
      <c r="D302" s="50" t="s">
        <v>8196</v>
      </c>
      <c r="E302" s="50" t="s">
        <v>6903</v>
      </c>
      <c r="F302" s="50" t="s">
        <v>5977</v>
      </c>
      <c r="G302" s="50"/>
      <c r="H302" s="50">
        <v>23</v>
      </c>
      <c r="I302" s="50" t="s">
        <v>8197</v>
      </c>
    </row>
    <row r="303" spans="2:9" ht="13.5">
      <c r="B303" s="48" t="s">
        <v>7123</v>
      </c>
      <c r="C303" s="48" t="s">
        <v>7124</v>
      </c>
      <c r="D303" s="50" t="s">
        <v>8200</v>
      </c>
      <c r="E303" s="50" t="s">
        <v>6903</v>
      </c>
      <c r="F303" s="50" t="s">
        <v>5977</v>
      </c>
      <c r="G303" s="50"/>
      <c r="H303" s="50">
        <v>24</v>
      </c>
      <c r="I303" s="50" t="s">
        <v>8201</v>
      </c>
    </row>
    <row r="304" spans="2:9" ht="13.5">
      <c r="B304" s="48" t="s">
        <v>7123</v>
      </c>
      <c r="C304" s="48" t="s">
        <v>7124</v>
      </c>
      <c r="D304" s="50" t="s">
        <v>8204</v>
      </c>
      <c r="E304" s="50" t="s">
        <v>6903</v>
      </c>
      <c r="F304" s="50" t="s">
        <v>5977</v>
      </c>
      <c r="G304" s="50"/>
      <c r="H304" s="50">
        <v>25</v>
      </c>
      <c r="I304" s="50" t="s">
        <v>8205</v>
      </c>
    </row>
    <row r="306" spans="2:9" ht="13.5">
      <c r="B306" s="48" t="s">
        <v>7125</v>
      </c>
      <c r="C306" s="48" t="s">
        <v>7126</v>
      </c>
      <c r="D306" s="50" t="s">
        <v>8300</v>
      </c>
      <c r="E306" s="50" t="s">
        <v>6688</v>
      </c>
      <c r="F306" s="50" t="s">
        <v>5995</v>
      </c>
      <c r="G306" s="50" t="s">
        <v>8313</v>
      </c>
      <c r="H306" s="50">
        <v>1</v>
      </c>
      <c r="I306" s="50" t="s">
        <v>8301</v>
      </c>
    </row>
    <row r="307" spans="2:9" ht="13.5">
      <c r="B307" s="48" t="s">
        <v>7125</v>
      </c>
      <c r="C307" s="48" t="s">
        <v>7126</v>
      </c>
      <c r="D307" s="50" t="s">
        <v>8190</v>
      </c>
      <c r="E307" s="50" t="s">
        <v>6713</v>
      </c>
      <c r="F307" s="50" t="s">
        <v>5995</v>
      </c>
      <c r="G307" s="50" t="s">
        <v>8313</v>
      </c>
      <c r="H307" s="50">
        <v>2</v>
      </c>
      <c r="I307" s="50" t="s">
        <v>8191</v>
      </c>
    </row>
    <row r="308" spans="2:9" ht="13.5">
      <c r="B308" s="48" t="s">
        <v>7125</v>
      </c>
      <c r="C308" s="48" t="s">
        <v>7126</v>
      </c>
      <c r="D308" s="50" t="s">
        <v>7028</v>
      </c>
      <c r="E308" s="50" t="s">
        <v>6713</v>
      </c>
      <c r="F308" s="50" t="s">
        <v>5995</v>
      </c>
      <c r="G308" s="50" t="s">
        <v>8313</v>
      </c>
      <c r="H308" s="50">
        <v>3</v>
      </c>
      <c r="I308" s="50" t="s">
        <v>6241</v>
      </c>
    </row>
    <row r="309" spans="2:9" ht="13.5">
      <c r="B309" s="48" t="s">
        <v>7125</v>
      </c>
      <c r="C309" s="48" t="s">
        <v>7126</v>
      </c>
      <c r="D309" s="50" t="s">
        <v>6589</v>
      </c>
      <c r="E309" s="50" t="s">
        <v>6590</v>
      </c>
      <c r="F309" s="50" t="s">
        <v>5995</v>
      </c>
      <c r="G309" s="50" t="s">
        <v>8313</v>
      </c>
      <c r="H309" s="50">
        <v>4</v>
      </c>
      <c r="I309" s="50" t="s">
        <v>6101</v>
      </c>
    </row>
    <row r="310" spans="2:9" ht="13.5">
      <c r="B310" s="48" t="s">
        <v>7125</v>
      </c>
      <c r="C310" s="48" t="s">
        <v>7126</v>
      </c>
      <c r="D310" s="50" t="s">
        <v>6904</v>
      </c>
      <c r="E310" s="50" t="s">
        <v>6571</v>
      </c>
      <c r="F310" s="50" t="s">
        <v>5995</v>
      </c>
      <c r="G310" s="50" t="s">
        <v>8313</v>
      </c>
      <c r="H310" s="50">
        <v>5</v>
      </c>
      <c r="I310" s="50" t="s">
        <v>6905</v>
      </c>
    </row>
    <row r="311" spans="2:9" ht="13.5">
      <c r="B311" s="48" t="s">
        <v>7125</v>
      </c>
      <c r="C311" s="48" t="s">
        <v>7126</v>
      </c>
      <c r="D311" s="50" t="s">
        <v>8286</v>
      </c>
      <c r="E311" s="50" t="s">
        <v>6697</v>
      </c>
      <c r="F311" s="50" t="s">
        <v>5995</v>
      </c>
      <c r="G311" s="50" t="s">
        <v>8313</v>
      </c>
      <c r="H311" s="50">
        <v>6</v>
      </c>
      <c r="I311" s="50" t="s">
        <v>6269</v>
      </c>
    </row>
    <row r="312" spans="2:9" ht="13.5">
      <c r="B312" s="48" t="s">
        <v>7125</v>
      </c>
      <c r="C312" s="48" t="s">
        <v>7126</v>
      </c>
      <c r="D312" s="50" t="s">
        <v>8287</v>
      </c>
      <c r="E312" s="50" t="s">
        <v>6697</v>
      </c>
      <c r="F312" s="50" t="s">
        <v>5995</v>
      </c>
      <c r="G312" s="50" t="s">
        <v>8313</v>
      </c>
      <c r="H312" s="50">
        <v>7</v>
      </c>
      <c r="I312" s="50" t="s">
        <v>8302</v>
      </c>
    </row>
    <row r="313" spans="2:9" ht="13.5">
      <c r="B313" s="48" t="s">
        <v>7125</v>
      </c>
      <c r="C313" s="48" t="s">
        <v>7126</v>
      </c>
      <c r="D313" s="50" t="s">
        <v>8192</v>
      </c>
      <c r="E313" s="50" t="s">
        <v>6903</v>
      </c>
      <c r="F313" s="50" t="s">
        <v>5977</v>
      </c>
      <c r="G313" s="50"/>
      <c r="H313" s="50">
        <v>8</v>
      </c>
      <c r="I313" s="50" t="s">
        <v>8193</v>
      </c>
    </row>
    <row r="314" spans="2:9" ht="13.5">
      <c r="B314" s="48" t="s">
        <v>7125</v>
      </c>
      <c r="C314" s="48" t="s">
        <v>7126</v>
      </c>
      <c r="D314" s="50" t="s">
        <v>8288</v>
      </c>
      <c r="E314" s="50" t="s">
        <v>6903</v>
      </c>
      <c r="F314" s="50" t="s">
        <v>5977</v>
      </c>
      <c r="G314" s="50"/>
      <c r="H314" s="50">
        <v>9</v>
      </c>
      <c r="I314" s="50" t="s">
        <v>8289</v>
      </c>
    </row>
    <row r="315" spans="2:9" ht="13.5">
      <c r="B315" s="48" t="s">
        <v>7125</v>
      </c>
      <c r="C315" s="48" t="s">
        <v>7126</v>
      </c>
      <c r="D315" s="50" t="s">
        <v>6902</v>
      </c>
      <c r="E315" s="50" t="s">
        <v>6903</v>
      </c>
      <c r="F315" s="50" t="s">
        <v>5977</v>
      </c>
      <c r="G315" s="50"/>
      <c r="H315" s="50">
        <v>10</v>
      </c>
      <c r="I315" s="50" t="s">
        <v>142</v>
      </c>
    </row>
    <row r="316" spans="2:9" ht="13.5">
      <c r="B316" s="48" t="s">
        <v>7125</v>
      </c>
      <c r="C316" s="48" t="s">
        <v>7126</v>
      </c>
      <c r="D316" s="50" t="s">
        <v>6906</v>
      </c>
      <c r="E316" s="50" t="s">
        <v>6907</v>
      </c>
      <c r="F316" s="50" t="s">
        <v>5977</v>
      </c>
      <c r="G316" s="50"/>
      <c r="H316" s="50">
        <v>11</v>
      </c>
      <c r="I316" s="50" t="s">
        <v>549</v>
      </c>
    </row>
    <row r="317" spans="2:9" ht="13.5">
      <c r="B317" s="48" t="s">
        <v>7125</v>
      </c>
      <c r="C317" s="48" t="s">
        <v>7126</v>
      </c>
      <c r="D317" s="50" t="s">
        <v>8290</v>
      </c>
      <c r="E317" s="50" t="s">
        <v>6909</v>
      </c>
      <c r="F317" s="50" t="s">
        <v>5977</v>
      </c>
      <c r="G317" s="50"/>
      <c r="H317" s="50">
        <v>12</v>
      </c>
      <c r="I317" s="50" t="s">
        <v>8291</v>
      </c>
    </row>
    <row r="318" spans="2:9" ht="13.5">
      <c r="B318" s="48" t="s">
        <v>7125</v>
      </c>
      <c r="C318" s="48" t="s">
        <v>7126</v>
      </c>
      <c r="D318" s="50" t="s">
        <v>8292</v>
      </c>
      <c r="E318" s="50" t="s">
        <v>6909</v>
      </c>
      <c r="F318" s="50" t="s">
        <v>5977</v>
      </c>
      <c r="G318" s="50"/>
      <c r="H318" s="50">
        <v>13</v>
      </c>
      <c r="I318" s="50" t="s">
        <v>8293</v>
      </c>
    </row>
    <row r="319" spans="2:9" s="90" customFormat="1" ht="13.5">
      <c r="B319" s="88" t="s">
        <v>7125</v>
      </c>
      <c r="C319" s="88" t="s">
        <v>7126</v>
      </c>
      <c r="D319" s="89" t="s">
        <v>8294</v>
      </c>
      <c r="E319" s="89" t="s">
        <v>6721</v>
      </c>
      <c r="F319" s="89" t="s">
        <v>5977</v>
      </c>
      <c r="G319" s="89"/>
      <c r="H319" s="89">
        <v>14</v>
      </c>
      <c r="I319" s="89" t="s">
        <v>8295</v>
      </c>
    </row>
    <row r="320" spans="2:9" ht="13.5">
      <c r="B320" s="48" t="s">
        <v>7125</v>
      </c>
      <c r="C320" s="48" t="s">
        <v>7126</v>
      </c>
      <c r="D320" s="50" t="s">
        <v>8296</v>
      </c>
      <c r="E320" s="50" t="s">
        <v>6721</v>
      </c>
      <c r="F320" s="50" t="s">
        <v>5977</v>
      </c>
      <c r="G320" s="50"/>
      <c r="H320" s="50">
        <v>15</v>
      </c>
      <c r="I320" s="50" t="s">
        <v>8297</v>
      </c>
    </row>
    <row r="321" spans="2:9" s="90" customFormat="1" ht="13.5">
      <c r="B321" s="88" t="s">
        <v>7125</v>
      </c>
      <c r="C321" s="88" t="s">
        <v>7126</v>
      </c>
      <c r="D321" s="89" t="s">
        <v>8303</v>
      </c>
      <c r="E321" s="89" t="s">
        <v>6721</v>
      </c>
      <c r="F321" s="89" t="s">
        <v>5977</v>
      </c>
      <c r="G321" s="89"/>
      <c r="H321" s="89">
        <v>16</v>
      </c>
      <c r="I321" s="89" t="s">
        <v>8304</v>
      </c>
    </row>
    <row r="322" spans="2:9" ht="13.5">
      <c r="B322" s="48" t="s">
        <v>7125</v>
      </c>
      <c r="C322" s="48" t="s">
        <v>7126</v>
      </c>
      <c r="D322" s="50" t="s">
        <v>8305</v>
      </c>
      <c r="E322" s="50" t="s">
        <v>6721</v>
      </c>
      <c r="F322" s="50" t="s">
        <v>5977</v>
      </c>
      <c r="G322" s="50"/>
      <c r="H322" s="50">
        <v>17</v>
      </c>
      <c r="I322" s="50" t="s">
        <v>8306</v>
      </c>
    </row>
    <row r="323" spans="2:9" ht="13.5">
      <c r="B323" s="48" t="s">
        <v>7125</v>
      </c>
      <c r="C323" s="48" t="s">
        <v>7126</v>
      </c>
      <c r="D323" s="50" t="s">
        <v>7036</v>
      </c>
      <c r="E323" s="50" t="s">
        <v>6713</v>
      </c>
      <c r="F323" s="50" t="s">
        <v>5977</v>
      </c>
      <c r="G323" s="50"/>
      <c r="H323" s="50">
        <v>18</v>
      </c>
      <c r="I323" s="50" t="s">
        <v>7037</v>
      </c>
    </row>
    <row r="324" spans="2:9" ht="13.5">
      <c r="B324" s="48" t="s">
        <v>7125</v>
      </c>
      <c r="C324" s="48" t="s">
        <v>7126</v>
      </c>
      <c r="D324" s="50" t="s">
        <v>8298</v>
      </c>
      <c r="E324" s="50" t="s">
        <v>6903</v>
      </c>
      <c r="F324" s="50" t="s">
        <v>5977</v>
      </c>
      <c r="G324" s="50"/>
      <c r="H324" s="50">
        <v>19</v>
      </c>
      <c r="I324" s="50" t="s">
        <v>8299</v>
      </c>
    </row>
    <row r="325" spans="2:9" ht="13.5">
      <c r="B325" s="48" t="s">
        <v>7125</v>
      </c>
      <c r="C325" s="48" t="s">
        <v>7126</v>
      </c>
      <c r="D325" s="50" t="s">
        <v>7004</v>
      </c>
      <c r="E325" s="50" t="s">
        <v>6718</v>
      </c>
      <c r="F325" s="50" t="s">
        <v>5977</v>
      </c>
      <c r="G325" s="50"/>
      <c r="H325" s="50">
        <v>20</v>
      </c>
      <c r="I325" s="50" t="s">
        <v>2646</v>
      </c>
    </row>
    <row r="326" spans="2:9" ht="13.5">
      <c r="B326" s="48" t="s">
        <v>7125</v>
      </c>
      <c r="C326" s="48" t="s">
        <v>7126</v>
      </c>
      <c r="D326" s="50" t="s">
        <v>7005</v>
      </c>
      <c r="E326" s="50" t="s">
        <v>6688</v>
      </c>
      <c r="F326" s="50" t="s">
        <v>5977</v>
      </c>
      <c r="G326" s="50"/>
      <c r="H326" s="50">
        <v>21</v>
      </c>
      <c r="I326" s="50" t="s">
        <v>2589</v>
      </c>
    </row>
    <row r="327" spans="2:9" ht="13.5">
      <c r="B327" s="48" t="s">
        <v>7125</v>
      </c>
      <c r="C327" s="48" t="s">
        <v>7126</v>
      </c>
      <c r="D327" s="50" t="s">
        <v>7006</v>
      </c>
      <c r="E327" s="50" t="s">
        <v>6718</v>
      </c>
      <c r="F327" s="50" t="s">
        <v>5977</v>
      </c>
      <c r="G327" s="50"/>
      <c r="H327" s="50">
        <v>22</v>
      </c>
      <c r="I327" s="50" t="s">
        <v>5540</v>
      </c>
    </row>
    <row r="328" spans="2:9" ht="13.5">
      <c r="B328" s="48" t="s">
        <v>7125</v>
      </c>
      <c r="C328" s="48" t="s">
        <v>7126</v>
      </c>
      <c r="D328" s="50" t="s">
        <v>7007</v>
      </c>
      <c r="E328" s="50" t="s">
        <v>6903</v>
      </c>
      <c r="F328" s="50" t="s">
        <v>5977</v>
      </c>
      <c r="G328" s="50"/>
      <c r="H328" s="50">
        <v>23</v>
      </c>
      <c r="I328" s="50" t="s">
        <v>5521</v>
      </c>
    </row>
    <row r="329" spans="2:9" ht="13.5">
      <c r="B329" s="48" t="s">
        <v>7125</v>
      </c>
      <c r="C329" s="48" t="s">
        <v>7126</v>
      </c>
      <c r="D329" s="50" t="s">
        <v>7034</v>
      </c>
      <c r="E329" s="50" t="s">
        <v>6721</v>
      </c>
      <c r="F329" s="50" t="s">
        <v>5977</v>
      </c>
      <c r="G329" s="50"/>
      <c r="H329" s="50">
        <v>24</v>
      </c>
      <c r="I329" s="50" t="s">
        <v>7035</v>
      </c>
    </row>
    <row r="330" spans="2:9" ht="13.5">
      <c r="B330" s="48" t="s">
        <v>7125</v>
      </c>
      <c r="C330" s="48" t="s">
        <v>7126</v>
      </c>
      <c r="D330" s="50" t="s">
        <v>7002</v>
      </c>
      <c r="E330" s="50" t="s">
        <v>6697</v>
      </c>
      <c r="F330" s="50" t="s">
        <v>5977</v>
      </c>
      <c r="G330" s="50"/>
      <c r="H330" s="50">
        <v>25</v>
      </c>
      <c r="I330" s="50" t="s">
        <v>7003</v>
      </c>
    </row>
    <row r="331" spans="2:9" ht="13.5">
      <c r="B331" s="48" t="s">
        <v>7125</v>
      </c>
      <c r="C331" s="48" t="s">
        <v>7126</v>
      </c>
      <c r="D331" s="50" t="s">
        <v>8196</v>
      </c>
      <c r="E331" s="50" t="s">
        <v>6903</v>
      </c>
      <c r="F331" s="50" t="s">
        <v>5977</v>
      </c>
      <c r="G331" s="50"/>
      <c r="H331" s="50">
        <v>26</v>
      </c>
      <c r="I331" s="50" t="s">
        <v>8197</v>
      </c>
    </row>
    <row r="332" spans="2:9" ht="13.5">
      <c r="B332" s="48" t="s">
        <v>7125</v>
      </c>
      <c r="C332" s="48" t="s">
        <v>7126</v>
      </c>
      <c r="D332" s="50" t="s">
        <v>8200</v>
      </c>
      <c r="E332" s="50" t="s">
        <v>6903</v>
      </c>
      <c r="F332" s="50" t="s">
        <v>5977</v>
      </c>
      <c r="G332" s="50"/>
      <c r="H332" s="50">
        <v>27</v>
      </c>
      <c r="I332" s="50" t="s">
        <v>8201</v>
      </c>
    </row>
    <row r="333" spans="2:9" ht="13.5">
      <c r="B333" s="48" t="s">
        <v>7125</v>
      </c>
      <c r="C333" s="48" t="s">
        <v>7126</v>
      </c>
      <c r="D333" s="50" t="s">
        <v>8204</v>
      </c>
      <c r="E333" s="50" t="s">
        <v>6903</v>
      </c>
      <c r="F333" s="50" t="s">
        <v>5977</v>
      </c>
      <c r="G333" s="50"/>
      <c r="H333" s="50">
        <v>28</v>
      </c>
      <c r="I333" s="50" t="s">
        <v>8205</v>
      </c>
    </row>
    <row r="334" spans="2:9" ht="13.5">
      <c r="B334" s="48" t="s">
        <v>7125</v>
      </c>
      <c r="C334" s="48" t="s">
        <v>7126</v>
      </c>
      <c r="D334" s="50" t="s">
        <v>8307</v>
      </c>
      <c r="E334" s="50" t="s">
        <v>6909</v>
      </c>
      <c r="F334" s="50" t="s">
        <v>5977</v>
      </c>
      <c r="G334" s="50"/>
      <c r="H334" s="50">
        <v>29</v>
      </c>
      <c r="I334" s="50" t="s">
        <v>8308</v>
      </c>
    </row>
    <row r="335" spans="2:9" ht="13.5">
      <c r="B335" s="48" t="s">
        <v>7125</v>
      </c>
      <c r="C335" s="48" t="s">
        <v>7126</v>
      </c>
      <c r="D335" s="50" t="s">
        <v>8309</v>
      </c>
      <c r="E335" s="50" t="s">
        <v>3608</v>
      </c>
      <c r="F335" s="50" t="s">
        <v>5977</v>
      </c>
      <c r="G335" s="50">
        <v>0</v>
      </c>
      <c r="H335" s="50">
        <v>30</v>
      </c>
      <c r="I335" s="50" t="s">
        <v>8310</v>
      </c>
    </row>
    <row r="336" spans="2:9" ht="13.5">
      <c r="B336" s="48" t="s">
        <v>7125</v>
      </c>
      <c r="C336" s="48" t="s">
        <v>7126</v>
      </c>
      <c r="D336" s="50" t="s">
        <v>8311</v>
      </c>
      <c r="E336" s="50" t="s">
        <v>3608</v>
      </c>
      <c r="F336" s="50" t="s">
        <v>5977</v>
      </c>
      <c r="G336" s="50">
        <v>0</v>
      </c>
      <c r="H336" s="50">
        <v>31</v>
      </c>
      <c r="I336" s="50" t="s">
        <v>8312</v>
      </c>
    </row>
  </sheetData>
  <phoneticPr fontId="1" type="noConversion"/>
  <pageMargins left="0.7" right="0.7" top="0.75" bottom="0.75" header="0.3" footer="0.3"/>
  <pageSetup paperSize="9" scale="1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K412"/>
  <sheetViews>
    <sheetView topLeftCell="A57" zoomScaleNormal="100" workbookViewId="0">
      <selection activeCell="C64" sqref="C64"/>
    </sheetView>
  </sheetViews>
  <sheetFormatPr defaultRowHeight="11.25"/>
  <cols>
    <col min="1" max="1" width="9" style="49"/>
    <col min="2" max="2" width="10.25" style="49" bestFit="1" customWidth="1"/>
    <col min="3" max="3" width="22.5" style="49" bestFit="1" customWidth="1"/>
    <col min="4" max="4" width="12.875" style="49" bestFit="1" customWidth="1"/>
    <col min="5" max="5" width="14.75" style="49" bestFit="1" customWidth="1"/>
    <col min="6" max="6" width="5.125" style="49" bestFit="1" customWidth="1"/>
    <col min="7" max="7" width="3.125" style="49" bestFit="1" customWidth="1"/>
    <col min="8" max="8" width="4.25" style="49" bestFit="1" customWidth="1"/>
    <col min="9" max="9" width="34.25" style="49" bestFit="1" customWidth="1"/>
    <col min="10" max="10" width="8.875" style="49" customWidth="1"/>
    <col min="11" max="16384" width="9" style="49"/>
  </cols>
  <sheetData>
    <row r="1" spans="2:10" ht="12" thickBot="1"/>
    <row r="2" spans="2:10" ht="12" thickBot="1">
      <c r="B2" s="80" t="s">
        <v>6489</v>
      </c>
      <c r="C2" s="81" t="s">
        <v>6501</v>
      </c>
      <c r="D2" s="81" t="s">
        <v>6502</v>
      </c>
      <c r="E2" s="81" t="s">
        <v>6503</v>
      </c>
      <c r="F2" s="81" t="s">
        <v>6504</v>
      </c>
      <c r="G2" s="81"/>
      <c r="H2" s="81" t="s">
        <v>6505</v>
      </c>
      <c r="I2" s="81" t="s">
        <v>6506</v>
      </c>
      <c r="J2" s="82"/>
    </row>
    <row r="4" spans="2:10" ht="13.5">
      <c r="B4" s="48" t="s">
        <v>6728</v>
      </c>
      <c r="C4" s="48" t="s">
        <v>6399</v>
      </c>
      <c r="D4" s="50" t="s">
        <v>2800</v>
      </c>
      <c r="E4" s="50" t="s">
        <v>6500</v>
      </c>
      <c r="F4" s="50" t="s">
        <v>5977</v>
      </c>
      <c r="G4" s="50" t="s">
        <v>6507</v>
      </c>
      <c r="H4" s="50">
        <v>2</v>
      </c>
      <c r="I4" s="50" t="s">
        <v>2799</v>
      </c>
      <c r="J4" s="50"/>
    </row>
    <row r="6" spans="2:10" ht="13.5">
      <c r="B6" s="48" t="s">
        <v>6400</v>
      </c>
      <c r="C6" s="48" t="s">
        <v>6401</v>
      </c>
      <c r="D6" s="50" t="s">
        <v>2800</v>
      </c>
      <c r="E6" s="50" t="s">
        <v>6500</v>
      </c>
      <c r="F6" s="50" t="s">
        <v>5995</v>
      </c>
      <c r="G6" s="50" t="s">
        <v>6507</v>
      </c>
      <c r="H6" s="50">
        <v>1</v>
      </c>
      <c r="I6" s="50" t="s">
        <v>2799</v>
      </c>
      <c r="J6" s="50"/>
    </row>
    <row r="8" spans="2:10" ht="13.5">
      <c r="B8" s="48" t="s">
        <v>7027</v>
      </c>
      <c r="C8" s="48" t="s">
        <v>6406</v>
      </c>
      <c r="D8" s="50" t="s">
        <v>6589</v>
      </c>
      <c r="E8" s="50" t="s">
        <v>6590</v>
      </c>
      <c r="F8" s="50" t="s">
        <v>5995</v>
      </c>
      <c r="G8" s="50"/>
      <c r="H8" s="50">
        <v>1</v>
      </c>
      <c r="I8" s="50" t="s">
        <v>6101</v>
      </c>
      <c r="J8" s="50"/>
    </row>
    <row r="10" spans="2:10" ht="13.5">
      <c r="B10" s="48" t="s">
        <v>6419</v>
      </c>
      <c r="C10" s="48" t="s">
        <v>6420</v>
      </c>
      <c r="D10" s="50" t="s">
        <v>6589</v>
      </c>
      <c r="E10" s="50" t="s">
        <v>6590</v>
      </c>
      <c r="F10" s="50" t="s">
        <v>5995</v>
      </c>
      <c r="G10" s="50" t="s">
        <v>6507</v>
      </c>
      <c r="H10" s="50">
        <v>1</v>
      </c>
      <c r="I10" s="50" t="s">
        <v>145</v>
      </c>
      <c r="J10" s="50"/>
    </row>
    <row r="11" spans="2:10" ht="13.5">
      <c r="B11" s="48" t="s">
        <v>6419</v>
      </c>
      <c r="C11" s="48" t="s">
        <v>6420</v>
      </c>
      <c r="D11" s="50" t="s">
        <v>6491</v>
      </c>
      <c r="E11" s="50" t="s">
        <v>6492</v>
      </c>
      <c r="F11" s="50" t="s">
        <v>5995</v>
      </c>
      <c r="G11" s="50" t="s">
        <v>6507</v>
      </c>
      <c r="H11" s="50">
        <v>2</v>
      </c>
      <c r="I11" s="50" t="s">
        <v>6493</v>
      </c>
      <c r="J11" s="50"/>
    </row>
    <row r="12" spans="2:10" ht="13.5">
      <c r="B12" s="48" t="s">
        <v>6419</v>
      </c>
      <c r="C12" s="48" t="s">
        <v>6420</v>
      </c>
      <c r="D12" s="50" t="s">
        <v>6494</v>
      </c>
      <c r="E12" s="50" t="s">
        <v>6495</v>
      </c>
      <c r="F12" s="50" t="s">
        <v>5995</v>
      </c>
      <c r="G12" s="50" t="s">
        <v>6507</v>
      </c>
      <c r="H12" s="50">
        <v>3</v>
      </c>
      <c r="I12" s="50" t="s">
        <v>6317</v>
      </c>
      <c r="J12" s="50"/>
    </row>
    <row r="13" spans="2:10" ht="13.5">
      <c r="B13" s="48" t="s">
        <v>6419</v>
      </c>
      <c r="C13" s="48" t="s">
        <v>6420</v>
      </c>
      <c r="D13" s="50" t="s">
        <v>6591</v>
      </c>
      <c r="E13" s="50" t="s">
        <v>6498</v>
      </c>
      <c r="F13" s="50" t="s">
        <v>5995</v>
      </c>
      <c r="G13" s="50" t="s">
        <v>6507</v>
      </c>
      <c r="H13" s="50">
        <v>4</v>
      </c>
      <c r="I13" s="50" t="s">
        <v>6592</v>
      </c>
      <c r="J13" s="50"/>
    </row>
    <row r="15" spans="2:10" ht="13.5">
      <c r="B15" s="48" t="s">
        <v>6624</v>
      </c>
      <c r="C15" s="48" t="s">
        <v>6426</v>
      </c>
      <c r="D15" s="50" t="s">
        <v>6491</v>
      </c>
      <c r="E15" s="50" t="s">
        <v>6492</v>
      </c>
      <c r="F15" s="50" t="s">
        <v>5995</v>
      </c>
      <c r="G15" s="50"/>
      <c r="H15" s="50">
        <v>1</v>
      </c>
      <c r="I15" s="50" t="s">
        <v>6493</v>
      </c>
      <c r="J15" s="50"/>
    </row>
    <row r="16" spans="2:10" ht="13.5">
      <c r="B16" s="48" t="s">
        <v>6624</v>
      </c>
      <c r="C16" s="48" t="s">
        <v>6426</v>
      </c>
      <c r="D16" s="50" t="s">
        <v>2800</v>
      </c>
      <c r="E16" s="50" t="s">
        <v>6500</v>
      </c>
      <c r="F16" s="50" t="s">
        <v>5995</v>
      </c>
      <c r="G16" s="50"/>
      <c r="H16" s="50">
        <v>2</v>
      </c>
      <c r="I16" s="50" t="s">
        <v>2799</v>
      </c>
      <c r="J16" s="50"/>
    </row>
    <row r="22" spans="2:9" s="60" customFormat="1"/>
    <row r="24" spans="2:9" ht="13.5">
      <c r="B24" s="48" t="s">
        <v>6405</v>
      </c>
      <c r="C24" s="48" t="s">
        <v>6406</v>
      </c>
      <c r="D24" s="50" t="s">
        <v>6902</v>
      </c>
      <c r="E24" s="50" t="s">
        <v>6903</v>
      </c>
      <c r="F24" s="50" t="s">
        <v>5977</v>
      </c>
      <c r="G24" s="50"/>
      <c r="H24" s="50">
        <v>2</v>
      </c>
      <c r="I24" s="50" t="s">
        <v>142</v>
      </c>
    </row>
    <row r="25" spans="2:9" ht="13.5">
      <c r="B25" s="48" t="s">
        <v>6405</v>
      </c>
      <c r="C25" s="48" t="s">
        <v>6406</v>
      </c>
      <c r="D25" s="50" t="s">
        <v>7028</v>
      </c>
      <c r="E25" s="50" t="s">
        <v>6713</v>
      </c>
      <c r="F25" s="50" t="s">
        <v>5977</v>
      </c>
      <c r="G25" s="50"/>
      <c r="H25" s="50">
        <v>3</v>
      </c>
      <c r="I25" s="50" t="s">
        <v>7029</v>
      </c>
    </row>
    <row r="26" spans="2:9" ht="13.5">
      <c r="B26" s="48" t="s">
        <v>6405</v>
      </c>
      <c r="C26" s="48" t="s">
        <v>6406</v>
      </c>
      <c r="D26" s="50" t="s">
        <v>7030</v>
      </c>
      <c r="E26" s="50" t="s">
        <v>6697</v>
      </c>
      <c r="F26" s="50" t="s">
        <v>5977</v>
      </c>
      <c r="G26" s="50"/>
      <c r="H26" s="50">
        <v>4</v>
      </c>
      <c r="I26" s="50" t="s">
        <v>7031</v>
      </c>
    </row>
    <row r="27" spans="2:9" ht="13.5">
      <c r="B27" s="48" t="s">
        <v>6405</v>
      </c>
      <c r="C27" s="48" t="s">
        <v>6406</v>
      </c>
      <c r="D27" s="50" t="s">
        <v>7032</v>
      </c>
      <c r="E27" s="50" t="s">
        <v>6909</v>
      </c>
      <c r="F27" s="50" t="s">
        <v>5977</v>
      </c>
      <c r="G27" s="50"/>
      <c r="H27" s="50">
        <v>5</v>
      </c>
      <c r="I27" s="50" t="s">
        <v>7033</v>
      </c>
    </row>
    <row r="28" spans="2:9" ht="13.5">
      <c r="B28" s="48" t="s">
        <v>6405</v>
      </c>
      <c r="C28" s="48" t="s">
        <v>6406</v>
      </c>
      <c r="D28" s="50" t="s">
        <v>7034</v>
      </c>
      <c r="E28" s="50" t="s">
        <v>6721</v>
      </c>
      <c r="F28" s="50" t="s">
        <v>5977</v>
      </c>
      <c r="G28" s="50"/>
      <c r="H28" s="50">
        <v>6</v>
      </c>
      <c r="I28" s="50" t="s">
        <v>7035</v>
      </c>
    </row>
    <row r="29" spans="2:9" ht="13.5">
      <c r="B29" s="48" t="s">
        <v>6405</v>
      </c>
      <c r="C29" s="48" t="s">
        <v>6406</v>
      </c>
      <c r="D29" s="50" t="s">
        <v>7036</v>
      </c>
      <c r="E29" s="50" t="s">
        <v>6713</v>
      </c>
      <c r="F29" s="50" t="s">
        <v>5977</v>
      </c>
      <c r="G29" s="50"/>
      <c r="H29" s="50">
        <v>7</v>
      </c>
      <c r="I29" s="50" t="s">
        <v>7037</v>
      </c>
    </row>
    <row r="30" spans="2:9" ht="13.5">
      <c r="B30" s="48" t="s">
        <v>6405</v>
      </c>
      <c r="C30" s="48" t="s">
        <v>6406</v>
      </c>
      <c r="D30" s="50" t="s">
        <v>7038</v>
      </c>
      <c r="E30" s="50" t="s">
        <v>6713</v>
      </c>
      <c r="F30" s="50" t="s">
        <v>5977</v>
      </c>
      <c r="G30" s="50"/>
      <c r="H30" s="50">
        <v>8</v>
      </c>
      <c r="I30" s="50" t="s">
        <v>7039</v>
      </c>
    </row>
    <row r="31" spans="2:9" ht="13.5">
      <c r="B31" s="48" t="s">
        <v>6405</v>
      </c>
      <c r="C31" s="48" t="s">
        <v>6406</v>
      </c>
      <c r="D31" s="50" t="s">
        <v>7002</v>
      </c>
      <c r="E31" s="50" t="s">
        <v>6697</v>
      </c>
      <c r="F31" s="50" t="s">
        <v>5977</v>
      </c>
      <c r="G31" s="50"/>
      <c r="H31" s="50">
        <v>9</v>
      </c>
      <c r="I31" s="50" t="s">
        <v>7003</v>
      </c>
    </row>
    <row r="33" spans="2:10" ht="13.5">
      <c r="B33" s="48" t="s">
        <v>6386</v>
      </c>
      <c r="C33" s="48" t="s">
        <v>6387</v>
      </c>
      <c r="D33" s="51" t="s">
        <v>2800</v>
      </c>
      <c r="E33" s="51" t="s">
        <v>6500</v>
      </c>
      <c r="F33" s="51" t="s">
        <v>5995</v>
      </c>
      <c r="G33" s="50" t="s">
        <v>6507</v>
      </c>
      <c r="H33" s="51">
        <v>1</v>
      </c>
      <c r="I33" s="51" t="s">
        <v>2799</v>
      </c>
      <c r="J33" s="51"/>
    </row>
    <row r="34" spans="2:10" ht="13.5">
      <c r="B34" s="48" t="s">
        <v>6386</v>
      </c>
      <c r="C34" s="48" t="s">
        <v>6387</v>
      </c>
      <c r="D34" s="51" t="s">
        <v>6600</v>
      </c>
      <c r="E34" s="51" t="s">
        <v>6718</v>
      </c>
      <c r="F34" s="51" t="s">
        <v>5995</v>
      </c>
      <c r="G34" s="50" t="s">
        <v>6507</v>
      </c>
      <c r="H34" s="51">
        <v>2</v>
      </c>
      <c r="I34" s="51" t="s">
        <v>6719</v>
      </c>
      <c r="J34" s="51"/>
    </row>
    <row r="35" spans="2:10" ht="13.5">
      <c r="B35" s="48" t="s">
        <v>6386</v>
      </c>
      <c r="C35" s="48" t="s">
        <v>6387</v>
      </c>
      <c r="D35" s="51" t="s">
        <v>6601</v>
      </c>
      <c r="E35" s="51" t="s">
        <v>6697</v>
      </c>
      <c r="F35" s="51" t="s">
        <v>5995</v>
      </c>
      <c r="G35" s="50" t="s">
        <v>6507</v>
      </c>
      <c r="H35" s="51">
        <v>3</v>
      </c>
      <c r="I35" s="51" t="s">
        <v>6720</v>
      </c>
      <c r="J35" s="51"/>
    </row>
    <row r="36" spans="2:10" ht="13.5">
      <c r="B36" s="48" t="s">
        <v>6386</v>
      </c>
      <c r="C36" s="48" t="s">
        <v>6387</v>
      </c>
      <c r="D36" s="50" t="s">
        <v>6722</v>
      </c>
      <c r="E36" s="50" t="s">
        <v>6723</v>
      </c>
      <c r="F36" s="50" t="s">
        <v>5977</v>
      </c>
      <c r="G36" s="50"/>
      <c r="H36" s="50">
        <v>4</v>
      </c>
      <c r="I36" s="50" t="s">
        <v>6724</v>
      </c>
    </row>
    <row r="37" spans="2:10" ht="13.5">
      <c r="B37" s="48" t="s">
        <v>6386</v>
      </c>
      <c r="C37" s="48" t="s">
        <v>6387</v>
      </c>
      <c r="D37" s="50" t="s">
        <v>6725</v>
      </c>
      <c r="E37" s="50" t="s">
        <v>6723</v>
      </c>
      <c r="F37" s="50" t="s">
        <v>5977</v>
      </c>
      <c r="G37" s="50"/>
      <c r="H37" s="50">
        <v>5</v>
      </c>
      <c r="I37" s="50" t="s">
        <v>6726</v>
      </c>
    </row>
    <row r="39" spans="2:10" ht="13.5">
      <c r="B39" s="48" t="s">
        <v>6390</v>
      </c>
      <c r="C39" s="48" t="s">
        <v>6391</v>
      </c>
      <c r="D39" s="50" t="s">
        <v>6600</v>
      </c>
      <c r="E39" s="50" t="s">
        <v>6718</v>
      </c>
      <c r="F39" s="50" t="s">
        <v>5995</v>
      </c>
      <c r="G39" s="50" t="s">
        <v>6507</v>
      </c>
      <c r="H39" s="50">
        <v>1</v>
      </c>
      <c r="I39" s="50" t="s">
        <v>6719</v>
      </c>
      <c r="J39" s="50"/>
    </row>
    <row r="40" spans="2:10" ht="13.5">
      <c r="B40" s="48" t="s">
        <v>6390</v>
      </c>
      <c r="C40" s="48" t="s">
        <v>6391</v>
      </c>
      <c r="D40" s="51" t="s">
        <v>6601</v>
      </c>
      <c r="E40" s="51" t="s">
        <v>6697</v>
      </c>
      <c r="F40" s="51" t="s">
        <v>5995</v>
      </c>
      <c r="G40" s="50" t="s">
        <v>6507</v>
      </c>
      <c r="H40" s="51">
        <v>2</v>
      </c>
      <c r="I40" s="51" t="s">
        <v>6720</v>
      </c>
      <c r="J40" s="51"/>
    </row>
    <row r="41" spans="2:10" ht="13.5">
      <c r="B41" s="48" t="s">
        <v>6390</v>
      </c>
      <c r="C41" s="48" t="s">
        <v>6391</v>
      </c>
      <c r="D41" s="51" t="s">
        <v>2413</v>
      </c>
      <c r="E41" s="51" t="s">
        <v>6721</v>
      </c>
      <c r="F41" s="51" t="s">
        <v>5995</v>
      </c>
      <c r="G41" s="50" t="s">
        <v>6507</v>
      </c>
      <c r="H41" s="51">
        <v>3</v>
      </c>
      <c r="I41" s="51" t="s">
        <v>2412</v>
      </c>
      <c r="J41" s="51"/>
    </row>
    <row r="42" spans="2:10" ht="13.5">
      <c r="B42" s="48" t="s">
        <v>6390</v>
      </c>
      <c r="C42" s="48" t="s">
        <v>6391</v>
      </c>
      <c r="D42" s="50" t="s">
        <v>6722</v>
      </c>
      <c r="E42" s="50" t="s">
        <v>6723</v>
      </c>
      <c r="F42" s="50" t="s">
        <v>5977</v>
      </c>
      <c r="G42" s="50"/>
      <c r="H42" s="50">
        <v>4</v>
      </c>
      <c r="I42" s="50" t="s">
        <v>6724</v>
      </c>
    </row>
    <row r="43" spans="2:10" ht="13.5">
      <c r="B43" s="48" t="s">
        <v>6390</v>
      </c>
      <c r="C43" s="48" t="s">
        <v>6391</v>
      </c>
      <c r="D43" s="50" t="s">
        <v>6725</v>
      </c>
      <c r="E43" s="50" t="s">
        <v>6723</v>
      </c>
      <c r="F43" s="50" t="s">
        <v>5977</v>
      </c>
      <c r="G43" s="50"/>
      <c r="H43" s="50">
        <v>5</v>
      </c>
      <c r="I43" s="50" t="s">
        <v>6726</v>
      </c>
    </row>
    <row r="45" spans="2:10" ht="13.5">
      <c r="B45" s="48" t="s">
        <v>6394</v>
      </c>
      <c r="C45" s="48" t="s">
        <v>6371</v>
      </c>
      <c r="D45" s="50" t="s">
        <v>4997</v>
      </c>
      <c r="E45" s="50" t="s">
        <v>6721</v>
      </c>
      <c r="F45" s="50" t="s">
        <v>5995</v>
      </c>
      <c r="G45" s="50" t="s">
        <v>6507</v>
      </c>
      <c r="H45" s="50">
        <v>2</v>
      </c>
      <c r="I45" s="50" t="s">
        <v>4996</v>
      </c>
      <c r="J45" s="50"/>
    </row>
    <row r="46" spans="2:10" ht="13.5">
      <c r="B46" s="48" t="s">
        <v>6394</v>
      </c>
      <c r="C46" s="48" t="s">
        <v>6371</v>
      </c>
      <c r="D46" s="50" t="s">
        <v>7292</v>
      </c>
      <c r="E46" s="50" t="s">
        <v>6498</v>
      </c>
      <c r="F46" s="50" t="s">
        <v>5995</v>
      </c>
      <c r="G46" s="50"/>
      <c r="H46" s="50">
        <v>1</v>
      </c>
      <c r="I46" s="50" t="s">
        <v>7293</v>
      </c>
      <c r="J46" s="50"/>
    </row>
    <row r="47" spans="2:10" ht="12.75" customHeight="1">
      <c r="B47" s="48" t="s">
        <v>6394</v>
      </c>
      <c r="C47" s="48" t="s">
        <v>6371</v>
      </c>
      <c r="D47" s="50" t="s">
        <v>6600</v>
      </c>
      <c r="E47" s="50" t="s">
        <v>6697</v>
      </c>
      <c r="F47" s="50" t="s">
        <v>5977</v>
      </c>
      <c r="G47" s="50"/>
      <c r="H47" s="79">
        <v>3</v>
      </c>
      <c r="I47" s="50" t="s">
        <v>6719</v>
      </c>
      <c r="J47" s="78"/>
    </row>
    <row r="48" spans="2:10" ht="12.75" customHeight="1">
      <c r="B48" s="48" t="s">
        <v>6394</v>
      </c>
      <c r="C48" s="48" t="s">
        <v>6371</v>
      </c>
      <c r="D48" s="50" t="s">
        <v>6601</v>
      </c>
      <c r="E48" s="50" t="s">
        <v>6697</v>
      </c>
      <c r="F48" s="50" t="s">
        <v>5977</v>
      </c>
      <c r="G48" s="50"/>
      <c r="H48" s="79">
        <v>4</v>
      </c>
      <c r="I48" s="50" t="s">
        <v>6720</v>
      </c>
      <c r="J48" s="78"/>
    </row>
    <row r="49" spans="2:10" ht="12.75" customHeight="1">
      <c r="B49" s="48" t="s">
        <v>6394</v>
      </c>
      <c r="C49" s="48" t="s">
        <v>6371</v>
      </c>
      <c r="D49" s="50" t="s">
        <v>6685</v>
      </c>
      <c r="E49" s="50" t="s">
        <v>6697</v>
      </c>
      <c r="F49" s="50" t="s">
        <v>5977</v>
      </c>
      <c r="G49" s="50"/>
      <c r="H49" s="79">
        <v>5</v>
      </c>
      <c r="I49" s="50" t="s">
        <v>6171</v>
      </c>
      <c r="J49" s="78"/>
    </row>
    <row r="50" spans="2:10" ht="12.75" customHeight="1">
      <c r="B50" s="48" t="s">
        <v>6394</v>
      </c>
      <c r="C50" s="48" t="s">
        <v>6371</v>
      </c>
      <c r="D50" s="50" t="s">
        <v>6980</v>
      </c>
      <c r="E50" s="50" t="s">
        <v>6710</v>
      </c>
      <c r="F50" s="50" t="s">
        <v>5977</v>
      </c>
      <c r="G50" s="50"/>
      <c r="H50" s="79">
        <v>6</v>
      </c>
      <c r="I50" s="50" t="s">
        <v>4015</v>
      </c>
      <c r="J50" s="78"/>
    </row>
    <row r="51" spans="2:10" ht="12.75" customHeight="1">
      <c r="B51" s="48" t="s">
        <v>6394</v>
      </c>
      <c r="C51" s="48" t="s">
        <v>6371</v>
      </c>
      <c r="D51" s="50" t="s">
        <v>7294</v>
      </c>
      <c r="E51" s="50" t="s">
        <v>6710</v>
      </c>
      <c r="F51" s="50" t="s">
        <v>5977</v>
      </c>
      <c r="G51" s="50"/>
      <c r="H51" s="79">
        <v>7</v>
      </c>
      <c r="I51" s="50" t="s">
        <v>7295</v>
      </c>
      <c r="J51" s="78"/>
    </row>
    <row r="53" spans="2:10" ht="13.5">
      <c r="B53" s="48" t="s">
        <v>6395</v>
      </c>
      <c r="C53" s="48" t="s">
        <v>4040</v>
      </c>
      <c r="D53" s="50" t="s">
        <v>6694</v>
      </c>
      <c r="E53" s="50" t="s">
        <v>6495</v>
      </c>
      <c r="F53" s="50" t="s">
        <v>5995</v>
      </c>
      <c r="G53" s="50" t="s">
        <v>6507</v>
      </c>
      <c r="H53" s="50">
        <v>1</v>
      </c>
      <c r="I53" s="50" t="s">
        <v>6695</v>
      </c>
      <c r="J53" s="50"/>
    </row>
    <row r="54" spans="2:10" ht="13.5">
      <c r="B54" s="48" t="s">
        <v>6395</v>
      </c>
      <c r="C54" s="48" t="s">
        <v>4040</v>
      </c>
      <c r="D54" s="50" t="s">
        <v>6696</v>
      </c>
      <c r="E54" s="50" t="s">
        <v>6697</v>
      </c>
      <c r="F54" s="50" t="s">
        <v>5995</v>
      </c>
      <c r="G54" s="50" t="s">
        <v>6507</v>
      </c>
      <c r="H54" s="50">
        <v>2</v>
      </c>
      <c r="I54" s="50" t="s">
        <v>6698</v>
      </c>
      <c r="J54" s="50"/>
    </row>
    <row r="55" spans="2:10" ht="13.5">
      <c r="B55" s="48" t="s">
        <v>6395</v>
      </c>
      <c r="C55" s="48" t="s">
        <v>4040</v>
      </c>
      <c r="D55" s="50" t="s">
        <v>8407</v>
      </c>
      <c r="E55" s="50" t="s">
        <v>6909</v>
      </c>
      <c r="F55" s="50" t="s">
        <v>5977</v>
      </c>
      <c r="G55" s="50"/>
      <c r="H55" s="50">
        <v>3</v>
      </c>
      <c r="I55" s="50" t="s">
        <v>8408</v>
      </c>
      <c r="J55" s="50"/>
    </row>
    <row r="56" spans="2:10" ht="13.5">
      <c r="B56" s="48" t="s">
        <v>6395</v>
      </c>
      <c r="C56" s="48" t="s">
        <v>4040</v>
      </c>
      <c r="D56" s="50" t="s">
        <v>8409</v>
      </c>
      <c r="E56" s="50" t="s">
        <v>7000</v>
      </c>
      <c r="F56" s="50" t="s">
        <v>5977</v>
      </c>
      <c r="G56" s="50"/>
      <c r="H56" s="50">
        <v>4</v>
      </c>
      <c r="I56" s="50" t="s">
        <v>3623</v>
      </c>
      <c r="J56" s="50"/>
    </row>
    <row r="57" spans="2:10" ht="13.5">
      <c r="B57" s="48" t="s">
        <v>6395</v>
      </c>
      <c r="C57" s="48" t="s">
        <v>4040</v>
      </c>
      <c r="D57" s="50" t="s">
        <v>6980</v>
      </c>
      <c r="E57" s="50" t="s">
        <v>6710</v>
      </c>
      <c r="F57" s="50" t="s">
        <v>5977</v>
      </c>
      <c r="G57" s="50"/>
      <c r="H57" s="50">
        <v>5</v>
      </c>
      <c r="I57" s="50" t="s">
        <v>8410</v>
      </c>
      <c r="J57" s="50"/>
    </row>
    <row r="58" spans="2:10" ht="13.5">
      <c r="B58" s="48" t="s">
        <v>6395</v>
      </c>
      <c r="C58" s="48" t="s">
        <v>4040</v>
      </c>
      <c r="D58" s="50" t="s">
        <v>6968</v>
      </c>
      <c r="E58" s="50" t="s">
        <v>6710</v>
      </c>
      <c r="F58" s="50" t="s">
        <v>5977</v>
      </c>
      <c r="G58" s="50"/>
      <c r="H58" s="50">
        <v>6</v>
      </c>
      <c r="I58" s="50" t="s">
        <v>6969</v>
      </c>
      <c r="J58" s="50"/>
    </row>
    <row r="59" spans="2:10" ht="13.5">
      <c r="B59" s="48" t="s">
        <v>6395</v>
      </c>
      <c r="C59" s="48" t="s">
        <v>4040</v>
      </c>
      <c r="D59" s="50" t="s">
        <v>6908</v>
      </c>
      <c r="E59" s="50" t="s">
        <v>6909</v>
      </c>
      <c r="F59" s="50" t="s">
        <v>5977</v>
      </c>
      <c r="G59" s="50"/>
      <c r="H59" s="50">
        <v>7</v>
      </c>
      <c r="I59" s="50" t="s">
        <v>6910</v>
      </c>
      <c r="J59" s="50"/>
    </row>
    <row r="60" spans="2:10" ht="13.5">
      <c r="B60" s="48" t="s">
        <v>6395</v>
      </c>
      <c r="C60" s="48" t="s">
        <v>4040</v>
      </c>
      <c r="D60" s="50" t="s">
        <v>6600</v>
      </c>
      <c r="E60" s="50" t="s">
        <v>6697</v>
      </c>
      <c r="F60" s="50" t="s">
        <v>5977</v>
      </c>
      <c r="G60" s="50"/>
      <c r="H60" s="50">
        <v>8</v>
      </c>
      <c r="I60" s="50" t="s">
        <v>6719</v>
      </c>
      <c r="J60" s="50"/>
    </row>
    <row r="61" spans="2:10" ht="13.5">
      <c r="B61" s="48" t="s">
        <v>6395</v>
      </c>
      <c r="C61" s="48" t="s">
        <v>4040</v>
      </c>
      <c r="D61" s="50" t="s">
        <v>6601</v>
      </c>
      <c r="E61" s="50" t="s">
        <v>6697</v>
      </c>
      <c r="F61" s="50" t="s">
        <v>5977</v>
      </c>
      <c r="G61" s="50"/>
      <c r="H61" s="50">
        <v>9</v>
      </c>
      <c r="I61" s="50" t="s">
        <v>6720</v>
      </c>
      <c r="J61" s="50"/>
    </row>
    <row r="62" spans="2:10" ht="13.5">
      <c r="B62" s="48" t="s">
        <v>6395</v>
      </c>
      <c r="C62" s="48" t="s">
        <v>4040</v>
      </c>
      <c r="D62" s="50" t="s">
        <v>6911</v>
      </c>
      <c r="E62" s="50" t="s">
        <v>6909</v>
      </c>
      <c r="F62" s="50" t="s">
        <v>5977</v>
      </c>
      <c r="G62" s="50"/>
      <c r="H62" s="50">
        <v>10</v>
      </c>
      <c r="I62" s="50" t="s">
        <v>6912</v>
      </c>
      <c r="J62" s="50"/>
    </row>
    <row r="63" spans="2:10" ht="13.5">
      <c r="B63" s="48" t="s">
        <v>6395</v>
      </c>
      <c r="C63" s="48" t="s">
        <v>4040</v>
      </c>
      <c r="D63" s="50" t="s">
        <v>6685</v>
      </c>
      <c r="E63" s="50" t="s">
        <v>6697</v>
      </c>
      <c r="F63" s="50" t="s">
        <v>5977</v>
      </c>
      <c r="G63" s="50"/>
      <c r="H63" s="50">
        <v>11</v>
      </c>
      <c r="I63" s="50" t="s">
        <v>6171</v>
      </c>
      <c r="J63" s="50"/>
    </row>
    <row r="64" spans="2:10" ht="13.5">
      <c r="B64" s="48" t="s">
        <v>6395</v>
      </c>
      <c r="C64" s="48" t="s">
        <v>4040</v>
      </c>
      <c r="D64" s="50" t="s">
        <v>6913</v>
      </c>
      <c r="E64" s="50" t="s">
        <v>6909</v>
      </c>
      <c r="F64" s="50" t="s">
        <v>5977</v>
      </c>
      <c r="G64" s="50"/>
      <c r="H64" s="50">
        <v>12</v>
      </c>
      <c r="I64" s="50" t="s">
        <v>6914</v>
      </c>
      <c r="J64" s="50"/>
    </row>
    <row r="65" spans="2:10" ht="13.5">
      <c r="B65" s="48" t="s">
        <v>6395</v>
      </c>
      <c r="C65" s="48" t="s">
        <v>4040</v>
      </c>
      <c r="D65" s="50" t="s">
        <v>8411</v>
      </c>
      <c r="E65" s="50" t="s">
        <v>6713</v>
      </c>
      <c r="F65" s="50" t="s">
        <v>5977</v>
      </c>
      <c r="G65" s="50"/>
      <c r="H65" s="50">
        <v>13</v>
      </c>
      <c r="I65" s="50" t="s">
        <v>8412</v>
      </c>
      <c r="J65" s="50"/>
    </row>
    <row r="66" spans="2:10" ht="13.5">
      <c r="B66" s="48" t="s">
        <v>6395</v>
      </c>
      <c r="C66" s="48" t="s">
        <v>4040</v>
      </c>
      <c r="D66" s="50" t="s">
        <v>7022</v>
      </c>
      <c r="E66" s="50" t="s">
        <v>6721</v>
      </c>
      <c r="F66" s="50" t="s">
        <v>5977</v>
      </c>
      <c r="G66" s="50"/>
      <c r="H66" s="50">
        <v>14</v>
      </c>
      <c r="I66" s="50" t="s">
        <v>7023</v>
      </c>
      <c r="J66" s="50"/>
    </row>
    <row r="67" spans="2:10" ht="13.5">
      <c r="B67" s="48" t="s">
        <v>6395</v>
      </c>
      <c r="C67" s="48" t="s">
        <v>4040</v>
      </c>
      <c r="D67" s="50" t="s">
        <v>7004</v>
      </c>
      <c r="E67" s="50" t="s">
        <v>6718</v>
      </c>
      <c r="F67" s="50" t="s">
        <v>5977</v>
      </c>
      <c r="G67" s="50"/>
      <c r="H67" s="50">
        <v>15</v>
      </c>
      <c r="I67" s="50" t="s">
        <v>2646</v>
      </c>
      <c r="J67" s="50"/>
    </row>
    <row r="68" spans="2:10" ht="13.5">
      <c r="B68" s="48" t="s">
        <v>6395</v>
      </c>
      <c r="C68" s="48" t="s">
        <v>4040</v>
      </c>
      <c r="D68" s="50" t="s">
        <v>7005</v>
      </c>
      <c r="E68" s="50" t="s">
        <v>6688</v>
      </c>
      <c r="F68" s="50" t="s">
        <v>5977</v>
      </c>
      <c r="G68" s="50"/>
      <c r="H68" s="50">
        <v>16</v>
      </c>
      <c r="I68" s="50" t="s">
        <v>2589</v>
      </c>
      <c r="J68" s="50"/>
    </row>
    <row r="69" spans="2:10" ht="13.5">
      <c r="B69" s="48" t="s">
        <v>6395</v>
      </c>
      <c r="C69" s="48" t="s">
        <v>4040</v>
      </c>
      <c r="D69" s="50" t="s">
        <v>7006</v>
      </c>
      <c r="E69" s="50" t="s">
        <v>6718</v>
      </c>
      <c r="F69" s="50" t="s">
        <v>5977</v>
      </c>
      <c r="G69" s="50"/>
      <c r="H69" s="50">
        <v>17</v>
      </c>
      <c r="I69" s="50" t="s">
        <v>5540</v>
      </c>
      <c r="J69" s="50"/>
    </row>
    <row r="70" spans="2:10" ht="13.5">
      <c r="B70" s="48" t="s">
        <v>6395</v>
      </c>
      <c r="C70" s="48" t="s">
        <v>4040</v>
      </c>
      <c r="D70" s="50" t="s">
        <v>7007</v>
      </c>
      <c r="E70" s="50" t="s">
        <v>6688</v>
      </c>
      <c r="F70" s="50" t="s">
        <v>5977</v>
      </c>
      <c r="G70" s="50"/>
      <c r="H70" s="50">
        <v>18</v>
      </c>
      <c r="I70" s="50" t="s">
        <v>5521</v>
      </c>
      <c r="J70" s="50"/>
    </row>
    <row r="72" spans="2:10" ht="13.5">
      <c r="B72" s="48" t="s">
        <v>6404</v>
      </c>
      <c r="C72" s="48" t="s">
        <v>4511</v>
      </c>
      <c r="D72" s="50" t="s">
        <v>6589</v>
      </c>
      <c r="E72" s="50" t="s">
        <v>6590</v>
      </c>
      <c r="F72" s="50" t="s">
        <v>5995</v>
      </c>
      <c r="G72" s="50" t="s">
        <v>8437</v>
      </c>
      <c r="H72" s="50">
        <v>1</v>
      </c>
      <c r="I72" s="50" t="s">
        <v>6101</v>
      </c>
      <c r="J72" s="50"/>
    </row>
    <row r="73" spans="2:10" ht="13.5">
      <c r="B73" s="48" t="s">
        <v>6404</v>
      </c>
      <c r="C73" s="48" t="s">
        <v>4511</v>
      </c>
      <c r="D73" s="50" t="s">
        <v>6494</v>
      </c>
      <c r="E73" s="50" t="s">
        <v>6495</v>
      </c>
      <c r="F73" s="50" t="s">
        <v>5995</v>
      </c>
      <c r="G73" s="50" t="s">
        <v>8437</v>
      </c>
      <c r="H73" s="50">
        <v>2</v>
      </c>
      <c r="I73" s="50" t="s">
        <v>6496</v>
      </c>
      <c r="J73" s="50"/>
    </row>
    <row r="74" spans="2:10" ht="13.5">
      <c r="B74" s="48" t="s">
        <v>6404</v>
      </c>
      <c r="C74" s="48" t="s">
        <v>4511</v>
      </c>
      <c r="D74" s="50" t="s">
        <v>6897</v>
      </c>
      <c r="E74" s="50" t="s">
        <v>6495</v>
      </c>
      <c r="F74" s="50" t="s">
        <v>5995</v>
      </c>
      <c r="G74" s="50" t="s">
        <v>8437</v>
      </c>
      <c r="H74" s="50">
        <v>3</v>
      </c>
      <c r="I74" s="50" t="s">
        <v>6898</v>
      </c>
      <c r="J74" s="50"/>
    </row>
    <row r="75" spans="2:10" ht="13.5">
      <c r="B75" s="48" t="s">
        <v>6404</v>
      </c>
      <c r="C75" s="48" t="s">
        <v>4511</v>
      </c>
      <c r="D75" s="50" t="s">
        <v>6902</v>
      </c>
      <c r="E75" s="50" t="s">
        <v>6903</v>
      </c>
      <c r="F75" s="50" t="s">
        <v>5977</v>
      </c>
      <c r="G75" s="50"/>
      <c r="H75" s="50">
        <v>4</v>
      </c>
      <c r="I75" s="50" t="s">
        <v>142</v>
      </c>
      <c r="J75" s="50"/>
    </row>
    <row r="76" spans="2:10" ht="13.5">
      <c r="B76" s="48" t="s">
        <v>6404</v>
      </c>
      <c r="C76" s="48" t="s">
        <v>4511</v>
      </c>
      <c r="D76" s="50" t="s">
        <v>7018</v>
      </c>
      <c r="E76" s="50" t="s">
        <v>6909</v>
      </c>
      <c r="F76" s="50" t="s">
        <v>5977</v>
      </c>
      <c r="G76" s="50"/>
      <c r="H76" s="50">
        <v>5</v>
      </c>
      <c r="I76" s="50" t="s">
        <v>7019</v>
      </c>
      <c r="J76" s="50"/>
    </row>
    <row r="77" spans="2:10" ht="13.5">
      <c r="B77" s="48" t="s">
        <v>6404</v>
      </c>
      <c r="C77" s="48" t="s">
        <v>4511</v>
      </c>
      <c r="D77" s="50" t="s">
        <v>7020</v>
      </c>
      <c r="E77" s="50" t="s">
        <v>8432</v>
      </c>
      <c r="F77" s="50" t="s">
        <v>5977</v>
      </c>
      <c r="G77" s="50"/>
      <c r="H77" s="50">
        <v>6</v>
      </c>
      <c r="I77" s="50" t="s">
        <v>7021</v>
      </c>
      <c r="J77" s="50"/>
    </row>
    <row r="78" spans="2:10" ht="13.5">
      <c r="B78" s="48" t="s">
        <v>6404</v>
      </c>
      <c r="C78" s="48" t="s">
        <v>4511</v>
      </c>
      <c r="D78" s="50" t="s">
        <v>7022</v>
      </c>
      <c r="E78" s="50" t="s">
        <v>6721</v>
      </c>
      <c r="F78" s="50" t="s">
        <v>5977</v>
      </c>
      <c r="G78" s="50"/>
      <c r="H78" s="50">
        <v>7</v>
      </c>
      <c r="I78" s="50" t="s">
        <v>7023</v>
      </c>
      <c r="J78" s="50"/>
    </row>
    <row r="79" spans="2:10" ht="13.5">
      <c r="B79" s="48" t="s">
        <v>6404</v>
      </c>
      <c r="C79" s="48" t="s">
        <v>4511</v>
      </c>
      <c r="D79" s="50" t="s">
        <v>8433</v>
      </c>
      <c r="E79" s="50" t="s">
        <v>6713</v>
      </c>
      <c r="F79" s="50" t="s">
        <v>5977</v>
      </c>
      <c r="G79" s="50"/>
      <c r="H79" s="50">
        <v>8</v>
      </c>
      <c r="I79" s="50" t="s">
        <v>8434</v>
      </c>
      <c r="J79" s="50"/>
    </row>
    <row r="80" spans="2:10" ht="13.5">
      <c r="B80" s="48" t="s">
        <v>6404</v>
      </c>
      <c r="C80" s="48" t="s">
        <v>4511</v>
      </c>
      <c r="D80" s="50" t="s">
        <v>7038</v>
      </c>
      <c r="E80" s="50" t="s">
        <v>6713</v>
      </c>
      <c r="F80" s="50" t="s">
        <v>5977</v>
      </c>
      <c r="G80" s="50"/>
      <c r="H80" s="50">
        <v>9</v>
      </c>
      <c r="I80" s="50" t="s">
        <v>7039</v>
      </c>
      <c r="J80" s="50"/>
    </row>
    <row r="81" spans="2:10" ht="13.5">
      <c r="B81" s="48" t="s">
        <v>6404</v>
      </c>
      <c r="C81" s="48" t="s">
        <v>4511</v>
      </c>
      <c r="D81" s="50" t="s">
        <v>8435</v>
      </c>
      <c r="E81" s="50" t="s">
        <v>6713</v>
      </c>
      <c r="F81" s="50" t="s">
        <v>5977</v>
      </c>
      <c r="G81" s="50"/>
      <c r="H81" s="50">
        <v>10</v>
      </c>
      <c r="I81" s="50" t="s">
        <v>8436</v>
      </c>
      <c r="J81" s="50"/>
    </row>
    <row r="82" spans="2:10" ht="13.5">
      <c r="B82" s="48" t="s">
        <v>6404</v>
      </c>
      <c r="C82" s="48" t="s">
        <v>4511</v>
      </c>
      <c r="D82" s="50" t="s">
        <v>7004</v>
      </c>
      <c r="E82" s="50" t="s">
        <v>6718</v>
      </c>
      <c r="F82" s="50" t="s">
        <v>5977</v>
      </c>
      <c r="G82" s="50"/>
      <c r="H82" s="50">
        <v>11</v>
      </c>
      <c r="I82" s="50" t="s">
        <v>2646</v>
      </c>
      <c r="J82" s="50"/>
    </row>
    <row r="83" spans="2:10" ht="13.5">
      <c r="B83" s="48" t="s">
        <v>6404</v>
      </c>
      <c r="C83" s="48" t="s">
        <v>4511</v>
      </c>
      <c r="D83" s="50" t="s">
        <v>7005</v>
      </c>
      <c r="E83" s="50" t="s">
        <v>6688</v>
      </c>
      <c r="F83" s="50" t="s">
        <v>5977</v>
      </c>
      <c r="G83" s="50"/>
      <c r="H83" s="50">
        <v>12</v>
      </c>
      <c r="I83" s="50" t="s">
        <v>2589</v>
      </c>
      <c r="J83" s="50"/>
    </row>
    <row r="84" spans="2:10" ht="13.5">
      <c r="B84" s="48" t="s">
        <v>6404</v>
      </c>
      <c r="C84" s="48" t="s">
        <v>4511</v>
      </c>
      <c r="D84" s="50" t="s">
        <v>7006</v>
      </c>
      <c r="E84" s="50" t="s">
        <v>6718</v>
      </c>
      <c r="F84" s="50" t="s">
        <v>5977</v>
      </c>
      <c r="G84" s="50"/>
      <c r="H84" s="50">
        <v>13</v>
      </c>
      <c r="I84" s="50" t="s">
        <v>5540</v>
      </c>
      <c r="J84" s="50"/>
    </row>
    <row r="85" spans="2:10" ht="13.5">
      <c r="B85" s="48" t="s">
        <v>6404</v>
      </c>
      <c r="C85" s="48" t="s">
        <v>4511</v>
      </c>
      <c r="D85" s="50" t="s">
        <v>7007</v>
      </c>
      <c r="E85" s="50" t="s">
        <v>6688</v>
      </c>
      <c r="F85" s="50" t="s">
        <v>5977</v>
      </c>
      <c r="G85" s="50"/>
      <c r="H85" s="50">
        <v>14</v>
      </c>
      <c r="I85" s="50" t="s">
        <v>5521</v>
      </c>
      <c r="J85" s="50"/>
    </row>
    <row r="87" spans="2:10" ht="13.5">
      <c r="B87" s="48" t="s">
        <v>6421</v>
      </c>
      <c r="C87" s="48" t="s">
        <v>6422</v>
      </c>
      <c r="D87" s="50" t="s">
        <v>2800</v>
      </c>
      <c r="E87" s="50" t="s">
        <v>6500</v>
      </c>
      <c r="F87" s="50" t="s">
        <v>5995</v>
      </c>
      <c r="G87" s="50" t="s">
        <v>6507</v>
      </c>
      <c r="H87" s="50">
        <v>1</v>
      </c>
      <c r="I87" s="50" t="s">
        <v>2799</v>
      </c>
      <c r="J87" s="50"/>
    </row>
    <row r="88" spans="2:10" ht="13.5">
      <c r="B88" s="48" t="s">
        <v>6421</v>
      </c>
      <c r="C88" s="48" t="s">
        <v>6422</v>
      </c>
      <c r="D88" s="50" t="s">
        <v>6687</v>
      </c>
      <c r="E88" s="50" t="s">
        <v>6688</v>
      </c>
      <c r="F88" s="50" t="s">
        <v>5977</v>
      </c>
      <c r="G88" s="50"/>
      <c r="H88" s="50">
        <v>19</v>
      </c>
      <c r="I88" s="50" t="s">
        <v>6689</v>
      </c>
    </row>
    <row r="89" spans="2:10" ht="13.5">
      <c r="B89" s="48" t="s">
        <v>6421</v>
      </c>
      <c r="C89" s="48" t="s">
        <v>6422</v>
      </c>
      <c r="D89" s="50" t="s">
        <v>6690</v>
      </c>
      <c r="E89" s="50" t="s">
        <v>6688</v>
      </c>
      <c r="F89" s="50" t="s">
        <v>5977</v>
      </c>
      <c r="G89" s="50"/>
      <c r="H89" s="50">
        <v>20</v>
      </c>
      <c r="I89" s="50" t="s">
        <v>6691</v>
      </c>
    </row>
    <row r="90" spans="2:10" ht="13.5">
      <c r="B90" s="48" t="s">
        <v>6421</v>
      </c>
      <c r="C90" s="48" t="s">
        <v>6422</v>
      </c>
      <c r="D90" s="50" t="s">
        <v>6692</v>
      </c>
      <c r="E90" s="50" t="s">
        <v>6688</v>
      </c>
      <c r="F90" s="50" t="s">
        <v>5977</v>
      </c>
      <c r="G90" s="50"/>
      <c r="H90" s="50">
        <v>21</v>
      </c>
      <c r="I90" s="50" t="s">
        <v>6693</v>
      </c>
    </row>
    <row r="91" spans="2:10" ht="13.5">
      <c r="B91" s="48" t="s">
        <v>6421</v>
      </c>
      <c r="C91" s="48" t="s">
        <v>6422</v>
      </c>
      <c r="D91" s="50" t="s">
        <v>6709</v>
      </c>
      <c r="E91" s="50" t="s">
        <v>6710</v>
      </c>
      <c r="F91" s="50" t="s">
        <v>5977</v>
      </c>
      <c r="G91" s="50"/>
      <c r="H91" s="50">
        <v>47</v>
      </c>
      <c r="I91" s="50" t="s">
        <v>6711</v>
      </c>
    </row>
    <row r="92" spans="2:10" ht="13.5">
      <c r="B92" s="48" t="s">
        <v>6421</v>
      </c>
      <c r="C92" s="48" t="s">
        <v>6422</v>
      </c>
      <c r="D92" s="50" t="s">
        <v>6712</v>
      </c>
      <c r="E92" s="50" t="s">
        <v>6713</v>
      </c>
      <c r="F92" s="50" t="s">
        <v>5977</v>
      </c>
      <c r="G92" s="50"/>
      <c r="H92" s="50">
        <v>48</v>
      </c>
      <c r="I92" s="50" t="s">
        <v>6714</v>
      </c>
    </row>
    <row r="94" spans="2:10" ht="13.5">
      <c r="B94" s="254" t="s">
        <v>8997</v>
      </c>
      <c r="C94" s="254" t="s">
        <v>6434</v>
      </c>
      <c r="D94" s="255" t="s">
        <v>6491</v>
      </c>
      <c r="E94" s="255" t="s">
        <v>6492</v>
      </c>
      <c r="F94" s="255" t="s">
        <v>5995</v>
      </c>
      <c r="G94" s="255"/>
      <c r="H94" s="255">
        <v>1</v>
      </c>
      <c r="I94" s="255" t="s">
        <v>6493</v>
      </c>
      <c r="J94" s="255"/>
    </row>
    <row r="95" spans="2:10" ht="13.5">
      <c r="B95" s="254" t="s">
        <v>6433</v>
      </c>
      <c r="C95" s="254" t="s">
        <v>6434</v>
      </c>
      <c r="D95" s="255" t="s">
        <v>6494</v>
      </c>
      <c r="E95" s="255" t="s">
        <v>6495</v>
      </c>
      <c r="F95" s="255" t="s">
        <v>5995</v>
      </c>
      <c r="G95" s="255"/>
      <c r="H95" s="255">
        <v>2</v>
      </c>
      <c r="I95" s="255" t="s">
        <v>6496</v>
      </c>
      <c r="J95" s="255"/>
    </row>
    <row r="96" spans="2:10" ht="13.5">
      <c r="B96" s="254" t="s">
        <v>6433</v>
      </c>
      <c r="C96" s="254" t="s">
        <v>6434</v>
      </c>
      <c r="D96" s="255" t="s">
        <v>6497</v>
      </c>
      <c r="E96" s="255" t="s">
        <v>6498</v>
      </c>
      <c r="F96" s="255" t="s">
        <v>5995</v>
      </c>
      <c r="G96" s="255"/>
      <c r="H96" s="255">
        <v>3</v>
      </c>
      <c r="I96" s="255" t="s">
        <v>6499</v>
      </c>
      <c r="J96" s="255"/>
    </row>
    <row r="97" spans="2:10" ht="13.5">
      <c r="B97" s="254" t="s">
        <v>6433</v>
      </c>
      <c r="C97" s="254" t="s">
        <v>6434</v>
      </c>
      <c r="D97" s="255" t="s">
        <v>2800</v>
      </c>
      <c r="E97" s="255" t="s">
        <v>6500</v>
      </c>
      <c r="F97" s="255" t="s">
        <v>5995</v>
      </c>
      <c r="G97" s="255"/>
      <c r="H97" s="255">
        <v>4</v>
      </c>
      <c r="I97" s="255" t="s">
        <v>2799</v>
      </c>
      <c r="J97" s="255"/>
    </row>
    <row r="98" spans="2:10" ht="14.25" customHeight="1">
      <c r="B98" s="254" t="s">
        <v>6433</v>
      </c>
      <c r="C98" s="254" t="s">
        <v>6434</v>
      </c>
      <c r="D98" s="255" t="s">
        <v>6694</v>
      </c>
      <c r="E98" s="255" t="s">
        <v>6495</v>
      </c>
      <c r="F98" s="255" t="s">
        <v>5995</v>
      </c>
      <c r="G98" s="255"/>
      <c r="H98" s="255">
        <v>5</v>
      </c>
      <c r="I98" s="255" t="s">
        <v>6695</v>
      </c>
      <c r="J98" s="255"/>
    </row>
    <row r="99" spans="2:10" ht="13.5">
      <c r="B99" s="254" t="s">
        <v>6433</v>
      </c>
      <c r="C99" s="254" t="s">
        <v>6434</v>
      </c>
      <c r="D99" s="255" t="s">
        <v>6696</v>
      </c>
      <c r="E99" s="255" t="s">
        <v>6697</v>
      </c>
      <c r="F99" s="255" t="s">
        <v>5995</v>
      </c>
      <c r="G99" s="255"/>
      <c r="H99" s="255">
        <v>6</v>
      </c>
      <c r="I99" s="255" t="s">
        <v>6698</v>
      </c>
      <c r="J99" s="255" t="s">
        <v>6727</v>
      </c>
    </row>
    <row r="100" spans="2:10" ht="13.5">
      <c r="B100" s="48" t="s">
        <v>6433</v>
      </c>
      <c r="C100" s="48" t="s">
        <v>6434</v>
      </c>
      <c r="D100" s="50" t="s">
        <v>2413</v>
      </c>
      <c r="E100" s="50" t="s">
        <v>6721</v>
      </c>
      <c r="F100" s="50" t="s">
        <v>5995</v>
      </c>
      <c r="G100" s="50"/>
      <c r="H100" s="50">
        <v>7</v>
      </c>
      <c r="I100" s="50" t="s">
        <v>2412</v>
      </c>
      <c r="J100" s="50"/>
    </row>
    <row r="101" spans="2:10" ht="13.5">
      <c r="B101" s="48" t="s">
        <v>6433</v>
      </c>
      <c r="C101" s="48" t="s">
        <v>6434</v>
      </c>
      <c r="D101" s="50" t="s">
        <v>8407</v>
      </c>
      <c r="E101" s="50" t="s">
        <v>6909</v>
      </c>
      <c r="F101" s="50" t="s">
        <v>5977</v>
      </c>
      <c r="G101" s="50"/>
      <c r="H101" s="50">
        <v>8</v>
      </c>
      <c r="I101" s="50" t="s">
        <v>8408</v>
      </c>
      <c r="J101" s="50"/>
    </row>
    <row r="102" spans="2:10" ht="13.5">
      <c r="B102" s="48" t="s">
        <v>6433</v>
      </c>
      <c r="C102" s="48" t="s">
        <v>6434</v>
      </c>
      <c r="D102" s="50" t="s">
        <v>8413</v>
      </c>
      <c r="E102" s="50" t="s">
        <v>6710</v>
      </c>
      <c r="F102" s="50" t="s">
        <v>5977</v>
      </c>
      <c r="G102" s="50"/>
      <c r="H102" s="50">
        <v>9</v>
      </c>
      <c r="I102" s="50" t="s">
        <v>8414</v>
      </c>
      <c r="J102" s="50"/>
    </row>
    <row r="103" spans="2:10" ht="13.5">
      <c r="B103" s="48" t="s">
        <v>6433</v>
      </c>
      <c r="C103" s="48" t="s">
        <v>6434</v>
      </c>
      <c r="D103" s="50" t="s">
        <v>8415</v>
      </c>
      <c r="E103" s="50" t="s">
        <v>6688</v>
      </c>
      <c r="F103" s="50" t="s">
        <v>5977</v>
      </c>
      <c r="G103" s="50"/>
      <c r="H103" s="50">
        <v>10</v>
      </c>
      <c r="I103" s="50" t="s">
        <v>8416</v>
      </c>
      <c r="J103" s="50"/>
    </row>
    <row r="104" spans="2:10" ht="14.25" customHeight="1">
      <c r="B104" s="48" t="s">
        <v>6433</v>
      </c>
      <c r="C104" s="48" t="s">
        <v>6434</v>
      </c>
      <c r="D104" s="50" t="s">
        <v>8417</v>
      </c>
      <c r="E104" s="50" t="s">
        <v>6688</v>
      </c>
      <c r="F104" s="50" t="s">
        <v>5977</v>
      </c>
      <c r="G104" s="50"/>
      <c r="H104" s="50">
        <v>11</v>
      </c>
      <c r="I104" s="50" t="s">
        <v>8418</v>
      </c>
      <c r="J104" s="50"/>
    </row>
    <row r="105" spans="2:10" ht="13.5">
      <c r="B105" s="48" t="s">
        <v>6433</v>
      </c>
      <c r="C105" s="48" t="s">
        <v>6434</v>
      </c>
      <c r="D105" s="50" t="s">
        <v>8419</v>
      </c>
      <c r="E105" s="50" t="s">
        <v>6688</v>
      </c>
      <c r="F105" s="50" t="s">
        <v>5977</v>
      </c>
      <c r="G105" s="50"/>
      <c r="H105" s="50">
        <v>12</v>
      </c>
      <c r="I105" s="50" t="s">
        <v>8420</v>
      </c>
      <c r="J105" s="50"/>
    </row>
    <row r="106" spans="2:10" ht="13.5">
      <c r="B106" s="48" t="s">
        <v>6433</v>
      </c>
      <c r="C106" s="48" t="s">
        <v>6434</v>
      </c>
      <c r="D106" s="50" t="s">
        <v>8421</v>
      </c>
      <c r="E106" s="50" t="s">
        <v>6688</v>
      </c>
      <c r="F106" s="50" t="s">
        <v>5977</v>
      </c>
      <c r="G106" s="50"/>
      <c r="H106" s="50">
        <v>13</v>
      </c>
      <c r="I106" s="50" t="s">
        <v>8422</v>
      </c>
      <c r="J106" s="50"/>
    </row>
    <row r="107" spans="2:10" ht="13.5">
      <c r="B107" s="48" t="s">
        <v>6433</v>
      </c>
      <c r="C107" s="48" t="s">
        <v>6434</v>
      </c>
      <c r="D107" s="50" t="s">
        <v>8423</v>
      </c>
      <c r="E107" s="50" t="s">
        <v>6590</v>
      </c>
      <c r="F107" s="50" t="s">
        <v>5977</v>
      </c>
      <c r="G107" s="50"/>
      <c r="H107" s="50">
        <v>14</v>
      </c>
      <c r="I107" s="50" t="s">
        <v>8424</v>
      </c>
      <c r="J107" s="50"/>
    </row>
    <row r="108" spans="2:10" ht="13.5">
      <c r="B108" s="48" t="s">
        <v>6433</v>
      </c>
      <c r="C108" s="48" t="s">
        <v>6434</v>
      </c>
      <c r="D108" s="50" t="s">
        <v>8425</v>
      </c>
      <c r="E108" s="50" t="s">
        <v>7000</v>
      </c>
      <c r="F108" s="50" t="s">
        <v>5977</v>
      </c>
      <c r="G108" s="50"/>
      <c r="H108" s="50">
        <v>15</v>
      </c>
      <c r="I108" s="50" t="s">
        <v>8426</v>
      </c>
      <c r="J108" s="50"/>
    </row>
    <row r="109" spans="2:10" ht="14.25" customHeight="1">
      <c r="B109" s="48" t="s">
        <v>6433</v>
      </c>
      <c r="C109" s="48" t="s">
        <v>6434</v>
      </c>
      <c r="D109" s="50" t="s">
        <v>6600</v>
      </c>
      <c r="E109" s="50" t="s">
        <v>6697</v>
      </c>
      <c r="F109" s="50" t="s">
        <v>5977</v>
      </c>
      <c r="G109" s="50"/>
      <c r="H109" s="50">
        <v>16</v>
      </c>
      <c r="I109" s="50" t="s">
        <v>6719</v>
      </c>
      <c r="J109" s="50"/>
    </row>
    <row r="110" spans="2:10" ht="13.5">
      <c r="B110" s="48" t="s">
        <v>6433</v>
      </c>
      <c r="C110" s="48" t="s">
        <v>6434</v>
      </c>
      <c r="D110" s="50" t="s">
        <v>6601</v>
      </c>
      <c r="E110" s="50" t="s">
        <v>6697</v>
      </c>
      <c r="F110" s="50" t="s">
        <v>5977</v>
      </c>
      <c r="G110" s="50"/>
      <c r="H110" s="50">
        <v>17</v>
      </c>
      <c r="I110" s="50" t="s">
        <v>6720</v>
      </c>
      <c r="J110" s="50"/>
    </row>
    <row r="111" spans="2:10" ht="13.5">
      <c r="B111" s="48" t="s">
        <v>6433</v>
      </c>
      <c r="C111" s="48" t="s">
        <v>6434</v>
      </c>
      <c r="D111" s="50" t="s">
        <v>6685</v>
      </c>
      <c r="E111" s="50" t="s">
        <v>6697</v>
      </c>
      <c r="F111" s="50" t="s">
        <v>5977</v>
      </c>
      <c r="G111" s="50"/>
      <c r="H111" s="50">
        <v>18</v>
      </c>
      <c r="I111" s="50" t="s">
        <v>6171</v>
      </c>
      <c r="J111" s="50"/>
    </row>
    <row r="112" spans="2:10" ht="13.5">
      <c r="B112" s="48" t="s">
        <v>6433</v>
      </c>
      <c r="C112" s="48" t="s">
        <v>6434</v>
      </c>
      <c r="D112" s="50" t="s">
        <v>6980</v>
      </c>
      <c r="E112" s="50" t="s">
        <v>6710</v>
      </c>
      <c r="F112" s="50" t="s">
        <v>5977</v>
      </c>
      <c r="G112" s="50"/>
      <c r="H112" s="50">
        <v>19</v>
      </c>
      <c r="I112" s="50" t="s">
        <v>8410</v>
      </c>
      <c r="J112" s="50"/>
    </row>
    <row r="113" spans="2:10" ht="13.5">
      <c r="B113" s="48" t="s">
        <v>6433</v>
      </c>
      <c r="C113" s="48" t="s">
        <v>6434</v>
      </c>
      <c r="D113" s="50" t="s">
        <v>6968</v>
      </c>
      <c r="E113" s="50" t="s">
        <v>6710</v>
      </c>
      <c r="F113" s="50" t="s">
        <v>5977</v>
      </c>
      <c r="G113" s="50"/>
      <c r="H113" s="50">
        <v>20</v>
      </c>
      <c r="I113" s="50" t="s">
        <v>6969</v>
      </c>
      <c r="J113" s="50"/>
    </row>
    <row r="114" spans="2:10" ht="13.5">
      <c r="B114" s="48" t="s">
        <v>6433</v>
      </c>
      <c r="C114" s="48" t="s">
        <v>6434</v>
      </c>
      <c r="D114" s="50" t="s">
        <v>6989</v>
      </c>
      <c r="E114" s="50" t="s">
        <v>6713</v>
      </c>
      <c r="F114" s="50" t="s">
        <v>5977</v>
      </c>
      <c r="G114" s="50"/>
      <c r="H114" s="50">
        <v>21</v>
      </c>
      <c r="I114" s="50" t="s">
        <v>6990</v>
      </c>
      <c r="J114" s="50"/>
    </row>
    <row r="115" spans="2:10" ht="14.25" customHeight="1">
      <c r="B115" s="48" t="s">
        <v>6433</v>
      </c>
      <c r="C115" s="48" t="s">
        <v>6434</v>
      </c>
      <c r="D115" s="50" t="s">
        <v>6991</v>
      </c>
      <c r="E115" s="50" t="s">
        <v>6909</v>
      </c>
      <c r="F115" s="50" t="s">
        <v>5977</v>
      </c>
      <c r="G115" s="50"/>
      <c r="H115" s="50">
        <v>22</v>
      </c>
      <c r="I115" s="50" t="s">
        <v>6992</v>
      </c>
      <c r="J115" s="50"/>
    </row>
    <row r="116" spans="2:10" ht="13.5">
      <c r="B116" s="48" t="s">
        <v>6433</v>
      </c>
      <c r="C116" s="48" t="s">
        <v>6434</v>
      </c>
      <c r="D116" s="50" t="s">
        <v>6981</v>
      </c>
      <c r="E116" s="50" t="s">
        <v>6710</v>
      </c>
      <c r="F116" s="50" t="s">
        <v>5977</v>
      </c>
      <c r="G116" s="50"/>
      <c r="H116" s="50">
        <v>23</v>
      </c>
      <c r="I116" s="50" t="s">
        <v>6982</v>
      </c>
      <c r="J116" s="50"/>
    </row>
    <row r="117" spans="2:10" ht="13.5">
      <c r="B117" s="48" t="s">
        <v>6433</v>
      </c>
      <c r="C117" s="48" t="s">
        <v>6434</v>
      </c>
      <c r="D117" s="50" t="s">
        <v>6987</v>
      </c>
      <c r="E117" s="50" t="s">
        <v>6688</v>
      </c>
      <c r="F117" s="50" t="s">
        <v>5977</v>
      </c>
      <c r="G117" s="50"/>
      <c r="H117" s="50">
        <v>24</v>
      </c>
      <c r="I117" s="50" t="s">
        <v>6988</v>
      </c>
      <c r="J117" s="50"/>
    </row>
    <row r="118" spans="2:10" ht="13.5">
      <c r="B118" s="48" t="s">
        <v>6433</v>
      </c>
      <c r="C118" s="48" t="s">
        <v>6434</v>
      </c>
      <c r="D118" s="50" t="s">
        <v>8427</v>
      </c>
      <c r="E118" s="50" t="s">
        <v>6721</v>
      </c>
      <c r="F118" s="50" t="s">
        <v>5977</v>
      </c>
      <c r="G118" s="50"/>
      <c r="H118" s="50">
        <v>25</v>
      </c>
      <c r="I118" s="50" t="s">
        <v>8428</v>
      </c>
      <c r="J118" s="50"/>
    </row>
    <row r="119" spans="2:10" ht="13.5">
      <c r="B119" s="48" t="s">
        <v>6433</v>
      </c>
      <c r="C119" s="48" t="s">
        <v>6434</v>
      </c>
      <c r="D119" s="50" t="s">
        <v>8429</v>
      </c>
      <c r="E119" s="50" t="s">
        <v>6713</v>
      </c>
      <c r="F119" s="50" t="s">
        <v>5977</v>
      </c>
      <c r="G119" s="50"/>
      <c r="H119" s="50">
        <v>26</v>
      </c>
      <c r="I119" s="50" t="s">
        <v>8430</v>
      </c>
      <c r="J119" s="50"/>
    </row>
    <row r="120" spans="2:10" ht="13.5">
      <c r="B120" s="48" t="s">
        <v>6433</v>
      </c>
      <c r="C120" s="48" t="s">
        <v>6434</v>
      </c>
      <c r="D120" s="50" t="s">
        <v>7022</v>
      </c>
      <c r="E120" s="50" t="s">
        <v>6721</v>
      </c>
      <c r="F120" s="50" t="s">
        <v>5977</v>
      </c>
      <c r="G120" s="50"/>
      <c r="H120" s="50">
        <v>27</v>
      </c>
      <c r="I120" s="50" t="s">
        <v>7023</v>
      </c>
      <c r="J120" s="50"/>
    </row>
    <row r="121" spans="2:10" ht="14.25" customHeight="1">
      <c r="B121" s="48" t="s">
        <v>6433</v>
      </c>
      <c r="C121" s="48" t="s">
        <v>6434</v>
      </c>
      <c r="D121" s="50" t="s">
        <v>4502</v>
      </c>
      <c r="E121" s="50" t="s">
        <v>7351</v>
      </c>
      <c r="F121" s="50" t="s">
        <v>5977</v>
      </c>
      <c r="G121" s="50"/>
      <c r="H121" s="50">
        <v>28</v>
      </c>
      <c r="I121" s="50" t="s">
        <v>4501</v>
      </c>
      <c r="J121" s="50"/>
    </row>
    <row r="122" spans="2:10" ht="13.5">
      <c r="B122" s="48" t="s">
        <v>6433</v>
      </c>
      <c r="C122" s="48" t="s">
        <v>6434</v>
      </c>
      <c r="D122" s="50" t="s">
        <v>7004</v>
      </c>
      <c r="E122" s="50" t="s">
        <v>6718</v>
      </c>
      <c r="F122" s="50" t="s">
        <v>5977</v>
      </c>
      <c r="G122" s="50"/>
      <c r="H122" s="50">
        <v>29</v>
      </c>
      <c r="I122" s="50" t="s">
        <v>2646</v>
      </c>
      <c r="J122" s="50"/>
    </row>
    <row r="123" spans="2:10" ht="13.5">
      <c r="B123" s="48" t="s">
        <v>6433</v>
      </c>
      <c r="C123" s="48" t="s">
        <v>6434</v>
      </c>
      <c r="D123" s="50" t="s">
        <v>7005</v>
      </c>
      <c r="E123" s="50" t="s">
        <v>6688</v>
      </c>
      <c r="F123" s="50" t="s">
        <v>5977</v>
      </c>
      <c r="G123" s="50"/>
      <c r="H123" s="50">
        <v>30</v>
      </c>
      <c r="I123" s="50" t="s">
        <v>2589</v>
      </c>
      <c r="J123" s="50"/>
    </row>
    <row r="124" spans="2:10" ht="13.5">
      <c r="B124" s="48" t="s">
        <v>6433</v>
      </c>
      <c r="C124" s="48" t="s">
        <v>6434</v>
      </c>
      <c r="D124" s="50" t="s">
        <v>7006</v>
      </c>
      <c r="E124" s="50" t="s">
        <v>6718</v>
      </c>
      <c r="F124" s="50" t="s">
        <v>5977</v>
      </c>
      <c r="G124" s="50"/>
      <c r="H124" s="50">
        <v>31</v>
      </c>
      <c r="I124" s="50" t="s">
        <v>5540</v>
      </c>
      <c r="J124" s="50"/>
    </row>
    <row r="125" spans="2:10" ht="14.25" customHeight="1">
      <c r="B125" s="48" t="s">
        <v>6433</v>
      </c>
      <c r="C125" s="48" t="s">
        <v>6434</v>
      </c>
      <c r="D125" s="50" t="s">
        <v>7007</v>
      </c>
      <c r="E125" s="50" t="s">
        <v>6688</v>
      </c>
      <c r="F125" s="50" t="s">
        <v>5977</v>
      </c>
      <c r="G125" s="50"/>
      <c r="H125" s="50">
        <v>32</v>
      </c>
      <c r="I125" s="50" t="s">
        <v>5521</v>
      </c>
      <c r="J125" s="50"/>
    </row>
    <row r="127" spans="2:10" ht="13.5">
      <c r="B127" s="48" t="s">
        <v>6435</v>
      </c>
      <c r="C127" s="48" t="s">
        <v>6436</v>
      </c>
      <c r="D127" s="50" t="s">
        <v>6491</v>
      </c>
      <c r="E127" s="50" t="s">
        <v>6492</v>
      </c>
      <c r="F127" s="50" t="s">
        <v>5995</v>
      </c>
      <c r="G127" s="50" t="s">
        <v>8437</v>
      </c>
      <c r="H127" s="50">
        <v>1</v>
      </c>
      <c r="I127" s="50" t="s">
        <v>6493</v>
      </c>
      <c r="J127" s="50"/>
    </row>
    <row r="128" spans="2:10" ht="13.5">
      <c r="B128" s="48" t="s">
        <v>6435</v>
      </c>
      <c r="C128" s="48" t="s">
        <v>6436</v>
      </c>
      <c r="D128" s="51" t="s">
        <v>6494</v>
      </c>
      <c r="E128" s="51" t="s">
        <v>6495</v>
      </c>
      <c r="F128" s="51" t="s">
        <v>5995</v>
      </c>
      <c r="G128" s="50" t="s">
        <v>8437</v>
      </c>
      <c r="H128" s="51">
        <v>2</v>
      </c>
      <c r="I128" s="51" t="s">
        <v>8438</v>
      </c>
      <c r="J128" s="51"/>
    </row>
    <row r="129" spans="2:10" ht="13.5">
      <c r="B129" s="48" t="s">
        <v>6435</v>
      </c>
      <c r="C129" s="48" t="s">
        <v>6436</v>
      </c>
      <c r="D129" s="51" t="s">
        <v>6497</v>
      </c>
      <c r="E129" s="51" t="s">
        <v>6498</v>
      </c>
      <c r="F129" s="51" t="s">
        <v>5995</v>
      </c>
      <c r="G129" s="50" t="s">
        <v>8437</v>
      </c>
      <c r="H129" s="51">
        <v>3</v>
      </c>
      <c r="I129" s="51" t="s">
        <v>6499</v>
      </c>
      <c r="J129" s="51"/>
    </row>
    <row r="130" spans="2:10" ht="13.5">
      <c r="B130" s="48" t="s">
        <v>6435</v>
      </c>
      <c r="C130" s="48" t="s">
        <v>6436</v>
      </c>
      <c r="D130" s="51" t="s">
        <v>2800</v>
      </c>
      <c r="E130" s="51" t="s">
        <v>6500</v>
      </c>
      <c r="F130" s="51" t="s">
        <v>5995</v>
      </c>
      <c r="G130" s="50" t="s">
        <v>8437</v>
      </c>
      <c r="H130" s="51">
        <v>4</v>
      </c>
      <c r="I130" s="51" t="s">
        <v>2799</v>
      </c>
      <c r="J130" s="51"/>
    </row>
    <row r="131" spans="2:10" ht="13.5">
      <c r="B131" s="48" t="s">
        <v>6435</v>
      </c>
      <c r="C131" s="48" t="s">
        <v>6436</v>
      </c>
      <c r="D131" s="51" t="s">
        <v>6897</v>
      </c>
      <c r="E131" s="51" t="s">
        <v>6495</v>
      </c>
      <c r="F131" s="51" t="s">
        <v>5995</v>
      </c>
      <c r="G131" s="51"/>
      <c r="H131" s="51">
        <v>5</v>
      </c>
      <c r="I131" s="51" t="s">
        <v>6898</v>
      </c>
      <c r="J131" s="51"/>
    </row>
    <row r="132" spans="2:10" ht="13.5">
      <c r="B132" s="48" t="s">
        <v>6435</v>
      </c>
      <c r="C132" s="48" t="s">
        <v>6436</v>
      </c>
      <c r="D132" s="50" t="s">
        <v>6589</v>
      </c>
      <c r="E132" s="50" t="s">
        <v>6590</v>
      </c>
      <c r="F132" s="50" t="s">
        <v>5977</v>
      </c>
      <c r="G132" s="50"/>
      <c r="H132" s="50">
        <v>6</v>
      </c>
      <c r="I132" s="50" t="s">
        <v>6101</v>
      </c>
    </row>
    <row r="133" spans="2:10" ht="13.5">
      <c r="B133" s="48" t="s">
        <v>6435</v>
      </c>
      <c r="C133" s="48" t="s">
        <v>6436</v>
      </c>
      <c r="D133" s="50" t="s">
        <v>7018</v>
      </c>
      <c r="E133" s="50" t="s">
        <v>6909</v>
      </c>
      <c r="F133" s="50" t="s">
        <v>5977</v>
      </c>
      <c r="G133" s="50"/>
      <c r="H133" s="50">
        <v>7</v>
      </c>
      <c r="I133" s="50" t="s">
        <v>7019</v>
      </c>
    </row>
    <row r="134" spans="2:10" ht="13.5">
      <c r="B134" s="48" t="s">
        <v>6435</v>
      </c>
      <c r="C134" s="48" t="s">
        <v>6436</v>
      </c>
      <c r="D134" s="50" t="s">
        <v>7020</v>
      </c>
      <c r="E134" s="50" t="s">
        <v>6710</v>
      </c>
      <c r="F134" s="50" t="s">
        <v>5977</v>
      </c>
      <c r="G134" s="50"/>
      <c r="H134" s="50">
        <v>8</v>
      </c>
      <c r="I134" s="50" t="s">
        <v>7021</v>
      </c>
    </row>
    <row r="135" spans="2:10" ht="13.5">
      <c r="B135" s="48" t="s">
        <v>6435</v>
      </c>
      <c r="C135" s="48" t="s">
        <v>6436</v>
      </c>
      <c r="D135" s="50" t="s">
        <v>7022</v>
      </c>
      <c r="E135" s="50" t="s">
        <v>6721</v>
      </c>
      <c r="F135" s="50" t="s">
        <v>5977</v>
      </c>
      <c r="G135" s="50"/>
      <c r="H135" s="50">
        <v>9</v>
      </c>
      <c r="I135" s="50" t="s">
        <v>7023</v>
      </c>
    </row>
    <row r="136" spans="2:10" ht="13.5">
      <c r="B136" s="48" t="s">
        <v>6435</v>
      </c>
      <c r="C136" s="48" t="s">
        <v>6436</v>
      </c>
      <c r="D136" s="50" t="s">
        <v>4502</v>
      </c>
      <c r="E136" s="50" t="s">
        <v>7024</v>
      </c>
      <c r="F136" s="50" t="s">
        <v>5977</v>
      </c>
      <c r="G136" s="50"/>
      <c r="H136" s="50">
        <v>10</v>
      </c>
      <c r="I136" s="50" t="s">
        <v>4501</v>
      </c>
    </row>
    <row r="138" spans="2:10" ht="13.5">
      <c r="B138" s="48" t="s">
        <v>6447</v>
      </c>
      <c r="C138" s="48" t="s">
        <v>6448</v>
      </c>
      <c r="D138" s="274" t="s">
        <v>6491</v>
      </c>
      <c r="E138" s="274" t="s">
        <v>6492</v>
      </c>
      <c r="F138" s="274" t="s">
        <v>5995</v>
      </c>
      <c r="G138" s="274" t="s">
        <v>6507</v>
      </c>
      <c r="H138" s="274">
        <v>1</v>
      </c>
      <c r="I138" s="274" t="s">
        <v>6493</v>
      </c>
      <c r="J138" s="50"/>
    </row>
    <row r="139" spans="2:10" ht="13.5">
      <c r="B139" s="48" t="s">
        <v>6447</v>
      </c>
      <c r="C139" s="48" t="s">
        <v>6448</v>
      </c>
      <c r="D139" s="274" t="s">
        <v>6494</v>
      </c>
      <c r="E139" s="274" t="s">
        <v>6495</v>
      </c>
      <c r="F139" s="274" t="s">
        <v>5995</v>
      </c>
      <c r="G139" s="275" t="s">
        <v>6507</v>
      </c>
      <c r="H139" s="274">
        <v>2</v>
      </c>
      <c r="I139" s="274" t="s">
        <v>6496</v>
      </c>
      <c r="J139" s="50"/>
    </row>
    <row r="140" spans="2:10" ht="13.5">
      <c r="B140" s="48" t="s">
        <v>6447</v>
      </c>
      <c r="C140" s="48" t="s">
        <v>6448</v>
      </c>
      <c r="D140" s="274" t="s">
        <v>6497</v>
      </c>
      <c r="E140" s="274" t="s">
        <v>6498</v>
      </c>
      <c r="F140" s="274" t="s">
        <v>5995</v>
      </c>
      <c r="G140" s="275" t="s">
        <v>6507</v>
      </c>
      <c r="H140" s="274">
        <v>3</v>
      </c>
      <c r="I140" s="274" t="s">
        <v>6499</v>
      </c>
      <c r="J140" s="50"/>
    </row>
    <row r="141" spans="2:10" ht="13.5">
      <c r="B141" s="48" t="s">
        <v>6447</v>
      </c>
      <c r="C141" s="48" t="s">
        <v>6448</v>
      </c>
      <c r="D141" s="274" t="s">
        <v>2800</v>
      </c>
      <c r="E141" s="274" t="s">
        <v>6500</v>
      </c>
      <c r="F141" s="274" t="s">
        <v>5995</v>
      </c>
      <c r="G141" s="275" t="s">
        <v>6507</v>
      </c>
      <c r="H141" s="274">
        <v>4</v>
      </c>
      <c r="I141" s="274" t="s">
        <v>2799</v>
      </c>
      <c r="J141" s="50"/>
    </row>
    <row r="142" spans="2:10" ht="13.5">
      <c r="B142" s="48" t="s">
        <v>6447</v>
      </c>
      <c r="C142" s="48" t="s">
        <v>6448</v>
      </c>
      <c r="D142" s="50" t="s">
        <v>3496</v>
      </c>
      <c r="E142" s="50" t="s">
        <v>6899</v>
      </c>
      <c r="F142" s="50" t="s">
        <v>5977</v>
      </c>
      <c r="G142" s="50"/>
      <c r="H142" s="50">
        <v>5</v>
      </c>
      <c r="I142" s="50" t="s">
        <v>3443</v>
      </c>
    </row>
    <row r="143" spans="2:10" ht="13.5">
      <c r="B143" s="48" t="s">
        <v>6447</v>
      </c>
      <c r="C143" s="48" t="s">
        <v>6448</v>
      </c>
      <c r="D143" s="50" t="s">
        <v>6570</v>
      </c>
      <c r="E143" s="50" t="s">
        <v>6571</v>
      </c>
      <c r="F143" s="50" t="s">
        <v>5977</v>
      </c>
      <c r="G143" s="50"/>
      <c r="H143" s="50">
        <v>6</v>
      </c>
      <c r="I143" s="50" t="s">
        <v>2824</v>
      </c>
    </row>
    <row r="144" spans="2:10" ht="13.5">
      <c r="B144" s="48" t="s">
        <v>6447</v>
      </c>
      <c r="C144" s="48" t="s">
        <v>6448</v>
      </c>
      <c r="D144" s="50" t="s">
        <v>6900</v>
      </c>
      <c r="E144" s="50" t="s">
        <v>6498</v>
      </c>
      <c r="F144" s="50" t="s">
        <v>5977</v>
      </c>
      <c r="G144" s="50"/>
      <c r="H144" s="50">
        <v>7</v>
      </c>
      <c r="I144" s="50" t="s">
        <v>6901</v>
      </c>
    </row>
    <row r="145" spans="2:9" ht="13.5">
      <c r="B145" s="48" t="s">
        <v>6447</v>
      </c>
      <c r="C145" s="48" t="s">
        <v>6448</v>
      </c>
      <c r="D145" s="50" t="s">
        <v>458</v>
      </c>
      <c r="E145" s="50" t="s">
        <v>6688</v>
      </c>
      <c r="F145" s="50" t="s">
        <v>5977</v>
      </c>
      <c r="G145" s="50"/>
      <c r="H145" s="50">
        <v>8</v>
      </c>
      <c r="I145" s="50" t="s">
        <v>457</v>
      </c>
    </row>
    <row r="146" spans="2:9" ht="13.5">
      <c r="B146" s="48" t="s">
        <v>6447</v>
      </c>
      <c r="C146" s="48" t="s">
        <v>6448</v>
      </c>
      <c r="D146" s="50" t="s">
        <v>6589</v>
      </c>
      <c r="E146" s="50" t="s">
        <v>6590</v>
      </c>
      <c r="F146" s="50" t="s">
        <v>5977</v>
      </c>
      <c r="G146" s="50"/>
      <c r="H146" s="50">
        <v>9</v>
      </c>
      <c r="I146" s="50" t="s">
        <v>142</v>
      </c>
    </row>
    <row r="147" spans="2:9" ht="13.5">
      <c r="B147" s="48" t="s">
        <v>6447</v>
      </c>
      <c r="C147" s="48" t="s">
        <v>6448</v>
      </c>
      <c r="D147" s="50" t="s">
        <v>6902</v>
      </c>
      <c r="E147" s="50" t="s">
        <v>6903</v>
      </c>
      <c r="F147" s="50" t="s">
        <v>5977</v>
      </c>
      <c r="G147" s="50"/>
      <c r="H147" s="50">
        <v>10</v>
      </c>
      <c r="I147" s="50" t="s">
        <v>142</v>
      </c>
    </row>
    <row r="148" spans="2:9" ht="13.5">
      <c r="B148" s="48" t="s">
        <v>6447</v>
      </c>
      <c r="C148" s="48" t="s">
        <v>6448</v>
      </c>
      <c r="D148" s="50" t="s">
        <v>6904</v>
      </c>
      <c r="E148" s="50" t="s">
        <v>6571</v>
      </c>
      <c r="F148" s="50" t="s">
        <v>5977</v>
      </c>
      <c r="G148" s="50"/>
      <c r="H148" s="50">
        <v>11</v>
      </c>
      <c r="I148" s="50" t="s">
        <v>6905</v>
      </c>
    </row>
    <row r="149" spans="2:9" ht="13.5">
      <c r="B149" s="48" t="s">
        <v>6447</v>
      </c>
      <c r="C149" s="48" t="s">
        <v>6448</v>
      </c>
      <c r="D149" s="50" t="s">
        <v>6906</v>
      </c>
      <c r="E149" s="50" t="s">
        <v>6907</v>
      </c>
      <c r="F149" s="50" t="s">
        <v>5977</v>
      </c>
      <c r="G149" s="50"/>
      <c r="H149" s="50">
        <v>12</v>
      </c>
      <c r="I149" s="50" t="s">
        <v>549</v>
      </c>
    </row>
    <row r="150" spans="2:9" ht="13.5">
      <c r="B150" s="48" t="s">
        <v>6447</v>
      </c>
      <c r="C150" s="48" t="s">
        <v>6448</v>
      </c>
      <c r="D150" s="50" t="s">
        <v>6600</v>
      </c>
      <c r="E150" s="50" t="s">
        <v>6697</v>
      </c>
      <c r="F150" s="50" t="s">
        <v>5977</v>
      </c>
      <c r="G150" s="50"/>
      <c r="H150" s="50">
        <v>13</v>
      </c>
      <c r="I150" s="50" t="s">
        <v>6719</v>
      </c>
    </row>
    <row r="151" spans="2:9" ht="13.5">
      <c r="B151" s="48" t="s">
        <v>6447</v>
      </c>
      <c r="C151" s="48" t="s">
        <v>6448</v>
      </c>
      <c r="D151" s="50" t="s">
        <v>6908</v>
      </c>
      <c r="E151" s="50" t="s">
        <v>6909</v>
      </c>
      <c r="F151" s="50" t="s">
        <v>5977</v>
      </c>
      <c r="G151" s="50"/>
      <c r="H151" s="50">
        <v>14</v>
      </c>
      <c r="I151" s="50" t="s">
        <v>6910</v>
      </c>
    </row>
    <row r="152" spans="2:9" ht="13.5">
      <c r="B152" s="48" t="s">
        <v>6447</v>
      </c>
      <c r="C152" s="48" t="s">
        <v>6448</v>
      </c>
      <c r="D152" s="50" t="s">
        <v>6601</v>
      </c>
      <c r="E152" s="50" t="s">
        <v>6697</v>
      </c>
      <c r="F152" s="50" t="s">
        <v>5977</v>
      </c>
      <c r="G152" s="50"/>
      <c r="H152" s="50">
        <v>15</v>
      </c>
      <c r="I152" s="50" t="s">
        <v>6720</v>
      </c>
    </row>
    <row r="153" spans="2:9" ht="13.5">
      <c r="B153" s="48" t="s">
        <v>6447</v>
      </c>
      <c r="C153" s="48" t="s">
        <v>6448</v>
      </c>
      <c r="D153" s="50" t="s">
        <v>6911</v>
      </c>
      <c r="E153" s="50" t="s">
        <v>6909</v>
      </c>
      <c r="F153" s="50" t="s">
        <v>5977</v>
      </c>
      <c r="G153" s="50"/>
      <c r="H153" s="50">
        <v>16</v>
      </c>
      <c r="I153" s="50" t="s">
        <v>6912</v>
      </c>
    </row>
    <row r="154" spans="2:9" ht="13.5">
      <c r="B154" s="48" t="s">
        <v>6447</v>
      </c>
      <c r="C154" s="48" t="s">
        <v>6448</v>
      </c>
      <c r="D154" s="50" t="s">
        <v>6685</v>
      </c>
      <c r="E154" s="50" t="s">
        <v>6697</v>
      </c>
      <c r="F154" s="50" t="s">
        <v>5977</v>
      </c>
      <c r="G154" s="50"/>
      <c r="H154" s="50">
        <v>17</v>
      </c>
      <c r="I154" s="50" t="s">
        <v>6171</v>
      </c>
    </row>
    <row r="155" spans="2:9" ht="13.5">
      <c r="B155" s="48" t="s">
        <v>6447</v>
      </c>
      <c r="C155" s="48" t="s">
        <v>6448</v>
      </c>
      <c r="D155" s="50" t="s">
        <v>6913</v>
      </c>
      <c r="E155" s="50" t="s">
        <v>6909</v>
      </c>
      <c r="F155" s="50" t="s">
        <v>5977</v>
      </c>
      <c r="G155" s="50"/>
      <c r="H155" s="50">
        <v>18</v>
      </c>
      <c r="I155" s="50" t="s">
        <v>6914</v>
      </c>
    </row>
    <row r="156" spans="2:9" ht="13.5">
      <c r="B156" s="48" t="s">
        <v>6447</v>
      </c>
      <c r="C156" s="48" t="s">
        <v>6448</v>
      </c>
      <c r="D156" s="50" t="s">
        <v>6915</v>
      </c>
      <c r="E156" s="50" t="s">
        <v>6903</v>
      </c>
      <c r="F156" s="50" t="s">
        <v>5977</v>
      </c>
      <c r="G156" s="50"/>
      <c r="H156" s="50">
        <v>19</v>
      </c>
      <c r="I156" s="50" t="s">
        <v>6916</v>
      </c>
    </row>
    <row r="157" spans="2:9" ht="13.5">
      <c r="B157" s="48" t="s">
        <v>6447</v>
      </c>
      <c r="C157" s="48" t="s">
        <v>6448</v>
      </c>
      <c r="D157" s="50" t="s">
        <v>6687</v>
      </c>
      <c r="E157" s="50" t="s">
        <v>6688</v>
      </c>
      <c r="F157" s="50" t="s">
        <v>5977</v>
      </c>
      <c r="G157" s="50"/>
      <c r="H157" s="50">
        <v>20</v>
      </c>
      <c r="I157" s="50" t="s">
        <v>6689</v>
      </c>
    </row>
    <row r="158" spans="2:9" ht="13.5">
      <c r="B158" s="48" t="s">
        <v>6447</v>
      </c>
      <c r="C158" s="48" t="s">
        <v>6448</v>
      </c>
      <c r="D158" s="50" t="s">
        <v>6690</v>
      </c>
      <c r="E158" s="50" t="s">
        <v>6688</v>
      </c>
      <c r="F158" s="50" t="s">
        <v>5977</v>
      </c>
      <c r="G158" s="50"/>
      <c r="H158" s="50">
        <v>21</v>
      </c>
      <c r="I158" s="50" t="s">
        <v>6691</v>
      </c>
    </row>
    <row r="159" spans="2:9" ht="13.5">
      <c r="B159" s="48" t="s">
        <v>6447</v>
      </c>
      <c r="C159" s="48" t="s">
        <v>6448</v>
      </c>
      <c r="D159" s="50" t="s">
        <v>6692</v>
      </c>
      <c r="E159" s="50" t="s">
        <v>6688</v>
      </c>
      <c r="F159" s="50" t="s">
        <v>5977</v>
      </c>
      <c r="G159" s="50"/>
      <c r="H159" s="50">
        <v>22</v>
      </c>
      <c r="I159" s="50" t="s">
        <v>6693</v>
      </c>
    </row>
    <row r="160" spans="2:9" ht="13.5">
      <c r="B160" s="48" t="s">
        <v>6447</v>
      </c>
      <c r="C160" s="48" t="s">
        <v>6448</v>
      </c>
      <c r="D160" s="50" t="s">
        <v>2413</v>
      </c>
      <c r="E160" s="50" t="s">
        <v>6721</v>
      </c>
      <c r="F160" s="50" t="s">
        <v>5977</v>
      </c>
      <c r="G160" s="50"/>
      <c r="H160" s="50">
        <v>23</v>
      </c>
      <c r="I160" s="50" t="s">
        <v>2412</v>
      </c>
    </row>
    <row r="161" spans="2:9" ht="13.5">
      <c r="B161" s="48" t="s">
        <v>6447</v>
      </c>
      <c r="C161" s="48" t="s">
        <v>6448</v>
      </c>
      <c r="D161" s="50" t="s">
        <v>6917</v>
      </c>
      <c r="E161" s="50" t="s">
        <v>6688</v>
      </c>
      <c r="F161" s="50" t="s">
        <v>5977</v>
      </c>
      <c r="G161" s="50"/>
      <c r="H161" s="50">
        <v>24</v>
      </c>
      <c r="I161" s="50" t="s">
        <v>6918</v>
      </c>
    </row>
    <row r="162" spans="2:9" ht="13.5">
      <c r="B162" s="48" t="s">
        <v>6447</v>
      </c>
      <c r="C162" s="48" t="s">
        <v>6448</v>
      </c>
      <c r="D162" s="50" t="s">
        <v>6919</v>
      </c>
      <c r="E162" s="50" t="s">
        <v>6688</v>
      </c>
      <c r="F162" s="50" t="s">
        <v>5977</v>
      </c>
      <c r="G162" s="50"/>
      <c r="H162" s="50">
        <v>25</v>
      </c>
      <c r="I162" s="50" t="s">
        <v>6920</v>
      </c>
    </row>
    <row r="163" spans="2:9" ht="13.5">
      <c r="B163" s="48" t="s">
        <v>6447</v>
      </c>
      <c r="C163" s="48" t="s">
        <v>6448</v>
      </c>
      <c r="D163" s="50" t="s">
        <v>6921</v>
      </c>
      <c r="E163" s="50" t="s">
        <v>6688</v>
      </c>
      <c r="F163" s="50" t="s">
        <v>5977</v>
      </c>
      <c r="G163" s="50"/>
      <c r="H163" s="50">
        <v>26</v>
      </c>
      <c r="I163" s="50" t="s">
        <v>6922</v>
      </c>
    </row>
    <row r="164" spans="2:9" ht="13.5">
      <c r="B164" s="48" t="s">
        <v>6447</v>
      </c>
      <c r="C164" s="48" t="s">
        <v>6448</v>
      </c>
      <c r="D164" s="50" t="s">
        <v>6923</v>
      </c>
      <c r="E164" s="50" t="s">
        <v>6688</v>
      </c>
      <c r="F164" s="50" t="s">
        <v>5977</v>
      </c>
      <c r="G164" s="50"/>
      <c r="H164" s="50">
        <v>27</v>
      </c>
      <c r="I164" s="50" t="s">
        <v>6924</v>
      </c>
    </row>
    <row r="165" spans="2:9" ht="13.5">
      <c r="B165" s="48" t="s">
        <v>6447</v>
      </c>
      <c r="C165" s="48" t="s">
        <v>6448</v>
      </c>
      <c r="D165" s="50" t="s">
        <v>6925</v>
      </c>
      <c r="E165" s="50" t="s">
        <v>6688</v>
      </c>
      <c r="F165" s="50" t="s">
        <v>5977</v>
      </c>
      <c r="G165" s="50"/>
      <c r="H165" s="50">
        <v>28</v>
      </c>
      <c r="I165" s="50" t="s">
        <v>6926</v>
      </c>
    </row>
    <row r="166" spans="2:9" ht="13.5">
      <c r="B166" s="48" t="s">
        <v>6447</v>
      </c>
      <c r="C166" s="48" t="s">
        <v>6448</v>
      </c>
      <c r="D166" s="50" t="s">
        <v>6927</v>
      </c>
      <c r="E166" s="50" t="s">
        <v>6697</v>
      </c>
      <c r="F166" s="50" t="s">
        <v>5977</v>
      </c>
      <c r="G166" s="50"/>
      <c r="H166" s="50">
        <v>29</v>
      </c>
      <c r="I166" s="50" t="s">
        <v>6928</v>
      </c>
    </row>
    <row r="167" spans="2:9" ht="13.5">
      <c r="B167" s="48" t="s">
        <v>6447</v>
      </c>
      <c r="C167" s="48" t="s">
        <v>6448</v>
      </c>
      <c r="D167" s="50" t="s">
        <v>6929</v>
      </c>
      <c r="E167" s="50" t="s">
        <v>6688</v>
      </c>
      <c r="F167" s="50" t="s">
        <v>5977</v>
      </c>
      <c r="G167" s="50"/>
      <c r="H167" s="50">
        <v>30</v>
      </c>
      <c r="I167" s="50" t="s">
        <v>6930</v>
      </c>
    </row>
    <row r="168" spans="2:9" ht="13.5">
      <c r="B168" s="48" t="s">
        <v>6447</v>
      </c>
      <c r="C168" s="48" t="s">
        <v>6448</v>
      </c>
      <c r="D168" s="50" t="s">
        <v>6931</v>
      </c>
      <c r="E168" s="50" t="s">
        <v>6688</v>
      </c>
      <c r="F168" s="50" t="s">
        <v>5977</v>
      </c>
      <c r="G168" s="50"/>
      <c r="H168" s="50">
        <v>31</v>
      </c>
      <c r="I168" s="50" t="s">
        <v>6932</v>
      </c>
    </row>
    <row r="169" spans="2:9" ht="13.5">
      <c r="B169" s="48" t="s">
        <v>6447</v>
      </c>
      <c r="C169" s="48" t="s">
        <v>6448</v>
      </c>
      <c r="D169" s="50" t="s">
        <v>6933</v>
      </c>
      <c r="E169" s="50" t="s">
        <v>6713</v>
      </c>
      <c r="F169" s="50" t="s">
        <v>5977</v>
      </c>
      <c r="G169" s="50"/>
      <c r="H169" s="50">
        <v>32</v>
      </c>
      <c r="I169" s="50" t="s">
        <v>6934</v>
      </c>
    </row>
    <row r="170" spans="2:9" ht="13.5">
      <c r="B170" s="48" t="s">
        <v>6447</v>
      </c>
      <c r="C170" s="48" t="s">
        <v>6448</v>
      </c>
      <c r="D170" s="50" t="s">
        <v>6935</v>
      </c>
      <c r="E170" s="50" t="s">
        <v>6688</v>
      </c>
      <c r="F170" s="50" t="s">
        <v>5977</v>
      </c>
      <c r="G170" s="50"/>
      <c r="H170" s="50">
        <v>33</v>
      </c>
      <c r="I170" s="50" t="s">
        <v>6936</v>
      </c>
    </row>
    <row r="171" spans="2:9" ht="13.5">
      <c r="B171" s="48" t="s">
        <v>6447</v>
      </c>
      <c r="C171" s="48" t="s">
        <v>6448</v>
      </c>
      <c r="D171" s="50" t="s">
        <v>6937</v>
      </c>
      <c r="E171" s="50" t="s">
        <v>6938</v>
      </c>
      <c r="F171" s="50" t="s">
        <v>5977</v>
      </c>
      <c r="G171" s="50"/>
      <c r="H171" s="50">
        <v>34</v>
      </c>
      <c r="I171" s="50" t="s">
        <v>6939</v>
      </c>
    </row>
    <row r="172" spans="2:9" ht="13.5">
      <c r="B172" s="48" t="s">
        <v>6447</v>
      </c>
      <c r="C172" s="48" t="s">
        <v>6448</v>
      </c>
      <c r="D172" s="50" t="s">
        <v>6940</v>
      </c>
      <c r="E172" s="50" t="s">
        <v>6938</v>
      </c>
      <c r="F172" s="50" t="s">
        <v>5977</v>
      </c>
      <c r="G172" s="50"/>
      <c r="H172" s="50">
        <v>35</v>
      </c>
      <c r="I172" s="50" t="s">
        <v>6941</v>
      </c>
    </row>
    <row r="173" spans="2:9" ht="13.5">
      <c r="B173" s="48" t="s">
        <v>6447</v>
      </c>
      <c r="C173" s="48" t="s">
        <v>6448</v>
      </c>
      <c r="D173" s="50" t="s">
        <v>6942</v>
      </c>
      <c r="E173" s="50" t="s">
        <v>6938</v>
      </c>
      <c r="F173" s="50" t="s">
        <v>5977</v>
      </c>
      <c r="G173" s="50"/>
      <c r="H173" s="50">
        <v>36</v>
      </c>
      <c r="I173" s="50" t="s">
        <v>6943</v>
      </c>
    </row>
    <row r="174" spans="2:9" ht="13.5">
      <c r="B174" s="48" t="s">
        <v>6447</v>
      </c>
      <c r="C174" s="48" t="s">
        <v>6448</v>
      </c>
      <c r="D174" s="50" t="s">
        <v>6944</v>
      </c>
      <c r="E174" s="50" t="s">
        <v>6938</v>
      </c>
      <c r="F174" s="50" t="s">
        <v>5977</v>
      </c>
      <c r="G174" s="50"/>
      <c r="H174" s="50">
        <v>37</v>
      </c>
      <c r="I174" s="50" t="s">
        <v>6945</v>
      </c>
    </row>
    <row r="175" spans="2:9" ht="13.5">
      <c r="B175" s="48" t="s">
        <v>6447</v>
      </c>
      <c r="C175" s="48" t="s">
        <v>6448</v>
      </c>
      <c r="D175" s="50" t="s">
        <v>6946</v>
      </c>
      <c r="E175" s="50" t="s">
        <v>6938</v>
      </c>
      <c r="F175" s="50" t="s">
        <v>5977</v>
      </c>
      <c r="G175" s="50"/>
      <c r="H175" s="50">
        <v>38</v>
      </c>
      <c r="I175" s="50" t="s">
        <v>6947</v>
      </c>
    </row>
    <row r="176" spans="2:9" ht="13.5">
      <c r="B176" s="48" t="s">
        <v>6447</v>
      </c>
      <c r="C176" s="48" t="s">
        <v>6448</v>
      </c>
      <c r="D176" s="50" t="s">
        <v>6948</v>
      </c>
      <c r="E176" s="50" t="s">
        <v>6938</v>
      </c>
      <c r="F176" s="50" t="s">
        <v>5977</v>
      </c>
      <c r="G176" s="50"/>
      <c r="H176" s="50">
        <v>39</v>
      </c>
      <c r="I176" s="50" t="s">
        <v>6949</v>
      </c>
    </row>
    <row r="177" spans="2:9" ht="13.5">
      <c r="B177" s="48" t="s">
        <v>6447</v>
      </c>
      <c r="C177" s="48" t="s">
        <v>6448</v>
      </c>
      <c r="D177" s="50" t="s">
        <v>6950</v>
      </c>
      <c r="E177" s="50" t="s">
        <v>6938</v>
      </c>
      <c r="F177" s="50" t="s">
        <v>5977</v>
      </c>
      <c r="G177" s="50"/>
      <c r="H177" s="50">
        <v>40</v>
      </c>
      <c r="I177" s="50" t="s">
        <v>6951</v>
      </c>
    </row>
    <row r="178" spans="2:9" ht="13.5">
      <c r="B178" s="48" t="s">
        <v>6447</v>
      </c>
      <c r="C178" s="48" t="s">
        <v>6448</v>
      </c>
      <c r="D178" s="50" t="s">
        <v>6952</v>
      </c>
      <c r="E178" s="50" t="s">
        <v>6938</v>
      </c>
      <c r="F178" s="50" t="s">
        <v>5977</v>
      </c>
      <c r="G178" s="50"/>
      <c r="H178" s="50">
        <v>41</v>
      </c>
      <c r="I178" s="50" t="s">
        <v>6953</v>
      </c>
    </row>
    <row r="179" spans="2:9" ht="13.5">
      <c r="B179" s="48" t="s">
        <v>6447</v>
      </c>
      <c r="C179" s="48" t="s">
        <v>6448</v>
      </c>
      <c r="D179" s="50" t="s">
        <v>6954</v>
      </c>
      <c r="E179" s="50" t="s">
        <v>6955</v>
      </c>
      <c r="F179" s="50" t="s">
        <v>5977</v>
      </c>
      <c r="G179" s="50"/>
      <c r="H179" s="50">
        <v>42</v>
      </c>
      <c r="I179" s="50" t="s">
        <v>6956</v>
      </c>
    </row>
    <row r="180" spans="2:9" ht="13.5">
      <c r="B180" s="48" t="s">
        <v>6447</v>
      </c>
      <c r="C180" s="48" t="s">
        <v>6448</v>
      </c>
      <c r="D180" s="50" t="s">
        <v>6957</v>
      </c>
      <c r="E180" s="50" t="s">
        <v>6495</v>
      </c>
      <c r="F180" s="50" t="s">
        <v>5977</v>
      </c>
      <c r="G180" s="50"/>
      <c r="H180" s="50">
        <v>43</v>
      </c>
      <c r="I180" s="50" t="s">
        <v>6958</v>
      </c>
    </row>
    <row r="181" spans="2:9" ht="13.5">
      <c r="B181" s="48" t="s">
        <v>6447</v>
      </c>
      <c r="C181" s="48" t="s">
        <v>6448</v>
      </c>
      <c r="D181" s="50" t="s">
        <v>6959</v>
      </c>
      <c r="E181" s="50" t="s">
        <v>6495</v>
      </c>
      <c r="F181" s="50" t="s">
        <v>5977</v>
      </c>
      <c r="G181" s="50"/>
      <c r="H181" s="50">
        <v>44</v>
      </c>
      <c r="I181" s="50" t="s">
        <v>6960</v>
      </c>
    </row>
    <row r="182" spans="2:9" ht="13.5">
      <c r="B182" s="48" t="s">
        <v>6447</v>
      </c>
      <c r="C182" s="48" t="s">
        <v>6448</v>
      </c>
      <c r="D182" s="50" t="s">
        <v>6961</v>
      </c>
      <c r="E182" s="50" t="s">
        <v>6721</v>
      </c>
      <c r="F182" s="50" t="s">
        <v>5977</v>
      </c>
      <c r="G182" s="50"/>
      <c r="H182" s="50">
        <v>45</v>
      </c>
      <c r="I182" s="50" t="s">
        <v>6962</v>
      </c>
    </row>
    <row r="183" spans="2:9" ht="13.5">
      <c r="B183" s="48" t="s">
        <v>6447</v>
      </c>
      <c r="C183" s="48" t="s">
        <v>6448</v>
      </c>
      <c r="D183" s="50" t="s">
        <v>6963</v>
      </c>
      <c r="E183" s="50" t="s">
        <v>6721</v>
      </c>
      <c r="F183" s="50" t="s">
        <v>5977</v>
      </c>
      <c r="G183" s="50"/>
      <c r="H183" s="50">
        <v>46</v>
      </c>
      <c r="I183" s="50" t="s">
        <v>6964</v>
      </c>
    </row>
    <row r="184" spans="2:9" ht="13.5">
      <c r="B184" s="48" t="s">
        <v>6447</v>
      </c>
      <c r="C184" s="48" t="s">
        <v>6448</v>
      </c>
      <c r="D184" s="50" t="s">
        <v>6965</v>
      </c>
      <c r="E184" s="50" t="s">
        <v>6710</v>
      </c>
      <c r="F184" s="50" t="s">
        <v>5977</v>
      </c>
      <c r="G184" s="50"/>
      <c r="H184" s="50">
        <v>47</v>
      </c>
      <c r="I184" s="50" t="s">
        <v>6966</v>
      </c>
    </row>
    <row r="185" spans="2:9" ht="13.5">
      <c r="B185" s="48" t="s">
        <v>6447</v>
      </c>
      <c r="C185" s="48" t="s">
        <v>6448</v>
      </c>
      <c r="D185" s="50" t="s">
        <v>6967</v>
      </c>
      <c r="E185" s="50" t="s">
        <v>6710</v>
      </c>
      <c r="F185" s="50" t="s">
        <v>5977</v>
      </c>
      <c r="G185" s="50"/>
      <c r="H185" s="50">
        <v>48</v>
      </c>
      <c r="I185" s="50" t="s">
        <v>4418</v>
      </c>
    </row>
    <row r="186" spans="2:9" ht="13.5">
      <c r="B186" s="48" t="s">
        <v>6447</v>
      </c>
      <c r="C186" s="48" t="s">
        <v>6448</v>
      </c>
      <c r="D186" s="50" t="s">
        <v>6968</v>
      </c>
      <c r="E186" s="50" t="s">
        <v>6710</v>
      </c>
      <c r="F186" s="50" t="s">
        <v>5977</v>
      </c>
      <c r="G186" s="50"/>
      <c r="H186" s="50">
        <v>49</v>
      </c>
      <c r="I186" s="50" t="s">
        <v>6969</v>
      </c>
    </row>
    <row r="187" spans="2:9" ht="13.5">
      <c r="B187" s="48" t="s">
        <v>6447</v>
      </c>
      <c r="C187" s="48" t="s">
        <v>6448</v>
      </c>
      <c r="D187" s="50" t="s">
        <v>6970</v>
      </c>
      <c r="E187" s="50" t="s">
        <v>6710</v>
      </c>
      <c r="F187" s="50" t="s">
        <v>5977</v>
      </c>
      <c r="G187" s="50"/>
      <c r="H187" s="50">
        <v>50</v>
      </c>
      <c r="I187" s="50" t="s">
        <v>6971</v>
      </c>
    </row>
    <row r="188" spans="2:9" ht="13.5">
      <c r="B188" s="48" t="s">
        <v>6447</v>
      </c>
      <c r="C188" s="48" t="s">
        <v>6448</v>
      </c>
      <c r="D188" s="50" t="s">
        <v>6972</v>
      </c>
      <c r="E188" s="50" t="s">
        <v>6710</v>
      </c>
      <c r="F188" s="50" t="s">
        <v>5977</v>
      </c>
      <c r="G188" s="50"/>
      <c r="H188" s="50">
        <v>51</v>
      </c>
      <c r="I188" s="50" t="s">
        <v>6973</v>
      </c>
    </row>
    <row r="189" spans="2:9" ht="13.5">
      <c r="B189" s="48" t="s">
        <v>6447</v>
      </c>
      <c r="C189" s="48" t="s">
        <v>6448</v>
      </c>
      <c r="D189" s="50" t="s">
        <v>6974</v>
      </c>
      <c r="E189" s="50" t="s">
        <v>6710</v>
      </c>
      <c r="F189" s="50" t="s">
        <v>5977</v>
      </c>
      <c r="G189" s="50"/>
      <c r="H189" s="50">
        <v>52</v>
      </c>
      <c r="I189" s="50" t="s">
        <v>6975</v>
      </c>
    </row>
    <row r="190" spans="2:9" ht="13.5">
      <c r="B190" s="48" t="s">
        <v>6447</v>
      </c>
      <c r="C190" s="48" t="s">
        <v>6448</v>
      </c>
      <c r="D190" s="50" t="s">
        <v>6976</v>
      </c>
      <c r="E190" s="50" t="s">
        <v>6710</v>
      </c>
      <c r="F190" s="50" t="s">
        <v>5977</v>
      </c>
      <c r="G190" s="50"/>
      <c r="H190" s="50">
        <v>53</v>
      </c>
      <c r="I190" s="50" t="s">
        <v>6977</v>
      </c>
    </row>
    <row r="191" spans="2:9" ht="13.5">
      <c r="B191" s="48" t="s">
        <v>6447</v>
      </c>
      <c r="C191" s="48" t="s">
        <v>6448</v>
      </c>
      <c r="D191" s="50" t="s">
        <v>6978</v>
      </c>
      <c r="E191" s="50" t="s">
        <v>6710</v>
      </c>
      <c r="F191" s="50" t="s">
        <v>5977</v>
      </c>
      <c r="G191" s="50"/>
      <c r="H191" s="50">
        <v>54</v>
      </c>
      <c r="I191" s="50" t="s">
        <v>6979</v>
      </c>
    </row>
    <row r="192" spans="2:9" ht="13.5">
      <c r="B192" s="48" t="s">
        <v>6447</v>
      </c>
      <c r="C192" s="48" t="s">
        <v>6448</v>
      </c>
      <c r="D192" s="50" t="s">
        <v>6980</v>
      </c>
      <c r="E192" s="50" t="s">
        <v>6710</v>
      </c>
      <c r="F192" s="50" t="s">
        <v>5977</v>
      </c>
      <c r="G192" s="50"/>
      <c r="H192" s="50">
        <v>55</v>
      </c>
      <c r="I192" s="50" t="s">
        <v>902</v>
      </c>
    </row>
    <row r="193" spans="2:9" ht="13.5">
      <c r="B193" s="48" t="s">
        <v>6447</v>
      </c>
      <c r="C193" s="48" t="s">
        <v>6448</v>
      </c>
      <c r="D193" s="50" t="s">
        <v>6981</v>
      </c>
      <c r="E193" s="50" t="s">
        <v>6710</v>
      </c>
      <c r="F193" s="50" t="s">
        <v>5977</v>
      </c>
      <c r="G193" s="50"/>
      <c r="H193" s="50">
        <v>56</v>
      </c>
      <c r="I193" s="50" t="s">
        <v>6982</v>
      </c>
    </row>
    <row r="194" spans="2:9" ht="13.5">
      <c r="B194" s="48" t="s">
        <v>6447</v>
      </c>
      <c r="C194" s="48" t="s">
        <v>6448</v>
      </c>
      <c r="D194" s="50" t="s">
        <v>6983</v>
      </c>
      <c r="E194" s="50" t="s">
        <v>6710</v>
      </c>
      <c r="F194" s="50" t="s">
        <v>5977</v>
      </c>
      <c r="G194" s="50"/>
      <c r="H194" s="50">
        <v>57</v>
      </c>
      <c r="I194" s="50" t="s">
        <v>6984</v>
      </c>
    </row>
    <row r="195" spans="2:9" ht="13.5">
      <c r="B195" s="48" t="s">
        <v>6447</v>
      </c>
      <c r="C195" s="48" t="s">
        <v>6448</v>
      </c>
      <c r="D195" s="50" t="s">
        <v>6985</v>
      </c>
      <c r="E195" s="50" t="s">
        <v>6710</v>
      </c>
      <c r="F195" s="50" t="s">
        <v>5977</v>
      </c>
      <c r="G195" s="50"/>
      <c r="H195" s="50">
        <v>58</v>
      </c>
      <c r="I195" s="50" t="s">
        <v>6986</v>
      </c>
    </row>
    <row r="196" spans="2:9" ht="13.5">
      <c r="B196" s="48" t="s">
        <v>6447</v>
      </c>
      <c r="C196" s="48" t="s">
        <v>6448</v>
      </c>
      <c r="D196" s="50" t="s">
        <v>6987</v>
      </c>
      <c r="E196" s="50" t="s">
        <v>6688</v>
      </c>
      <c r="F196" s="50" t="s">
        <v>5977</v>
      </c>
      <c r="G196" s="50"/>
      <c r="H196" s="50">
        <v>59</v>
      </c>
      <c r="I196" s="50" t="s">
        <v>6988</v>
      </c>
    </row>
    <row r="197" spans="2:9" ht="13.5">
      <c r="B197" s="48" t="s">
        <v>6447</v>
      </c>
      <c r="C197" s="48" t="s">
        <v>6448</v>
      </c>
      <c r="D197" s="50" t="s">
        <v>6989</v>
      </c>
      <c r="E197" s="50" t="s">
        <v>6713</v>
      </c>
      <c r="F197" s="50" t="s">
        <v>5977</v>
      </c>
      <c r="G197" s="50"/>
      <c r="H197" s="50">
        <v>60</v>
      </c>
      <c r="I197" s="50" t="s">
        <v>6990</v>
      </c>
    </row>
    <row r="198" spans="2:9" ht="13.5">
      <c r="B198" s="48" t="s">
        <v>6447</v>
      </c>
      <c r="C198" s="48" t="s">
        <v>6448</v>
      </c>
      <c r="D198" s="50" t="s">
        <v>6991</v>
      </c>
      <c r="E198" s="50" t="s">
        <v>6909</v>
      </c>
      <c r="F198" s="50" t="s">
        <v>5977</v>
      </c>
      <c r="G198" s="50"/>
      <c r="H198" s="50">
        <v>61</v>
      </c>
      <c r="I198" s="50" t="s">
        <v>6992</v>
      </c>
    </row>
    <row r="199" spans="2:9" ht="13.5">
      <c r="B199" s="48" t="s">
        <v>6447</v>
      </c>
      <c r="C199" s="48" t="s">
        <v>6448</v>
      </c>
      <c r="D199" s="50" t="s">
        <v>6993</v>
      </c>
      <c r="E199" s="50" t="s">
        <v>6718</v>
      </c>
      <c r="F199" s="50" t="s">
        <v>5977</v>
      </c>
      <c r="G199" s="50"/>
      <c r="H199" s="50">
        <v>62</v>
      </c>
      <c r="I199" s="50" t="s">
        <v>6994</v>
      </c>
    </row>
    <row r="200" spans="2:9" ht="13.5">
      <c r="B200" s="48" t="s">
        <v>6447</v>
      </c>
      <c r="C200" s="48" t="s">
        <v>6448</v>
      </c>
      <c r="D200" s="50" t="s">
        <v>6995</v>
      </c>
      <c r="E200" s="50" t="s">
        <v>6713</v>
      </c>
      <c r="F200" s="50" t="s">
        <v>5977</v>
      </c>
      <c r="G200" s="50"/>
      <c r="H200" s="50">
        <v>63</v>
      </c>
      <c r="I200" s="50" t="s">
        <v>6996</v>
      </c>
    </row>
    <row r="201" spans="2:9" ht="13.5">
      <c r="B201" s="48" t="s">
        <v>6447</v>
      </c>
      <c r="C201" s="48" t="s">
        <v>6448</v>
      </c>
      <c r="D201" s="50" t="s">
        <v>6997</v>
      </c>
      <c r="E201" s="50" t="s">
        <v>6713</v>
      </c>
      <c r="F201" s="50" t="s">
        <v>5977</v>
      </c>
      <c r="G201" s="50"/>
      <c r="H201" s="50">
        <v>64</v>
      </c>
      <c r="I201" s="50" t="s">
        <v>6998</v>
      </c>
    </row>
    <row r="202" spans="2:9" ht="13.5">
      <c r="B202" s="48" t="s">
        <v>6447</v>
      </c>
      <c r="C202" s="48" t="s">
        <v>6448</v>
      </c>
      <c r="D202" s="50" t="s">
        <v>6999</v>
      </c>
      <c r="E202" s="50" t="s">
        <v>7000</v>
      </c>
      <c r="F202" s="50" t="s">
        <v>5977</v>
      </c>
      <c r="G202" s="50"/>
      <c r="H202" s="50">
        <v>65</v>
      </c>
      <c r="I202" s="50" t="s">
        <v>7001</v>
      </c>
    </row>
    <row r="203" spans="2:9" ht="13.5">
      <c r="B203" s="48" t="s">
        <v>6447</v>
      </c>
      <c r="C203" s="48" t="s">
        <v>6448</v>
      </c>
      <c r="D203" s="50" t="s">
        <v>6709</v>
      </c>
      <c r="E203" s="50" t="s">
        <v>6710</v>
      </c>
      <c r="F203" s="50" t="s">
        <v>5977</v>
      </c>
      <c r="G203" s="50"/>
      <c r="H203" s="50">
        <v>66</v>
      </c>
      <c r="I203" s="50" t="s">
        <v>6711</v>
      </c>
    </row>
    <row r="204" spans="2:9" ht="13.5">
      <c r="B204" s="48" t="s">
        <v>6447</v>
      </c>
      <c r="C204" s="48" t="s">
        <v>6448</v>
      </c>
      <c r="D204" s="50" t="s">
        <v>6712</v>
      </c>
      <c r="E204" s="50" t="s">
        <v>6713</v>
      </c>
      <c r="F204" s="50" t="s">
        <v>5977</v>
      </c>
      <c r="G204" s="50"/>
      <c r="H204" s="50">
        <v>67</v>
      </c>
      <c r="I204" s="50" t="s">
        <v>6714</v>
      </c>
    </row>
    <row r="205" spans="2:9" ht="13.5">
      <c r="B205" s="48" t="s">
        <v>6447</v>
      </c>
      <c r="C205" s="48" t="s">
        <v>6448</v>
      </c>
      <c r="D205" s="50" t="s">
        <v>7002</v>
      </c>
      <c r="E205" s="50" t="s">
        <v>6697</v>
      </c>
      <c r="F205" s="50" t="s">
        <v>5977</v>
      </c>
      <c r="G205" s="50"/>
      <c r="H205" s="50">
        <v>68</v>
      </c>
      <c r="I205" s="50" t="s">
        <v>7003</v>
      </c>
    </row>
    <row r="206" spans="2:9" ht="13.5">
      <c r="B206" s="48" t="s">
        <v>6447</v>
      </c>
      <c r="C206" s="48" t="s">
        <v>6448</v>
      </c>
      <c r="D206" s="50" t="s">
        <v>7004</v>
      </c>
      <c r="E206" s="50" t="s">
        <v>6718</v>
      </c>
      <c r="F206" s="50" t="s">
        <v>5977</v>
      </c>
      <c r="G206" s="50"/>
      <c r="H206" s="50">
        <v>69</v>
      </c>
      <c r="I206" s="50" t="s">
        <v>2646</v>
      </c>
    </row>
    <row r="207" spans="2:9" ht="13.5">
      <c r="B207" s="48" t="s">
        <v>6447</v>
      </c>
      <c r="C207" s="48" t="s">
        <v>6448</v>
      </c>
      <c r="D207" s="50" t="s">
        <v>7005</v>
      </c>
      <c r="E207" s="50" t="s">
        <v>6688</v>
      </c>
      <c r="F207" s="50" t="s">
        <v>5977</v>
      </c>
      <c r="G207" s="50"/>
      <c r="H207" s="50">
        <v>70</v>
      </c>
      <c r="I207" s="50" t="s">
        <v>2589</v>
      </c>
    </row>
    <row r="208" spans="2:9" ht="13.5">
      <c r="B208" s="48" t="s">
        <v>6447</v>
      </c>
      <c r="C208" s="48" t="s">
        <v>6448</v>
      </c>
      <c r="D208" s="50" t="s">
        <v>7006</v>
      </c>
      <c r="E208" s="50" t="s">
        <v>6718</v>
      </c>
      <c r="F208" s="50" t="s">
        <v>5977</v>
      </c>
      <c r="G208" s="50"/>
      <c r="H208" s="50">
        <v>71</v>
      </c>
      <c r="I208" s="50" t="s">
        <v>5540</v>
      </c>
    </row>
    <row r="209" spans="2:9" ht="13.5">
      <c r="B209" s="48" t="s">
        <v>6447</v>
      </c>
      <c r="C209" s="48" t="s">
        <v>6448</v>
      </c>
      <c r="D209" s="50" t="s">
        <v>7007</v>
      </c>
      <c r="E209" s="50" t="s">
        <v>6688</v>
      </c>
      <c r="F209" s="50" t="s">
        <v>5977</v>
      </c>
      <c r="G209" s="50"/>
      <c r="H209" s="50">
        <v>72</v>
      </c>
      <c r="I209" s="50" t="s">
        <v>5521</v>
      </c>
    </row>
    <row r="210" spans="2:9" ht="13.5">
      <c r="B210" s="48" t="s">
        <v>6447</v>
      </c>
      <c r="C210" s="48" t="s">
        <v>6448</v>
      </c>
      <c r="D210" s="50" t="s">
        <v>7008</v>
      </c>
      <c r="E210" s="50" t="s">
        <v>6713</v>
      </c>
      <c r="F210" s="50" t="s">
        <v>5977</v>
      </c>
      <c r="G210" s="50"/>
      <c r="H210" s="50">
        <v>73</v>
      </c>
      <c r="I210" s="50" t="s">
        <v>7009</v>
      </c>
    </row>
    <row r="211" spans="2:9" ht="13.5">
      <c r="B211" s="48" t="s">
        <v>6447</v>
      </c>
      <c r="C211" s="48" t="s">
        <v>6448</v>
      </c>
      <c r="D211" s="50" t="s">
        <v>7010</v>
      </c>
      <c r="E211" s="50" t="s">
        <v>6710</v>
      </c>
      <c r="F211" s="50" t="s">
        <v>5977</v>
      </c>
      <c r="G211" s="50"/>
      <c r="H211" s="50">
        <v>74</v>
      </c>
      <c r="I211" s="50" t="s">
        <v>7011</v>
      </c>
    </row>
    <row r="212" spans="2:9" ht="13.5">
      <c r="B212" s="48" t="s">
        <v>6447</v>
      </c>
      <c r="C212" s="48" t="s">
        <v>6448</v>
      </c>
      <c r="D212" s="50" t="s">
        <v>7012</v>
      </c>
      <c r="E212" s="50" t="s">
        <v>6710</v>
      </c>
      <c r="F212" s="50" t="s">
        <v>5977</v>
      </c>
      <c r="G212" s="50"/>
      <c r="H212" s="50">
        <v>75</v>
      </c>
      <c r="I212" s="50" t="s">
        <v>7013</v>
      </c>
    </row>
    <row r="213" spans="2:9" ht="13.5">
      <c r="B213" s="48" t="s">
        <v>6447</v>
      </c>
      <c r="C213" s="48" t="s">
        <v>6448</v>
      </c>
      <c r="D213" s="50" t="s">
        <v>7014</v>
      </c>
      <c r="E213" s="50" t="s">
        <v>6710</v>
      </c>
      <c r="F213" s="50" t="s">
        <v>5977</v>
      </c>
      <c r="G213" s="50"/>
      <c r="H213" s="50">
        <v>76</v>
      </c>
      <c r="I213" s="50" t="s">
        <v>7015</v>
      </c>
    </row>
    <row r="214" spans="2:9" ht="13.5">
      <c r="B214" s="48" t="s">
        <v>6447</v>
      </c>
      <c r="C214" s="48" t="s">
        <v>6448</v>
      </c>
      <c r="D214" s="50" t="s">
        <v>7016</v>
      </c>
      <c r="E214" s="50" t="s">
        <v>6713</v>
      </c>
      <c r="F214" s="50" t="s">
        <v>5977</v>
      </c>
      <c r="G214" s="50"/>
      <c r="H214" s="50">
        <v>77</v>
      </c>
      <c r="I214" s="50" t="s">
        <v>7017</v>
      </c>
    </row>
    <row r="216" spans="2:9" ht="13.5">
      <c r="B216" s="112" t="s">
        <v>6467</v>
      </c>
      <c r="C216" s="112" t="s">
        <v>6468</v>
      </c>
      <c r="D216" s="112" t="s">
        <v>8512</v>
      </c>
      <c r="E216" s="112" t="s">
        <v>8513</v>
      </c>
      <c r="F216" s="112" t="s">
        <v>5995</v>
      </c>
      <c r="G216" s="112"/>
      <c r="H216" s="112">
        <v>1</v>
      </c>
      <c r="I216" s="112" t="s">
        <v>8514</v>
      </c>
    </row>
    <row r="217" spans="2:9" ht="13.5">
      <c r="B217" s="112" t="s">
        <v>6467</v>
      </c>
      <c r="C217" s="112" t="s">
        <v>6468</v>
      </c>
      <c r="D217" s="112" t="s">
        <v>2800</v>
      </c>
      <c r="E217" s="112" t="s">
        <v>6500</v>
      </c>
      <c r="F217" s="112" t="s">
        <v>5995</v>
      </c>
      <c r="G217" s="112"/>
      <c r="H217" s="112">
        <v>2</v>
      </c>
      <c r="I217" s="112" t="s">
        <v>2799</v>
      </c>
    </row>
    <row r="218" spans="2:9" ht="13.5">
      <c r="B218" s="112" t="s">
        <v>6467</v>
      </c>
      <c r="C218" s="112" t="s">
        <v>6468</v>
      </c>
      <c r="D218" s="112" t="s">
        <v>8515</v>
      </c>
      <c r="E218" s="112" t="s">
        <v>6938</v>
      </c>
      <c r="F218" s="112" t="s">
        <v>5995</v>
      </c>
      <c r="G218" s="112"/>
      <c r="H218" s="112">
        <v>3</v>
      </c>
      <c r="I218" s="112" t="s">
        <v>4996</v>
      </c>
    </row>
    <row r="219" spans="2:9" ht="13.5">
      <c r="B219" s="48" t="s">
        <v>6467</v>
      </c>
      <c r="C219" s="48" t="s">
        <v>6468</v>
      </c>
      <c r="D219" s="50" t="s">
        <v>3496</v>
      </c>
      <c r="E219" s="50" t="s">
        <v>6909</v>
      </c>
      <c r="F219" s="50" t="s">
        <v>5977</v>
      </c>
      <c r="G219" s="50"/>
      <c r="H219" s="50">
        <v>4</v>
      </c>
      <c r="I219" s="50" t="s">
        <v>3443</v>
      </c>
    </row>
    <row r="220" spans="2:9" ht="13.5">
      <c r="B220" s="48" t="s">
        <v>6467</v>
      </c>
      <c r="C220" s="48" t="s">
        <v>6468</v>
      </c>
      <c r="D220" s="50" t="s">
        <v>8226</v>
      </c>
      <c r="E220" s="50" t="s">
        <v>6903</v>
      </c>
      <c r="F220" s="50" t="s">
        <v>5977</v>
      </c>
      <c r="G220" s="50"/>
      <c r="H220" s="50">
        <v>5</v>
      </c>
      <c r="I220" s="50" t="s">
        <v>8227</v>
      </c>
    </row>
    <row r="221" spans="2:9" ht="13.5">
      <c r="B221" s="48" t="s">
        <v>6467</v>
      </c>
      <c r="C221" s="48" t="s">
        <v>6468</v>
      </c>
      <c r="D221" s="50" t="s">
        <v>8516</v>
      </c>
      <c r="E221" s="50" t="s">
        <v>6495</v>
      </c>
      <c r="F221" s="50" t="s">
        <v>5977</v>
      </c>
      <c r="G221" s="50"/>
      <c r="H221" s="50">
        <v>6</v>
      </c>
      <c r="I221" s="50" t="s">
        <v>8517</v>
      </c>
    </row>
    <row r="222" spans="2:9" ht="13.5">
      <c r="B222" s="48" t="s">
        <v>6467</v>
      </c>
      <c r="C222" s="48" t="s">
        <v>6468</v>
      </c>
      <c r="D222" s="50" t="s">
        <v>4502</v>
      </c>
      <c r="E222" s="50" t="s">
        <v>7158</v>
      </c>
      <c r="F222" s="50" t="s">
        <v>5977</v>
      </c>
      <c r="G222" s="50"/>
      <c r="H222" s="50">
        <v>7</v>
      </c>
      <c r="I222" s="50" t="s">
        <v>4501</v>
      </c>
    </row>
    <row r="223" spans="2:9" ht="13.5">
      <c r="B223" s="48" t="s">
        <v>6467</v>
      </c>
      <c r="C223" s="48" t="s">
        <v>6468</v>
      </c>
      <c r="D223" s="50" t="s">
        <v>7167</v>
      </c>
      <c r="E223" s="50" t="s">
        <v>6500</v>
      </c>
      <c r="F223" s="50" t="s">
        <v>5977</v>
      </c>
      <c r="G223" s="50"/>
      <c r="H223" s="50">
        <v>8</v>
      </c>
      <c r="I223" s="50" t="s">
        <v>7168</v>
      </c>
    </row>
    <row r="224" spans="2:9" ht="13.5">
      <c r="B224" s="48" t="s">
        <v>6467</v>
      </c>
      <c r="C224" s="48" t="s">
        <v>6468</v>
      </c>
      <c r="D224" s="50" t="s">
        <v>7004</v>
      </c>
      <c r="E224" s="50" t="s">
        <v>6718</v>
      </c>
      <c r="F224" s="50" t="s">
        <v>5977</v>
      </c>
      <c r="G224" s="50"/>
      <c r="H224" s="50">
        <v>9</v>
      </c>
      <c r="I224" s="50" t="s">
        <v>2646</v>
      </c>
    </row>
    <row r="225" spans="2:9" ht="13.5">
      <c r="B225" s="48" t="s">
        <v>6467</v>
      </c>
      <c r="C225" s="48" t="s">
        <v>6468</v>
      </c>
      <c r="D225" s="50" t="s">
        <v>7005</v>
      </c>
      <c r="E225" s="50" t="s">
        <v>6688</v>
      </c>
      <c r="F225" s="50" t="s">
        <v>5977</v>
      </c>
      <c r="G225" s="50"/>
      <c r="H225" s="50">
        <v>10</v>
      </c>
      <c r="I225" s="50" t="s">
        <v>2589</v>
      </c>
    </row>
    <row r="226" spans="2:9" ht="13.5">
      <c r="B226" s="48" t="s">
        <v>6467</v>
      </c>
      <c r="C226" s="48" t="s">
        <v>6468</v>
      </c>
      <c r="D226" s="50" t="s">
        <v>7006</v>
      </c>
      <c r="E226" s="50" t="s">
        <v>6718</v>
      </c>
      <c r="F226" s="50" t="s">
        <v>5977</v>
      </c>
      <c r="G226" s="50"/>
      <c r="H226" s="50">
        <v>11</v>
      </c>
      <c r="I226" s="50" t="s">
        <v>5540</v>
      </c>
    </row>
    <row r="227" spans="2:9" ht="13.5">
      <c r="B227" s="48" t="s">
        <v>6467</v>
      </c>
      <c r="C227" s="48" t="s">
        <v>6468</v>
      </c>
      <c r="D227" s="50" t="s">
        <v>7007</v>
      </c>
      <c r="E227" s="50" t="s">
        <v>6688</v>
      </c>
      <c r="F227" s="50" t="s">
        <v>5977</v>
      </c>
      <c r="G227" s="50"/>
      <c r="H227" s="50">
        <v>12</v>
      </c>
      <c r="I227" s="50" t="s">
        <v>5521</v>
      </c>
    </row>
    <row r="228" spans="2:9" ht="13.5">
      <c r="B228" s="48" t="s">
        <v>6467</v>
      </c>
      <c r="C228" s="48" t="s">
        <v>6468</v>
      </c>
      <c r="D228" s="50" t="s">
        <v>8560</v>
      </c>
      <c r="E228" s="50" t="s">
        <v>6500</v>
      </c>
      <c r="F228" s="50" t="s">
        <v>5977</v>
      </c>
      <c r="G228" s="50"/>
      <c r="H228" s="50">
        <v>13</v>
      </c>
      <c r="I228" s="50" t="s">
        <v>8561</v>
      </c>
    </row>
    <row r="229" spans="2:9" ht="13.5">
      <c r="B229" s="48" t="s">
        <v>6467</v>
      </c>
      <c r="C229" s="48" t="s">
        <v>6468</v>
      </c>
      <c r="D229" s="50" t="s">
        <v>8562</v>
      </c>
      <c r="E229" s="50" t="s">
        <v>6498</v>
      </c>
      <c r="F229" s="50" t="s">
        <v>5977</v>
      </c>
      <c r="G229" s="50"/>
      <c r="H229" s="50">
        <v>14</v>
      </c>
      <c r="I229" s="50" t="s">
        <v>8563</v>
      </c>
    </row>
    <row r="230" spans="2:9" ht="13.5">
      <c r="B230" s="48" t="s">
        <v>6467</v>
      </c>
      <c r="C230" s="48" t="s">
        <v>6468</v>
      </c>
      <c r="D230" s="50" t="s">
        <v>8564</v>
      </c>
      <c r="E230" s="50" t="s">
        <v>8513</v>
      </c>
      <c r="F230" s="50" t="s">
        <v>5977</v>
      </c>
      <c r="G230" s="50"/>
      <c r="H230" s="50">
        <v>15</v>
      </c>
      <c r="I230" s="50" t="s">
        <v>8565</v>
      </c>
    </row>
    <row r="231" spans="2:9" ht="13.5">
      <c r="B231" s="48" t="s">
        <v>6467</v>
      </c>
      <c r="C231" s="48" t="s">
        <v>6468</v>
      </c>
      <c r="D231" s="50" t="s">
        <v>8566</v>
      </c>
      <c r="E231" s="50" t="s">
        <v>6498</v>
      </c>
      <c r="F231" s="50" t="s">
        <v>5977</v>
      </c>
      <c r="G231" s="50"/>
      <c r="H231" s="50">
        <v>16</v>
      </c>
      <c r="I231" s="50" t="s">
        <v>8567</v>
      </c>
    </row>
    <row r="232" spans="2:9" ht="13.5">
      <c r="B232" s="48" t="s">
        <v>6467</v>
      </c>
      <c r="C232" s="48" t="s">
        <v>6468</v>
      </c>
      <c r="D232" s="50" t="s">
        <v>8568</v>
      </c>
      <c r="E232" s="50" t="s">
        <v>6498</v>
      </c>
      <c r="F232" s="50" t="s">
        <v>5977</v>
      </c>
      <c r="G232" s="50"/>
      <c r="H232" s="50">
        <v>17</v>
      </c>
      <c r="I232" s="50" t="s">
        <v>8569</v>
      </c>
    </row>
    <row r="233" spans="2:9" ht="12" customHeight="1">
      <c r="B233" s="48" t="s">
        <v>6467</v>
      </c>
      <c r="C233" s="48" t="s">
        <v>6468</v>
      </c>
      <c r="D233" s="50" t="s">
        <v>8570</v>
      </c>
      <c r="E233" s="50" t="s">
        <v>6710</v>
      </c>
      <c r="F233" s="50" t="s">
        <v>5977</v>
      </c>
      <c r="G233" s="50"/>
      <c r="H233" s="50">
        <v>18</v>
      </c>
      <c r="I233" s="50" t="s">
        <v>8571</v>
      </c>
    </row>
    <row r="235" spans="2:9" ht="13.5">
      <c r="B235" s="112" t="s">
        <v>6469</v>
      </c>
      <c r="C235" s="112" t="s">
        <v>6470</v>
      </c>
      <c r="D235" s="112" t="s">
        <v>8512</v>
      </c>
      <c r="E235" s="112" t="s">
        <v>8513</v>
      </c>
      <c r="F235" s="112" t="s">
        <v>5995</v>
      </c>
      <c r="G235" s="112"/>
      <c r="H235" s="112">
        <v>1</v>
      </c>
      <c r="I235" s="112" t="s">
        <v>8514</v>
      </c>
    </row>
    <row r="236" spans="2:9" ht="13.5">
      <c r="B236" s="112" t="s">
        <v>6469</v>
      </c>
      <c r="C236" s="112" t="s">
        <v>6470</v>
      </c>
      <c r="D236" s="112" t="s">
        <v>2800</v>
      </c>
      <c r="E236" s="112" t="s">
        <v>6500</v>
      </c>
      <c r="F236" s="112" t="s">
        <v>5995</v>
      </c>
      <c r="G236" s="112"/>
      <c r="H236" s="112">
        <v>2</v>
      </c>
      <c r="I236" s="112" t="s">
        <v>2799</v>
      </c>
    </row>
    <row r="237" spans="2:9" ht="13.5">
      <c r="B237" s="112" t="s">
        <v>6469</v>
      </c>
      <c r="C237" s="112" t="s">
        <v>6470</v>
      </c>
      <c r="D237" s="112" t="s">
        <v>6568</v>
      </c>
      <c r="E237" s="112" t="s">
        <v>6495</v>
      </c>
      <c r="F237" s="112" t="s">
        <v>5995</v>
      </c>
      <c r="G237" s="112"/>
      <c r="H237" s="112">
        <v>3</v>
      </c>
      <c r="I237" s="112" t="s">
        <v>6569</v>
      </c>
    </row>
    <row r="238" spans="2:9" ht="13.5">
      <c r="B238" s="112" t="s">
        <v>6469</v>
      </c>
      <c r="C238" s="112" t="s">
        <v>6470</v>
      </c>
      <c r="D238" s="112" t="s">
        <v>6570</v>
      </c>
      <c r="E238" s="112" t="s">
        <v>6571</v>
      </c>
      <c r="F238" s="112" t="s">
        <v>5995</v>
      </c>
      <c r="G238" s="112"/>
      <c r="H238" s="112">
        <v>4</v>
      </c>
      <c r="I238" s="112" t="s">
        <v>6572</v>
      </c>
    </row>
    <row r="239" spans="2:9" ht="13.5">
      <c r="B239" s="48" t="s">
        <v>6469</v>
      </c>
      <c r="C239" s="48" t="s">
        <v>6470</v>
      </c>
      <c r="D239" s="50" t="s">
        <v>8572</v>
      </c>
      <c r="E239" s="50" t="s">
        <v>6909</v>
      </c>
      <c r="F239" s="50" t="s">
        <v>5977</v>
      </c>
      <c r="G239" s="50"/>
      <c r="H239" s="50">
        <v>5</v>
      </c>
      <c r="I239" s="50" t="s">
        <v>4478</v>
      </c>
    </row>
    <row r="240" spans="2:9" ht="13.5">
      <c r="B240" s="48" t="s">
        <v>6469</v>
      </c>
      <c r="C240" s="48" t="s">
        <v>6470</v>
      </c>
      <c r="D240" s="50" t="s">
        <v>3496</v>
      </c>
      <c r="E240" s="50" t="s">
        <v>6718</v>
      </c>
      <c r="F240" s="50" t="s">
        <v>5977</v>
      </c>
      <c r="G240" s="50"/>
      <c r="H240" s="50">
        <v>6</v>
      </c>
      <c r="I240" s="50" t="s">
        <v>3443</v>
      </c>
    </row>
    <row r="241" spans="2:9" ht="13.5">
      <c r="B241" s="48" t="s">
        <v>6469</v>
      </c>
      <c r="C241" s="48" t="s">
        <v>6470</v>
      </c>
      <c r="D241" s="50" t="s">
        <v>99</v>
      </c>
      <c r="E241" s="50" t="s">
        <v>7361</v>
      </c>
      <c r="F241" s="50" t="s">
        <v>5977</v>
      </c>
      <c r="G241" s="50"/>
      <c r="H241" s="50">
        <v>7</v>
      </c>
      <c r="I241" s="50" t="s">
        <v>98</v>
      </c>
    </row>
    <row r="242" spans="2:9" ht="13.5">
      <c r="B242" s="48" t="s">
        <v>6469</v>
      </c>
      <c r="C242" s="48" t="s">
        <v>6470</v>
      </c>
      <c r="D242" s="50" t="s">
        <v>7167</v>
      </c>
      <c r="E242" s="50" t="s">
        <v>6500</v>
      </c>
      <c r="F242" s="50" t="s">
        <v>5977</v>
      </c>
      <c r="G242" s="50"/>
      <c r="H242" s="50">
        <v>8</v>
      </c>
      <c r="I242" s="50" t="s">
        <v>7168</v>
      </c>
    </row>
    <row r="243" spans="2:9" ht="13.5">
      <c r="B243" s="48" t="s">
        <v>6469</v>
      </c>
      <c r="C243" s="48" t="s">
        <v>6470</v>
      </c>
      <c r="D243" s="50" t="s">
        <v>7004</v>
      </c>
      <c r="E243" s="50" t="s">
        <v>6718</v>
      </c>
      <c r="F243" s="50" t="s">
        <v>5977</v>
      </c>
      <c r="G243" s="50"/>
      <c r="H243" s="50">
        <v>9</v>
      </c>
      <c r="I243" s="50" t="s">
        <v>2646</v>
      </c>
    </row>
    <row r="244" spans="2:9" ht="13.5">
      <c r="B244" s="48" t="s">
        <v>6469</v>
      </c>
      <c r="C244" s="48" t="s">
        <v>6470</v>
      </c>
      <c r="D244" s="50" t="s">
        <v>7005</v>
      </c>
      <c r="E244" s="50" t="s">
        <v>6688</v>
      </c>
      <c r="F244" s="50" t="s">
        <v>5977</v>
      </c>
      <c r="G244" s="50"/>
      <c r="H244" s="50">
        <v>10</v>
      </c>
      <c r="I244" s="50" t="s">
        <v>2589</v>
      </c>
    </row>
    <row r="245" spans="2:9" ht="13.5">
      <c r="B245" s="48" t="s">
        <v>6469</v>
      </c>
      <c r="C245" s="48" t="s">
        <v>6470</v>
      </c>
      <c r="D245" s="50" t="s">
        <v>7006</v>
      </c>
      <c r="E245" s="50" t="s">
        <v>6718</v>
      </c>
      <c r="F245" s="50" t="s">
        <v>5977</v>
      </c>
      <c r="G245" s="50"/>
      <c r="H245" s="50">
        <v>11</v>
      </c>
      <c r="I245" s="50" t="s">
        <v>5540</v>
      </c>
    </row>
    <row r="246" spans="2:9" ht="13.5">
      <c r="B246" s="48" t="s">
        <v>6469</v>
      </c>
      <c r="C246" s="48" t="s">
        <v>6470</v>
      </c>
      <c r="D246" s="50" t="s">
        <v>7007</v>
      </c>
      <c r="E246" s="50" t="s">
        <v>6688</v>
      </c>
      <c r="F246" s="50" t="s">
        <v>5977</v>
      </c>
      <c r="G246" s="50"/>
      <c r="H246" s="50">
        <v>12</v>
      </c>
      <c r="I246" s="50" t="s">
        <v>5521</v>
      </c>
    </row>
    <row r="247" spans="2:9" ht="13.5">
      <c r="B247" s="48" t="s">
        <v>6469</v>
      </c>
      <c r="C247" s="48" t="s">
        <v>6470</v>
      </c>
      <c r="D247" s="50" t="s">
        <v>8573</v>
      </c>
      <c r="E247" s="50" t="s">
        <v>6498</v>
      </c>
      <c r="F247" s="50" t="s">
        <v>5977</v>
      </c>
      <c r="G247" s="50" t="s">
        <v>7308</v>
      </c>
      <c r="H247" s="50">
        <v>13</v>
      </c>
      <c r="I247" s="50" t="s">
        <v>8574</v>
      </c>
    </row>
    <row r="248" spans="2:9" ht="13.5">
      <c r="B248" s="48" t="s">
        <v>6469</v>
      </c>
      <c r="C248" s="48" t="s">
        <v>6470</v>
      </c>
      <c r="D248" s="50" t="s">
        <v>8560</v>
      </c>
      <c r="E248" s="50" t="s">
        <v>6500</v>
      </c>
      <c r="F248" s="50" t="s">
        <v>5977</v>
      </c>
      <c r="G248" s="50"/>
      <c r="H248" s="50">
        <v>14</v>
      </c>
      <c r="I248" s="50" t="s">
        <v>8561</v>
      </c>
    </row>
    <row r="249" spans="2:9" ht="13.5">
      <c r="B249" s="48" t="s">
        <v>6469</v>
      </c>
      <c r="C249" s="48" t="s">
        <v>6470</v>
      </c>
      <c r="D249" s="50" t="s">
        <v>8562</v>
      </c>
      <c r="E249" s="50" t="s">
        <v>6498</v>
      </c>
      <c r="F249" s="50" t="s">
        <v>5977</v>
      </c>
      <c r="G249" s="50"/>
      <c r="H249" s="50">
        <v>15</v>
      </c>
      <c r="I249" s="50" t="s">
        <v>8563</v>
      </c>
    </row>
    <row r="250" spans="2:9" ht="13.5">
      <c r="B250" s="48" t="s">
        <v>6469</v>
      </c>
      <c r="C250" s="48" t="s">
        <v>6470</v>
      </c>
      <c r="D250" s="50" t="s">
        <v>8564</v>
      </c>
      <c r="E250" s="50" t="s">
        <v>8513</v>
      </c>
      <c r="F250" s="50" t="s">
        <v>5977</v>
      </c>
      <c r="G250" s="50"/>
      <c r="H250" s="50">
        <v>16</v>
      </c>
      <c r="I250" s="50" t="s">
        <v>8565</v>
      </c>
    </row>
    <row r="251" spans="2:9" ht="13.5">
      <c r="B251" s="48" t="s">
        <v>6469</v>
      </c>
      <c r="C251" s="48" t="s">
        <v>6470</v>
      </c>
      <c r="D251" s="50" t="s">
        <v>8566</v>
      </c>
      <c r="E251" s="50" t="s">
        <v>6498</v>
      </c>
      <c r="F251" s="50" t="s">
        <v>5977</v>
      </c>
      <c r="G251" s="50"/>
      <c r="H251" s="50">
        <v>17</v>
      </c>
      <c r="I251" s="50" t="s">
        <v>8567</v>
      </c>
    </row>
    <row r="252" spans="2:9" ht="13.5">
      <c r="B252" s="48" t="s">
        <v>6469</v>
      </c>
      <c r="C252" s="48" t="s">
        <v>6470</v>
      </c>
      <c r="D252" s="50" t="s">
        <v>8568</v>
      </c>
      <c r="E252" s="50" t="s">
        <v>6498</v>
      </c>
      <c r="F252" s="50" t="s">
        <v>5977</v>
      </c>
      <c r="G252" s="50"/>
      <c r="H252" s="50">
        <v>18</v>
      </c>
      <c r="I252" s="50" t="s">
        <v>8569</v>
      </c>
    </row>
    <row r="254" spans="2:9" ht="13.5">
      <c r="B254" s="254" t="s">
        <v>8910</v>
      </c>
      <c r="C254" s="254" t="s">
        <v>6428</v>
      </c>
      <c r="D254" s="254" t="s">
        <v>6491</v>
      </c>
      <c r="E254" s="254" t="s">
        <v>6492</v>
      </c>
      <c r="F254" s="254" t="s">
        <v>5995</v>
      </c>
      <c r="G254" s="254"/>
      <c r="H254" s="254">
        <v>1</v>
      </c>
      <c r="I254" s="254" t="s">
        <v>6493</v>
      </c>
    </row>
    <row r="255" spans="2:9" ht="13.5">
      <c r="B255" s="254" t="s">
        <v>8910</v>
      </c>
      <c r="C255" s="254" t="s">
        <v>6428</v>
      </c>
      <c r="D255" s="254" t="s">
        <v>6494</v>
      </c>
      <c r="E255" s="254" t="s">
        <v>6495</v>
      </c>
      <c r="F255" s="254" t="s">
        <v>5995</v>
      </c>
      <c r="G255" s="254"/>
      <c r="H255" s="254">
        <v>2</v>
      </c>
      <c r="I255" s="254" t="s">
        <v>8907</v>
      </c>
    </row>
    <row r="256" spans="2:9" ht="13.5">
      <c r="B256" s="254" t="s">
        <v>8910</v>
      </c>
      <c r="C256" s="254" t="s">
        <v>6428</v>
      </c>
      <c r="D256" s="254" t="s">
        <v>2800</v>
      </c>
      <c r="E256" s="254" t="s">
        <v>6500</v>
      </c>
      <c r="F256" s="254" t="s">
        <v>5995</v>
      </c>
      <c r="G256" s="254"/>
      <c r="H256" s="254">
        <v>3</v>
      </c>
      <c r="I256" s="254" t="s">
        <v>2799</v>
      </c>
    </row>
    <row r="257" spans="2:10" ht="13.5">
      <c r="B257" s="48" t="s">
        <v>8910</v>
      </c>
      <c r="C257" s="48" t="s">
        <v>6428</v>
      </c>
      <c r="D257" s="50" t="s">
        <v>7311</v>
      </c>
      <c r="E257" s="50" t="s">
        <v>6688</v>
      </c>
      <c r="F257" s="50" t="s">
        <v>5977</v>
      </c>
      <c r="G257" s="50"/>
      <c r="H257" s="50">
        <v>4</v>
      </c>
      <c r="I257" s="50" t="s">
        <v>8908</v>
      </c>
    </row>
    <row r="258" spans="2:10" ht="13.5">
      <c r="B258" s="48" t="s">
        <v>8910</v>
      </c>
      <c r="C258" s="48" t="s">
        <v>6428</v>
      </c>
      <c r="D258" s="50" t="s">
        <v>7313</v>
      </c>
      <c r="E258" s="50" t="s">
        <v>6688</v>
      </c>
      <c r="F258" s="50" t="s">
        <v>5977</v>
      </c>
      <c r="G258" s="50"/>
      <c r="H258" s="50">
        <v>5</v>
      </c>
      <c r="I258" s="50" t="s">
        <v>8909</v>
      </c>
    </row>
    <row r="259" spans="2:10" ht="13.5">
      <c r="B259" s="48" t="s">
        <v>8910</v>
      </c>
      <c r="C259" s="48" t="s">
        <v>6428</v>
      </c>
      <c r="D259" s="50" t="s">
        <v>6961</v>
      </c>
      <c r="E259" s="50" t="s">
        <v>6721</v>
      </c>
      <c r="F259" s="50" t="s">
        <v>5977</v>
      </c>
      <c r="G259" s="50"/>
      <c r="H259" s="50">
        <v>6</v>
      </c>
      <c r="I259" s="50" t="s">
        <v>6962</v>
      </c>
    </row>
    <row r="260" spans="2:10" ht="13.5">
      <c r="B260" s="48" t="s">
        <v>8910</v>
      </c>
      <c r="C260" s="48" t="s">
        <v>6428</v>
      </c>
      <c r="D260" s="50" t="s">
        <v>7004</v>
      </c>
      <c r="E260" s="50" t="s">
        <v>6718</v>
      </c>
      <c r="F260" s="50" t="s">
        <v>5977</v>
      </c>
      <c r="G260" s="50"/>
      <c r="H260" s="50">
        <v>7</v>
      </c>
      <c r="I260" s="50" t="s">
        <v>2646</v>
      </c>
    </row>
    <row r="261" spans="2:10" ht="13.5">
      <c r="B261" s="48" t="s">
        <v>8910</v>
      </c>
      <c r="C261" s="48" t="s">
        <v>6428</v>
      </c>
      <c r="D261" s="50" t="s">
        <v>7005</v>
      </c>
      <c r="E261" s="50" t="s">
        <v>6688</v>
      </c>
      <c r="F261" s="50" t="s">
        <v>5977</v>
      </c>
      <c r="G261" s="50"/>
      <c r="H261" s="50">
        <v>8</v>
      </c>
      <c r="I261" s="50" t="s">
        <v>2589</v>
      </c>
    </row>
    <row r="262" spans="2:10" ht="13.5">
      <c r="B262" s="48" t="s">
        <v>8910</v>
      </c>
      <c r="C262" s="48" t="s">
        <v>6428</v>
      </c>
      <c r="D262" s="50" t="s">
        <v>7006</v>
      </c>
      <c r="E262" s="50" t="s">
        <v>6718</v>
      </c>
      <c r="F262" s="50" t="s">
        <v>5977</v>
      </c>
      <c r="G262" s="50"/>
      <c r="H262" s="50">
        <v>9</v>
      </c>
      <c r="I262" s="50" t="s">
        <v>5540</v>
      </c>
    </row>
    <row r="263" spans="2:10" ht="13.5">
      <c r="B263" s="48" t="s">
        <v>8910</v>
      </c>
      <c r="C263" s="48" t="s">
        <v>6428</v>
      </c>
      <c r="D263" s="50" t="s">
        <v>7007</v>
      </c>
      <c r="E263" s="50" t="s">
        <v>6688</v>
      </c>
      <c r="F263" s="50" t="s">
        <v>5977</v>
      </c>
      <c r="G263" s="50"/>
      <c r="H263" s="50">
        <v>10</v>
      </c>
      <c r="I263" s="50" t="s">
        <v>5521</v>
      </c>
    </row>
    <row r="265" spans="2:10" ht="13.5">
      <c r="B265" s="112" t="s">
        <v>6429</v>
      </c>
      <c r="C265" s="112" t="s">
        <v>6430</v>
      </c>
      <c r="D265" s="112" t="s">
        <v>2800</v>
      </c>
      <c r="E265" s="112" t="s">
        <v>6500</v>
      </c>
      <c r="F265" s="112" t="s">
        <v>5995</v>
      </c>
      <c r="G265" s="112"/>
      <c r="H265" s="112">
        <v>1</v>
      </c>
      <c r="I265" s="112" t="s">
        <v>2799</v>
      </c>
      <c r="J265" s="135"/>
    </row>
    <row r="266" spans="2:10" ht="13.5">
      <c r="B266" s="112" t="s">
        <v>6429</v>
      </c>
      <c r="C266" s="112" t="s">
        <v>6430</v>
      </c>
      <c r="D266" s="112" t="s">
        <v>6568</v>
      </c>
      <c r="E266" s="112" t="s">
        <v>6495</v>
      </c>
      <c r="F266" s="112" t="s">
        <v>5995</v>
      </c>
      <c r="G266" s="112"/>
      <c r="H266" s="112">
        <v>2</v>
      </c>
      <c r="I266" s="112" t="s">
        <v>6569</v>
      </c>
      <c r="J266" s="135"/>
    </row>
    <row r="267" spans="2:10" ht="13.5">
      <c r="B267" s="112" t="s">
        <v>6429</v>
      </c>
      <c r="C267" s="112" t="s">
        <v>6430</v>
      </c>
      <c r="D267" s="112" t="s">
        <v>6570</v>
      </c>
      <c r="E267" s="112" t="s">
        <v>6571</v>
      </c>
      <c r="F267" s="112" t="s">
        <v>5995</v>
      </c>
      <c r="G267" s="112"/>
      <c r="H267" s="112">
        <v>3</v>
      </c>
      <c r="I267" s="112" t="s">
        <v>6572</v>
      </c>
      <c r="J267" s="135"/>
    </row>
    <row r="268" spans="2:10" ht="13.5">
      <c r="B268" s="48" t="s">
        <v>6429</v>
      </c>
      <c r="C268" s="48" t="s">
        <v>6430</v>
      </c>
      <c r="D268" s="50" t="s">
        <v>8572</v>
      </c>
      <c r="E268" s="50" t="s">
        <v>6909</v>
      </c>
      <c r="F268" s="50" t="s">
        <v>5977</v>
      </c>
      <c r="G268" s="50"/>
      <c r="H268" s="50">
        <v>4</v>
      </c>
      <c r="I268" s="50" t="s">
        <v>4478</v>
      </c>
    </row>
    <row r="269" spans="2:10" ht="13.5">
      <c r="B269" s="48" t="s">
        <v>6429</v>
      </c>
      <c r="C269" s="48" t="s">
        <v>6430</v>
      </c>
      <c r="D269" s="50" t="s">
        <v>3496</v>
      </c>
      <c r="E269" s="50" t="s">
        <v>8182</v>
      </c>
      <c r="F269" s="50" t="s">
        <v>5977</v>
      </c>
      <c r="G269" s="50"/>
      <c r="H269" s="50">
        <v>5</v>
      </c>
      <c r="I269" s="50" t="s">
        <v>3443</v>
      </c>
    </row>
    <row r="270" spans="2:10" ht="13.5">
      <c r="B270" s="48" t="s">
        <v>6429</v>
      </c>
      <c r="C270" s="48" t="s">
        <v>6430</v>
      </c>
      <c r="D270" s="50" t="s">
        <v>99</v>
      </c>
      <c r="E270" s="50" t="s">
        <v>7361</v>
      </c>
      <c r="F270" s="50" t="s">
        <v>5977</v>
      </c>
      <c r="G270" s="50"/>
      <c r="H270" s="50">
        <v>6</v>
      </c>
      <c r="I270" s="50" t="s">
        <v>98</v>
      </c>
    </row>
    <row r="271" spans="2:10" ht="13.5">
      <c r="B271" s="48" t="s">
        <v>6429</v>
      </c>
      <c r="C271" s="48" t="s">
        <v>6430</v>
      </c>
      <c r="D271" s="50" t="s">
        <v>6937</v>
      </c>
      <c r="E271" s="50" t="s">
        <v>6938</v>
      </c>
      <c r="F271" s="50" t="s">
        <v>5977</v>
      </c>
      <c r="G271" s="50"/>
      <c r="H271" s="50">
        <v>7</v>
      </c>
      <c r="I271" s="50" t="s">
        <v>6939</v>
      </c>
    </row>
    <row r="272" spans="2:10" ht="13.5">
      <c r="B272" s="48" t="s">
        <v>6429</v>
      </c>
      <c r="C272" s="48" t="s">
        <v>6430</v>
      </c>
      <c r="D272" s="50" t="s">
        <v>6940</v>
      </c>
      <c r="E272" s="50" t="s">
        <v>6938</v>
      </c>
      <c r="F272" s="50" t="s">
        <v>5977</v>
      </c>
      <c r="G272" s="50"/>
      <c r="H272" s="50">
        <v>8</v>
      </c>
      <c r="I272" s="50" t="s">
        <v>6941</v>
      </c>
    </row>
    <row r="273" spans="2:9" ht="13.5">
      <c r="B273" s="48" t="s">
        <v>6429</v>
      </c>
      <c r="C273" s="48" t="s">
        <v>6430</v>
      </c>
      <c r="D273" s="50" t="s">
        <v>6942</v>
      </c>
      <c r="E273" s="50" t="s">
        <v>6938</v>
      </c>
      <c r="F273" s="50" t="s">
        <v>5977</v>
      </c>
      <c r="G273" s="50"/>
      <c r="H273" s="50">
        <v>9</v>
      </c>
      <c r="I273" s="50" t="s">
        <v>6943</v>
      </c>
    </row>
    <row r="274" spans="2:9" ht="13.5">
      <c r="B274" s="48" t="s">
        <v>6429</v>
      </c>
      <c r="C274" s="48" t="s">
        <v>6430</v>
      </c>
      <c r="D274" s="50" t="s">
        <v>6944</v>
      </c>
      <c r="E274" s="50" t="s">
        <v>6938</v>
      </c>
      <c r="F274" s="50" t="s">
        <v>5977</v>
      </c>
      <c r="G274" s="50"/>
      <c r="H274" s="50">
        <v>10</v>
      </c>
      <c r="I274" s="50" t="s">
        <v>6945</v>
      </c>
    </row>
    <row r="275" spans="2:9" ht="13.5">
      <c r="B275" s="48" t="s">
        <v>6429</v>
      </c>
      <c r="C275" s="48" t="s">
        <v>6430</v>
      </c>
      <c r="D275" s="50" t="s">
        <v>6946</v>
      </c>
      <c r="E275" s="50" t="s">
        <v>6938</v>
      </c>
      <c r="F275" s="50" t="s">
        <v>5977</v>
      </c>
      <c r="G275" s="50"/>
      <c r="H275" s="50">
        <v>11</v>
      </c>
      <c r="I275" s="50" t="s">
        <v>6947</v>
      </c>
    </row>
    <row r="276" spans="2:9" ht="13.5">
      <c r="B276" s="48" t="s">
        <v>6429</v>
      </c>
      <c r="C276" s="48" t="s">
        <v>6430</v>
      </c>
      <c r="D276" s="50" t="s">
        <v>6948</v>
      </c>
      <c r="E276" s="50" t="s">
        <v>6938</v>
      </c>
      <c r="F276" s="50" t="s">
        <v>5977</v>
      </c>
      <c r="G276" s="50"/>
      <c r="H276" s="50">
        <v>12</v>
      </c>
      <c r="I276" s="50" t="s">
        <v>6949</v>
      </c>
    </row>
    <row r="277" spans="2:9" ht="13.5">
      <c r="B277" s="48" t="s">
        <v>6429</v>
      </c>
      <c r="C277" s="48" t="s">
        <v>6430</v>
      </c>
      <c r="D277" s="50" t="s">
        <v>6950</v>
      </c>
      <c r="E277" s="50" t="s">
        <v>6938</v>
      </c>
      <c r="F277" s="50" t="s">
        <v>5977</v>
      </c>
      <c r="G277" s="50"/>
      <c r="H277" s="50">
        <v>13</v>
      </c>
      <c r="I277" s="50" t="s">
        <v>6951</v>
      </c>
    </row>
    <row r="278" spans="2:9" ht="13.5">
      <c r="B278" s="48" t="s">
        <v>6429</v>
      </c>
      <c r="C278" s="48" t="s">
        <v>6430</v>
      </c>
      <c r="D278" s="50" t="s">
        <v>6952</v>
      </c>
      <c r="E278" s="50" t="s">
        <v>6938</v>
      </c>
      <c r="F278" s="50" t="s">
        <v>5977</v>
      </c>
      <c r="G278" s="50"/>
      <c r="H278" s="50">
        <v>14</v>
      </c>
      <c r="I278" s="50" t="s">
        <v>6953</v>
      </c>
    </row>
    <row r="279" spans="2:9" ht="13.5">
      <c r="B279" s="48" t="s">
        <v>6429</v>
      </c>
      <c r="C279" s="48" t="s">
        <v>6430</v>
      </c>
      <c r="D279" s="50" t="s">
        <v>8575</v>
      </c>
      <c r="E279" s="50" t="s">
        <v>6713</v>
      </c>
      <c r="F279" s="50" t="s">
        <v>5977</v>
      </c>
      <c r="G279" s="50" t="s">
        <v>7308</v>
      </c>
      <c r="H279" s="50">
        <v>15</v>
      </c>
      <c r="I279" s="50" t="s">
        <v>8576</v>
      </c>
    </row>
    <row r="280" spans="2:9" ht="13.5">
      <c r="B280" s="48" t="s">
        <v>6429</v>
      </c>
      <c r="C280" s="48" t="s">
        <v>6430</v>
      </c>
      <c r="D280" s="50" t="s">
        <v>7004</v>
      </c>
      <c r="E280" s="50" t="s">
        <v>6718</v>
      </c>
      <c r="F280" s="50" t="s">
        <v>5977</v>
      </c>
      <c r="G280" s="50"/>
      <c r="H280" s="50">
        <v>16</v>
      </c>
      <c r="I280" s="50" t="s">
        <v>2646</v>
      </c>
    </row>
    <row r="281" spans="2:9" ht="13.5">
      <c r="B281" s="48" t="s">
        <v>6429</v>
      </c>
      <c r="C281" s="48" t="s">
        <v>6430</v>
      </c>
      <c r="D281" s="50" t="s">
        <v>7005</v>
      </c>
      <c r="E281" s="50" t="s">
        <v>6688</v>
      </c>
      <c r="F281" s="50" t="s">
        <v>5977</v>
      </c>
      <c r="G281" s="50"/>
      <c r="H281" s="50">
        <v>17</v>
      </c>
      <c r="I281" s="50" t="s">
        <v>2589</v>
      </c>
    </row>
    <row r="282" spans="2:9" ht="13.5">
      <c r="B282" s="48" t="s">
        <v>6429</v>
      </c>
      <c r="C282" s="48" t="s">
        <v>6430</v>
      </c>
      <c r="D282" s="50" t="s">
        <v>7006</v>
      </c>
      <c r="E282" s="50" t="s">
        <v>6718</v>
      </c>
      <c r="F282" s="50" t="s">
        <v>5977</v>
      </c>
      <c r="G282" s="50"/>
      <c r="H282" s="50">
        <v>18</v>
      </c>
      <c r="I282" s="50" t="s">
        <v>5540</v>
      </c>
    </row>
    <row r="283" spans="2:9" ht="13.5">
      <c r="B283" s="48" t="s">
        <v>6429</v>
      </c>
      <c r="C283" s="48" t="s">
        <v>6430</v>
      </c>
      <c r="D283" s="50" t="s">
        <v>7007</v>
      </c>
      <c r="E283" s="50" t="s">
        <v>6688</v>
      </c>
      <c r="F283" s="50" t="s">
        <v>5977</v>
      </c>
      <c r="G283" s="50"/>
      <c r="H283" s="50">
        <v>19</v>
      </c>
      <c r="I283" s="50" t="s">
        <v>5521</v>
      </c>
    </row>
    <row r="284" spans="2:9" ht="13.5">
      <c r="B284" s="48" t="s">
        <v>6429</v>
      </c>
      <c r="C284" s="48" t="s">
        <v>6430</v>
      </c>
      <c r="D284" s="50" t="s">
        <v>8577</v>
      </c>
      <c r="E284" s="50" t="s">
        <v>6713</v>
      </c>
      <c r="F284" s="50" t="s">
        <v>5977</v>
      </c>
      <c r="G284" s="50"/>
      <c r="H284" s="50">
        <v>20</v>
      </c>
      <c r="I284" s="50" t="s">
        <v>8578</v>
      </c>
    </row>
    <row r="286" spans="2:9" ht="13.5">
      <c r="B286" s="112" t="s">
        <v>6465</v>
      </c>
      <c r="C286" s="112" t="s">
        <v>6466</v>
      </c>
      <c r="D286" s="136" t="s">
        <v>8512</v>
      </c>
      <c r="E286" s="136" t="s">
        <v>8513</v>
      </c>
      <c r="F286" s="136" t="s">
        <v>5995</v>
      </c>
      <c r="G286" s="136"/>
      <c r="H286" s="136">
        <v>1</v>
      </c>
      <c r="I286" s="136" t="s">
        <v>8514</v>
      </c>
    </row>
    <row r="287" spans="2:9" ht="13.5">
      <c r="B287" s="112" t="s">
        <v>6465</v>
      </c>
      <c r="C287" s="112" t="s">
        <v>6466</v>
      </c>
      <c r="D287" s="136" t="s">
        <v>2800</v>
      </c>
      <c r="E287" s="136" t="s">
        <v>6500</v>
      </c>
      <c r="F287" s="136" t="s">
        <v>5995</v>
      </c>
      <c r="G287" s="136"/>
      <c r="H287" s="136">
        <v>2</v>
      </c>
      <c r="I287" s="136" t="s">
        <v>2799</v>
      </c>
    </row>
    <row r="288" spans="2:9" ht="13.5">
      <c r="B288" s="48" t="s">
        <v>6465</v>
      </c>
      <c r="C288" s="48" t="s">
        <v>6466</v>
      </c>
      <c r="D288" s="50" t="s">
        <v>8579</v>
      </c>
      <c r="E288" s="50" t="s">
        <v>6899</v>
      </c>
      <c r="F288" s="50" t="s">
        <v>5977</v>
      </c>
      <c r="G288" s="50"/>
      <c r="H288" s="50">
        <v>3</v>
      </c>
      <c r="I288" s="50" t="s">
        <v>8580</v>
      </c>
    </row>
    <row r="289" spans="2:9" ht="13.5">
      <c r="B289" s="48" t="s">
        <v>6465</v>
      </c>
      <c r="C289" s="48" t="s">
        <v>6466</v>
      </c>
      <c r="D289" s="50" t="s">
        <v>8581</v>
      </c>
      <c r="E289" s="50" t="s">
        <v>8513</v>
      </c>
      <c r="F289" s="50" t="s">
        <v>5977</v>
      </c>
      <c r="G289" s="50"/>
      <c r="H289" s="50">
        <v>4</v>
      </c>
      <c r="I289" s="50" t="s">
        <v>8582</v>
      </c>
    </row>
    <row r="290" spans="2:9" ht="13.5">
      <c r="B290" s="48" t="s">
        <v>6465</v>
      </c>
      <c r="C290" s="48" t="s">
        <v>6466</v>
      </c>
      <c r="D290" s="50" t="s">
        <v>7167</v>
      </c>
      <c r="E290" s="50" t="s">
        <v>6500</v>
      </c>
      <c r="F290" s="50" t="s">
        <v>5977</v>
      </c>
      <c r="G290" s="50"/>
      <c r="H290" s="50">
        <v>5</v>
      </c>
      <c r="I290" s="50" t="s">
        <v>7168</v>
      </c>
    </row>
    <row r="291" spans="2:9" ht="13.5">
      <c r="B291" s="48" t="s">
        <v>6465</v>
      </c>
      <c r="C291" s="48" t="s">
        <v>6466</v>
      </c>
      <c r="D291" s="50" t="s">
        <v>7004</v>
      </c>
      <c r="E291" s="50" t="s">
        <v>6718</v>
      </c>
      <c r="F291" s="50" t="s">
        <v>5977</v>
      </c>
      <c r="G291" s="50"/>
      <c r="H291" s="50">
        <v>6</v>
      </c>
      <c r="I291" s="50" t="s">
        <v>2646</v>
      </c>
    </row>
    <row r="292" spans="2:9" ht="13.5">
      <c r="B292" s="48" t="s">
        <v>6465</v>
      </c>
      <c r="C292" s="48" t="s">
        <v>6466</v>
      </c>
      <c r="D292" s="50" t="s">
        <v>7005</v>
      </c>
      <c r="E292" s="50" t="s">
        <v>6688</v>
      </c>
      <c r="F292" s="50" t="s">
        <v>5977</v>
      </c>
      <c r="G292" s="50"/>
      <c r="H292" s="50">
        <v>7</v>
      </c>
      <c r="I292" s="50" t="s">
        <v>2589</v>
      </c>
    </row>
    <row r="293" spans="2:9" ht="13.5">
      <c r="B293" s="48" t="s">
        <v>6465</v>
      </c>
      <c r="C293" s="48" t="s">
        <v>6466</v>
      </c>
      <c r="D293" s="50" t="s">
        <v>7006</v>
      </c>
      <c r="E293" s="50" t="s">
        <v>6718</v>
      </c>
      <c r="F293" s="50" t="s">
        <v>5977</v>
      </c>
      <c r="G293" s="50"/>
      <c r="H293" s="50">
        <v>8</v>
      </c>
      <c r="I293" s="50" t="s">
        <v>5540</v>
      </c>
    </row>
    <row r="294" spans="2:9" ht="13.5">
      <c r="B294" s="48" t="s">
        <v>6465</v>
      </c>
      <c r="C294" s="48" t="s">
        <v>6466</v>
      </c>
      <c r="D294" s="50" t="s">
        <v>7007</v>
      </c>
      <c r="E294" s="50" t="s">
        <v>6688</v>
      </c>
      <c r="F294" s="50" t="s">
        <v>5977</v>
      </c>
      <c r="G294" s="50"/>
      <c r="H294" s="50">
        <v>9</v>
      </c>
      <c r="I294" s="50" t="s">
        <v>5521</v>
      </c>
    </row>
    <row r="295" spans="2:9" ht="13.5">
      <c r="B295" s="48" t="s">
        <v>6465</v>
      </c>
      <c r="C295" s="48" t="s">
        <v>6466</v>
      </c>
      <c r="D295" s="50" t="s">
        <v>8560</v>
      </c>
      <c r="E295" s="50" t="s">
        <v>6500</v>
      </c>
      <c r="F295" s="50" t="s">
        <v>5977</v>
      </c>
      <c r="G295" s="50"/>
      <c r="H295" s="50">
        <v>10</v>
      </c>
      <c r="I295" s="50" t="s">
        <v>8561</v>
      </c>
    </row>
    <row r="296" spans="2:9" ht="13.5">
      <c r="B296" s="48" t="s">
        <v>6465</v>
      </c>
      <c r="C296" s="48" t="s">
        <v>6466</v>
      </c>
      <c r="D296" s="50" t="s">
        <v>8562</v>
      </c>
      <c r="E296" s="50" t="s">
        <v>6498</v>
      </c>
      <c r="F296" s="50" t="s">
        <v>5977</v>
      </c>
      <c r="G296" s="50"/>
      <c r="H296" s="50">
        <v>11</v>
      </c>
      <c r="I296" s="50" t="s">
        <v>8563</v>
      </c>
    </row>
    <row r="297" spans="2:9" ht="13.5">
      <c r="B297" s="48" t="s">
        <v>6465</v>
      </c>
      <c r="C297" s="48" t="s">
        <v>6466</v>
      </c>
      <c r="D297" s="50" t="s">
        <v>8564</v>
      </c>
      <c r="E297" s="50" t="s">
        <v>8513</v>
      </c>
      <c r="F297" s="50" t="s">
        <v>5977</v>
      </c>
      <c r="G297" s="50"/>
      <c r="H297" s="50">
        <v>12</v>
      </c>
      <c r="I297" s="50" t="s">
        <v>8565</v>
      </c>
    </row>
    <row r="298" spans="2:9" ht="13.5">
      <c r="B298" s="48" t="s">
        <v>6465</v>
      </c>
      <c r="C298" s="48" t="s">
        <v>6466</v>
      </c>
      <c r="D298" s="50" t="s">
        <v>8566</v>
      </c>
      <c r="E298" s="50" t="s">
        <v>6498</v>
      </c>
      <c r="F298" s="50" t="s">
        <v>5977</v>
      </c>
      <c r="G298" s="50"/>
      <c r="H298" s="50">
        <v>13</v>
      </c>
      <c r="I298" s="50" t="s">
        <v>8567</v>
      </c>
    </row>
    <row r="299" spans="2:9" ht="13.5">
      <c r="B299" s="48" t="s">
        <v>6465</v>
      </c>
      <c r="C299" s="48" t="s">
        <v>6466</v>
      </c>
      <c r="D299" s="50" t="s">
        <v>8568</v>
      </c>
      <c r="E299" s="50" t="s">
        <v>6498</v>
      </c>
      <c r="F299" s="50" t="s">
        <v>5977</v>
      </c>
      <c r="G299" s="50"/>
      <c r="H299" s="50">
        <v>14</v>
      </c>
      <c r="I299" s="50" t="s">
        <v>8569</v>
      </c>
    </row>
    <row r="301" spans="2:9" ht="13.5">
      <c r="B301" s="254" t="s">
        <v>6463</v>
      </c>
      <c r="C301" s="254" t="s">
        <v>6464</v>
      </c>
      <c r="D301" s="255" t="s">
        <v>8616</v>
      </c>
      <c r="E301" s="255" t="s">
        <v>6909</v>
      </c>
      <c r="F301" s="255" t="s">
        <v>5995</v>
      </c>
      <c r="G301" s="255"/>
      <c r="H301" s="255">
        <v>1</v>
      </c>
      <c r="I301" s="255" t="s">
        <v>8617</v>
      </c>
    </row>
    <row r="302" spans="2:9" ht="13.5">
      <c r="B302" s="254" t="s">
        <v>6463</v>
      </c>
      <c r="C302" s="254" t="s">
        <v>6464</v>
      </c>
      <c r="D302" s="255" t="s">
        <v>8618</v>
      </c>
      <c r="E302" s="255" t="s">
        <v>8513</v>
      </c>
      <c r="F302" s="255" t="s">
        <v>5995</v>
      </c>
      <c r="G302" s="255"/>
      <c r="H302" s="255">
        <v>2</v>
      </c>
      <c r="I302" s="255" t="s">
        <v>8619</v>
      </c>
    </row>
    <row r="303" spans="2:9" ht="13.5">
      <c r="B303" s="254" t="s">
        <v>6463</v>
      </c>
      <c r="C303" s="254" t="s">
        <v>6464</v>
      </c>
      <c r="D303" s="255" t="s">
        <v>8620</v>
      </c>
      <c r="E303" s="255" t="s">
        <v>6500</v>
      </c>
      <c r="F303" s="255" t="s">
        <v>5995</v>
      </c>
      <c r="G303" s="255"/>
      <c r="H303" s="255">
        <v>3</v>
      </c>
      <c r="I303" s="255" t="s">
        <v>8621</v>
      </c>
    </row>
    <row r="304" spans="2:9" ht="13.5">
      <c r="B304" s="254" t="s">
        <v>6463</v>
      </c>
      <c r="C304" s="254" t="s">
        <v>6464</v>
      </c>
      <c r="D304" s="255" t="s">
        <v>8622</v>
      </c>
      <c r="E304" s="255" t="s">
        <v>8182</v>
      </c>
      <c r="F304" s="255" t="s">
        <v>5995</v>
      </c>
      <c r="G304" s="255"/>
      <c r="H304" s="255">
        <v>4</v>
      </c>
      <c r="I304" s="255" t="s">
        <v>8623</v>
      </c>
    </row>
    <row r="305" spans="2:9" ht="13.5">
      <c r="B305" s="48" t="s">
        <v>6463</v>
      </c>
      <c r="C305" s="48" t="s">
        <v>6464</v>
      </c>
      <c r="D305" s="50" t="s">
        <v>8624</v>
      </c>
      <c r="E305" s="50" t="s">
        <v>6590</v>
      </c>
      <c r="F305" s="50" t="s">
        <v>5977</v>
      </c>
      <c r="G305" s="50"/>
      <c r="H305" s="50">
        <v>5</v>
      </c>
      <c r="I305" s="50" t="s">
        <v>8625</v>
      </c>
    </row>
    <row r="306" spans="2:9" ht="13.5">
      <c r="B306" s="48" t="s">
        <v>6463</v>
      </c>
      <c r="C306" s="48" t="s">
        <v>6464</v>
      </c>
      <c r="D306" s="50" t="s">
        <v>8626</v>
      </c>
      <c r="E306" s="50" t="s">
        <v>6903</v>
      </c>
      <c r="F306" s="50" t="s">
        <v>5977</v>
      </c>
      <c r="G306" s="50"/>
      <c r="H306" s="50">
        <v>6</v>
      </c>
      <c r="I306" s="50" t="s">
        <v>8627</v>
      </c>
    </row>
    <row r="307" spans="2:9" ht="13.5">
      <c r="B307" s="48" t="s">
        <v>6463</v>
      </c>
      <c r="C307" s="48" t="s">
        <v>6464</v>
      </c>
      <c r="D307" s="50" t="s">
        <v>8628</v>
      </c>
      <c r="E307" s="50" t="s">
        <v>6571</v>
      </c>
      <c r="F307" s="50" t="s">
        <v>5977</v>
      </c>
      <c r="G307" s="50"/>
      <c r="H307" s="50">
        <v>7</v>
      </c>
      <c r="I307" s="50" t="s">
        <v>8629</v>
      </c>
    </row>
    <row r="308" spans="2:9" ht="13.5">
      <c r="B308" s="48" t="s">
        <v>6463</v>
      </c>
      <c r="C308" s="48" t="s">
        <v>6464</v>
      </c>
      <c r="D308" s="50" t="s">
        <v>8630</v>
      </c>
      <c r="E308" s="50" t="s">
        <v>6907</v>
      </c>
      <c r="F308" s="50" t="s">
        <v>5977</v>
      </c>
      <c r="G308" s="50"/>
      <c r="H308" s="50">
        <v>8</v>
      </c>
      <c r="I308" s="50" t="s">
        <v>8631</v>
      </c>
    </row>
    <row r="309" spans="2:9" ht="13.5">
      <c r="B309" s="48" t="s">
        <v>6463</v>
      </c>
      <c r="C309" s="48" t="s">
        <v>6464</v>
      </c>
      <c r="D309" s="50" t="s">
        <v>8632</v>
      </c>
      <c r="E309" s="50" t="s">
        <v>6697</v>
      </c>
      <c r="F309" s="50" t="s">
        <v>5977</v>
      </c>
      <c r="G309" s="50"/>
      <c r="H309" s="50">
        <v>9</v>
      </c>
      <c r="I309" s="50" t="s">
        <v>8633</v>
      </c>
    </row>
    <row r="310" spans="2:9" ht="13.5">
      <c r="B310" s="48" t="s">
        <v>6463</v>
      </c>
      <c r="C310" s="48" t="s">
        <v>6464</v>
      </c>
      <c r="D310" s="50" t="s">
        <v>8634</v>
      </c>
      <c r="E310" s="50" t="s">
        <v>6909</v>
      </c>
      <c r="F310" s="50" t="s">
        <v>5977</v>
      </c>
      <c r="G310" s="50"/>
      <c r="H310" s="50">
        <v>10</v>
      </c>
      <c r="I310" s="50" t="s">
        <v>8635</v>
      </c>
    </row>
    <row r="311" spans="2:9" ht="13.5">
      <c r="B311" s="48" t="s">
        <v>6463</v>
      </c>
      <c r="C311" s="48" t="s">
        <v>6464</v>
      </c>
      <c r="D311" s="50" t="s">
        <v>8636</v>
      </c>
      <c r="E311" s="50" t="s">
        <v>7351</v>
      </c>
      <c r="F311" s="50" t="s">
        <v>5995</v>
      </c>
      <c r="G311" s="50"/>
      <c r="H311" s="50">
        <v>11</v>
      </c>
      <c r="I311" s="50" t="s">
        <v>8637</v>
      </c>
    </row>
    <row r="312" spans="2:9" ht="13.5">
      <c r="B312" s="48" t="s">
        <v>6463</v>
      </c>
      <c r="C312" s="48" t="s">
        <v>6464</v>
      </c>
      <c r="D312" s="50" t="s">
        <v>4011</v>
      </c>
      <c r="E312" s="50" t="s">
        <v>7351</v>
      </c>
      <c r="F312" s="50" t="s">
        <v>5995</v>
      </c>
      <c r="G312" s="50"/>
      <c r="H312" s="50">
        <v>12</v>
      </c>
      <c r="I312" s="50" t="s">
        <v>8638</v>
      </c>
    </row>
    <row r="313" spans="2:9" ht="13.5">
      <c r="B313" s="48" t="s">
        <v>6463</v>
      </c>
      <c r="C313" s="48" t="s">
        <v>6464</v>
      </c>
      <c r="D313" s="50" t="s">
        <v>8639</v>
      </c>
      <c r="E313" s="50" t="s">
        <v>6721</v>
      </c>
      <c r="F313" s="50" t="s">
        <v>5995</v>
      </c>
      <c r="G313" s="50"/>
      <c r="H313" s="50">
        <v>13</v>
      </c>
      <c r="I313" s="50" t="s">
        <v>8640</v>
      </c>
    </row>
    <row r="314" spans="2:9" ht="13.5">
      <c r="B314" s="48" t="s">
        <v>6463</v>
      </c>
      <c r="C314" s="48" t="s">
        <v>6464</v>
      </c>
      <c r="D314" s="50" t="s">
        <v>8641</v>
      </c>
      <c r="E314" s="50" t="s">
        <v>7351</v>
      </c>
      <c r="F314" s="50" t="s">
        <v>5995</v>
      </c>
      <c r="G314" s="50"/>
      <c r="H314" s="50">
        <v>14</v>
      </c>
      <c r="I314" s="50" t="s">
        <v>8642</v>
      </c>
    </row>
    <row r="315" spans="2:9" ht="13.5">
      <c r="B315" s="48" t="s">
        <v>6463</v>
      </c>
      <c r="C315" s="48" t="s">
        <v>6464</v>
      </c>
      <c r="D315" s="50" t="s">
        <v>2800</v>
      </c>
      <c r="E315" s="50" t="s">
        <v>6500</v>
      </c>
      <c r="F315" s="50" t="s">
        <v>5995</v>
      </c>
      <c r="G315" s="50"/>
      <c r="H315" s="50">
        <v>15</v>
      </c>
      <c r="I315" s="50" t="s">
        <v>8643</v>
      </c>
    </row>
    <row r="316" spans="2:9" ht="13.5">
      <c r="B316" s="48" t="s">
        <v>6463</v>
      </c>
      <c r="C316" s="48" t="s">
        <v>6464</v>
      </c>
      <c r="D316" s="50" t="s">
        <v>3496</v>
      </c>
      <c r="E316" s="50" t="s">
        <v>6718</v>
      </c>
      <c r="F316" s="50" t="s">
        <v>5977</v>
      </c>
      <c r="G316" s="50"/>
      <c r="H316" s="50">
        <v>16</v>
      </c>
      <c r="I316" s="50" t="s">
        <v>8644</v>
      </c>
    </row>
    <row r="317" spans="2:9" ht="13.5">
      <c r="B317" s="48" t="s">
        <v>6463</v>
      </c>
      <c r="C317" s="48" t="s">
        <v>6464</v>
      </c>
      <c r="D317" s="50" t="s">
        <v>6589</v>
      </c>
      <c r="E317" s="50" t="s">
        <v>6590</v>
      </c>
      <c r="F317" s="50" t="s">
        <v>5977</v>
      </c>
      <c r="G317" s="50"/>
      <c r="H317" s="50">
        <v>17</v>
      </c>
      <c r="I317" s="50" t="s">
        <v>8645</v>
      </c>
    </row>
    <row r="318" spans="2:9" ht="13.5">
      <c r="B318" s="48" t="s">
        <v>6463</v>
      </c>
      <c r="C318" s="48" t="s">
        <v>6464</v>
      </c>
      <c r="D318" s="50" t="s">
        <v>6902</v>
      </c>
      <c r="E318" s="50" t="s">
        <v>6903</v>
      </c>
      <c r="F318" s="50" t="s">
        <v>5977</v>
      </c>
      <c r="G318" s="50"/>
      <c r="H318" s="50">
        <v>18</v>
      </c>
      <c r="I318" s="50" t="s">
        <v>8646</v>
      </c>
    </row>
    <row r="319" spans="2:9" ht="13.5">
      <c r="B319" s="48" t="s">
        <v>6463</v>
      </c>
      <c r="C319" s="48" t="s">
        <v>6464</v>
      </c>
      <c r="D319" s="50" t="s">
        <v>6904</v>
      </c>
      <c r="E319" s="50" t="s">
        <v>6571</v>
      </c>
      <c r="F319" s="50" t="s">
        <v>5977</v>
      </c>
      <c r="G319" s="50"/>
      <c r="H319" s="50">
        <v>19</v>
      </c>
      <c r="I319" s="50" t="s">
        <v>8647</v>
      </c>
    </row>
    <row r="320" spans="2:9" ht="13.5">
      <c r="B320" s="48" t="s">
        <v>6463</v>
      </c>
      <c r="C320" s="48" t="s">
        <v>6464</v>
      </c>
      <c r="D320" s="50" t="s">
        <v>6906</v>
      </c>
      <c r="E320" s="50" t="s">
        <v>6907</v>
      </c>
      <c r="F320" s="50" t="s">
        <v>5977</v>
      </c>
      <c r="G320" s="50"/>
      <c r="H320" s="50">
        <v>20</v>
      </c>
      <c r="I320" s="50" t="s">
        <v>8648</v>
      </c>
    </row>
    <row r="321" spans="2:9" ht="13.5">
      <c r="B321" s="48" t="s">
        <v>6463</v>
      </c>
      <c r="C321" s="48" t="s">
        <v>6464</v>
      </c>
      <c r="D321" s="50" t="s">
        <v>6601</v>
      </c>
      <c r="E321" s="50" t="s">
        <v>6697</v>
      </c>
      <c r="F321" s="50" t="s">
        <v>5977</v>
      </c>
      <c r="G321" s="50"/>
      <c r="H321" s="50">
        <v>21</v>
      </c>
      <c r="I321" s="50" t="s">
        <v>8649</v>
      </c>
    </row>
    <row r="322" spans="2:9" ht="13.5">
      <c r="B322" s="48" t="s">
        <v>6463</v>
      </c>
      <c r="C322" s="48" t="s">
        <v>6464</v>
      </c>
      <c r="D322" s="50" t="s">
        <v>6911</v>
      </c>
      <c r="E322" s="50" t="s">
        <v>6909</v>
      </c>
      <c r="F322" s="50" t="s">
        <v>5977</v>
      </c>
      <c r="G322" s="50"/>
      <c r="H322" s="50">
        <v>22</v>
      </c>
      <c r="I322" s="50" t="s">
        <v>8650</v>
      </c>
    </row>
    <row r="323" spans="2:9" ht="13.5">
      <c r="B323" s="48" t="s">
        <v>6463</v>
      </c>
      <c r="C323" s="48" t="s">
        <v>6464</v>
      </c>
      <c r="D323" s="50" t="s">
        <v>4502</v>
      </c>
      <c r="E323" s="50" t="s">
        <v>7351</v>
      </c>
      <c r="F323" s="50" t="s">
        <v>5977</v>
      </c>
      <c r="G323" s="50"/>
      <c r="H323" s="50">
        <v>23</v>
      </c>
      <c r="I323" s="50" t="s">
        <v>4501</v>
      </c>
    </row>
    <row r="324" spans="2:9" ht="13.5">
      <c r="B324" s="48" t="s">
        <v>6463</v>
      </c>
      <c r="C324" s="48" t="s">
        <v>6464</v>
      </c>
      <c r="D324" s="50" t="s">
        <v>7004</v>
      </c>
      <c r="E324" s="50" t="s">
        <v>6718</v>
      </c>
      <c r="F324" s="50" t="s">
        <v>5977</v>
      </c>
      <c r="G324" s="50"/>
      <c r="H324" s="50">
        <v>24</v>
      </c>
      <c r="I324" s="50" t="s">
        <v>2646</v>
      </c>
    </row>
    <row r="325" spans="2:9" ht="13.5">
      <c r="B325" s="48" t="s">
        <v>6463</v>
      </c>
      <c r="C325" s="48" t="s">
        <v>6464</v>
      </c>
      <c r="D325" s="50" t="s">
        <v>7005</v>
      </c>
      <c r="E325" s="50" t="s">
        <v>6688</v>
      </c>
      <c r="F325" s="50" t="s">
        <v>5977</v>
      </c>
      <c r="G325" s="50"/>
      <c r="H325" s="50">
        <v>25</v>
      </c>
      <c r="I325" s="50" t="s">
        <v>2589</v>
      </c>
    </row>
    <row r="326" spans="2:9" ht="13.5">
      <c r="B326" s="48" t="s">
        <v>6463</v>
      </c>
      <c r="C326" s="48" t="s">
        <v>6464</v>
      </c>
      <c r="D326" s="50" t="s">
        <v>7006</v>
      </c>
      <c r="E326" s="50" t="s">
        <v>6718</v>
      </c>
      <c r="F326" s="50" t="s">
        <v>5977</v>
      </c>
      <c r="G326" s="50"/>
      <c r="H326" s="50">
        <v>26</v>
      </c>
      <c r="I326" s="50" t="s">
        <v>5540</v>
      </c>
    </row>
    <row r="327" spans="2:9" ht="13.5">
      <c r="B327" s="48" t="s">
        <v>6463</v>
      </c>
      <c r="C327" s="48" t="s">
        <v>6464</v>
      </c>
      <c r="D327" s="50" t="s">
        <v>7007</v>
      </c>
      <c r="E327" s="50" t="s">
        <v>6688</v>
      </c>
      <c r="F327" s="50" t="s">
        <v>5977</v>
      </c>
      <c r="G327" s="50"/>
      <c r="H327" s="50">
        <v>27</v>
      </c>
      <c r="I327" s="50" t="s">
        <v>5521</v>
      </c>
    </row>
    <row r="328" spans="2:9" ht="13.5">
      <c r="B328" s="48" t="s">
        <v>6463</v>
      </c>
      <c r="C328" s="48" t="s">
        <v>6464</v>
      </c>
      <c r="D328" s="50" t="s">
        <v>8512</v>
      </c>
      <c r="E328" s="50" t="s">
        <v>8513</v>
      </c>
      <c r="F328" s="50" t="s">
        <v>5977</v>
      </c>
      <c r="G328" s="50"/>
      <c r="H328" s="50">
        <v>28</v>
      </c>
      <c r="I328" s="50" t="s">
        <v>8514</v>
      </c>
    </row>
    <row r="329" spans="2:9" ht="13.5">
      <c r="B329" s="48" t="s">
        <v>6463</v>
      </c>
      <c r="C329" s="48" t="s">
        <v>6464</v>
      </c>
      <c r="D329" s="50" t="s">
        <v>8651</v>
      </c>
      <c r="E329" s="50" t="s">
        <v>8652</v>
      </c>
      <c r="F329" s="50" t="s">
        <v>5977</v>
      </c>
      <c r="G329" s="50"/>
      <c r="H329" s="50">
        <v>29</v>
      </c>
      <c r="I329" s="50" t="s">
        <v>8653</v>
      </c>
    </row>
    <row r="331" spans="2:9" ht="13.5">
      <c r="B331" s="254" t="s">
        <v>8811</v>
      </c>
      <c r="C331" s="254" t="s">
        <v>8812</v>
      </c>
      <c r="D331" s="255" t="s">
        <v>8799</v>
      </c>
      <c r="E331" s="255" t="s">
        <v>8800</v>
      </c>
      <c r="F331" s="255" t="s">
        <v>5995</v>
      </c>
      <c r="G331" s="255"/>
      <c r="H331" s="255">
        <v>1</v>
      </c>
      <c r="I331" s="255" t="s">
        <v>8801</v>
      </c>
    </row>
    <row r="332" spans="2:9" ht="13.5">
      <c r="B332" s="254" t="s">
        <v>8811</v>
      </c>
      <c r="C332" s="254" t="s">
        <v>8812</v>
      </c>
      <c r="D332" s="255" t="s">
        <v>6589</v>
      </c>
      <c r="E332" s="255" t="s">
        <v>6590</v>
      </c>
      <c r="F332" s="255" t="s">
        <v>5995</v>
      </c>
      <c r="G332" s="255"/>
      <c r="H332" s="255">
        <v>2</v>
      </c>
      <c r="I332" s="255" t="s">
        <v>6101</v>
      </c>
    </row>
    <row r="333" spans="2:9" ht="13.5">
      <c r="B333" s="254" t="s">
        <v>8811</v>
      </c>
      <c r="C333" s="254" t="s">
        <v>8812</v>
      </c>
      <c r="D333" s="255" t="s">
        <v>6904</v>
      </c>
      <c r="E333" s="255" t="s">
        <v>6571</v>
      </c>
      <c r="F333" s="255" t="s">
        <v>5995</v>
      </c>
      <c r="G333" s="255"/>
      <c r="H333" s="255">
        <v>3</v>
      </c>
      <c r="I333" s="255" t="s">
        <v>6905</v>
      </c>
    </row>
    <row r="334" spans="2:9" ht="13.5">
      <c r="B334" s="48" t="s">
        <v>8811</v>
      </c>
      <c r="C334" s="48" t="s">
        <v>8812</v>
      </c>
      <c r="D334" s="50" t="s">
        <v>6902</v>
      </c>
      <c r="E334" s="50" t="s">
        <v>6903</v>
      </c>
      <c r="F334" s="50" t="s">
        <v>5977</v>
      </c>
      <c r="G334" s="50"/>
      <c r="H334" s="50">
        <v>4</v>
      </c>
      <c r="I334" s="50" t="s">
        <v>142</v>
      </c>
    </row>
    <row r="335" spans="2:9" ht="13.5">
      <c r="B335" s="48" t="s">
        <v>8811</v>
      </c>
      <c r="C335" s="48" t="s">
        <v>8812</v>
      </c>
      <c r="D335" s="50" t="s">
        <v>6906</v>
      </c>
      <c r="E335" s="50" t="s">
        <v>6907</v>
      </c>
      <c r="F335" s="50" t="s">
        <v>5977</v>
      </c>
      <c r="G335" s="50"/>
      <c r="H335" s="50">
        <v>5</v>
      </c>
      <c r="I335" s="50" t="s">
        <v>549</v>
      </c>
    </row>
    <row r="336" spans="2:9" ht="13.5">
      <c r="B336" s="48" t="s">
        <v>8811</v>
      </c>
      <c r="C336" s="48" t="s">
        <v>8812</v>
      </c>
      <c r="D336" s="50" t="s">
        <v>8802</v>
      </c>
      <c r="E336" s="50" t="s">
        <v>8803</v>
      </c>
      <c r="F336" s="50" t="s">
        <v>5977</v>
      </c>
      <c r="G336" s="50"/>
      <c r="H336" s="50">
        <v>6</v>
      </c>
      <c r="I336" s="50" t="s">
        <v>4514</v>
      </c>
    </row>
    <row r="337" spans="2:11" ht="13.5">
      <c r="B337" s="48" t="s">
        <v>8811</v>
      </c>
      <c r="C337" s="48" t="s">
        <v>8812</v>
      </c>
      <c r="D337" s="50" t="s">
        <v>8804</v>
      </c>
      <c r="E337" s="50" t="s">
        <v>8805</v>
      </c>
      <c r="F337" s="50" t="s">
        <v>5977</v>
      </c>
      <c r="G337" s="50"/>
      <c r="H337" s="50">
        <v>7</v>
      </c>
      <c r="I337" s="50" t="s">
        <v>8806</v>
      </c>
    </row>
    <row r="338" spans="2:11" ht="13.5">
      <c r="B338" s="48" t="s">
        <v>8811</v>
      </c>
      <c r="C338" s="48" t="s">
        <v>8812</v>
      </c>
      <c r="D338" s="50" t="s">
        <v>8807</v>
      </c>
      <c r="E338" s="50" t="s">
        <v>8805</v>
      </c>
      <c r="F338" s="50" t="s">
        <v>5977</v>
      </c>
      <c r="G338" s="50"/>
      <c r="H338" s="50">
        <v>8</v>
      </c>
      <c r="I338" s="50" t="s">
        <v>8808</v>
      </c>
    </row>
    <row r="339" spans="2:11" ht="13.5">
      <c r="B339" s="48" t="s">
        <v>8811</v>
      </c>
      <c r="C339" s="48" t="s">
        <v>8812</v>
      </c>
      <c r="D339" s="50" t="s">
        <v>8809</v>
      </c>
      <c r="E339" s="50" t="s">
        <v>8805</v>
      </c>
      <c r="F339" s="50" t="s">
        <v>5977</v>
      </c>
      <c r="G339" s="50"/>
      <c r="H339" s="50">
        <v>9</v>
      </c>
      <c r="I339" s="50" t="s">
        <v>8810</v>
      </c>
    </row>
    <row r="340" spans="2:11" ht="13.5">
      <c r="B340" s="48" t="s">
        <v>8811</v>
      </c>
      <c r="C340" s="48" t="s">
        <v>8812</v>
      </c>
      <c r="D340" s="50" t="s">
        <v>8861</v>
      </c>
      <c r="E340" s="50" t="s">
        <v>8805</v>
      </c>
      <c r="F340" s="50" t="s">
        <v>5977</v>
      </c>
      <c r="G340" s="50"/>
      <c r="H340" s="50">
        <v>9</v>
      </c>
      <c r="I340" s="50" t="s">
        <v>8874</v>
      </c>
    </row>
    <row r="341" spans="2:11" ht="13.5">
      <c r="B341" s="48" t="s">
        <v>8811</v>
      </c>
      <c r="C341" s="48" t="s">
        <v>8812</v>
      </c>
      <c r="D341" s="50" t="s">
        <v>7004</v>
      </c>
      <c r="E341" s="50" t="s">
        <v>6718</v>
      </c>
      <c r="F341" s="50" t="s">
        <v>5977</v>
      </c>
      <c r="G341" s="50"/>
      <c r="H341" s="50">
        <v>10</v>
      </c>
      <c r="I341" s="50" t="s">
        <v>2646</v>
      </c>
    </row>
    <row r="342" spans="2:11" ht="13.5">
      <c r="B342" s="48" t="s">
        <v>8811</v>
      </c>
      <c r="C342" s="48" t="s">
        <v>8812</v>
      </c>
      <c r="D342" s="50" t="s">
        <v>7005</v>
      </c>
      <c r="E342" s="50" t="s">
        <v>6688</v>
      </c>
      <c r="F342" s="50" t="s">
        <v>5977</v>
      </c>
      <c r="G342" s="50"/>
      <c r="H342" s="50">
        <v>11</v>
      </c>
      <c r="I342" s="50" t="s">
        <v>2589</v>
      </c>
    </row>
    <row r="343" spans="2:11" ht="13.5">
      <c r="B343" s="48" t="s">
        <v>8811</v>
      </c>
      <c r="C343" s="48" t="s">
        <v>8812</v>
      </c>
      <c r="D343" s="50" t="s">
        <v>7006</v>
      </c>
      <c r="E343" s="50" t="s">
        <v>6718</v>
      </c>
      <c r="F343" s="50" t="s">
        <v>5977</v>
      </c>
      <c r="G343" s="50"/>
      <c r="H343" s="50">
        <v>12</v>
      </c>
      <c r="I343" s="50" t="s">
        <v>5540</v>
      </c>
    </row>
    <row r="344" spans="2:11" ht="13.5">
      <c r="B344" s="48" t="s">
        <v>8811</v>
      </c>
      <c r="C344" s="48" t="s">
        <v>8812</v>
      </c>
      <c r="D344" s="50" t="s">
        <v>7007</v>
      </c>
      <c r="E344" s="50" t="s">
        <v>6688</v>
      </c>
      <c r="F344" s="50" t="s">
        <v>5977</v>
      </c>
      <c r="G344" s="50"/>
      <c r="H344" s="50">
        <v>13</v>
      </c>
      <c r="I344" s="50" t="s">
        <v>5521</v>
      </c>
    </row>
    <row r="346" spans="2:11" ht="13.5">
      <c r="B346" s="254" t="s">
        <v>8869</v>
      </c>
      <c r="C346" s="254" t="s">
        <v>8870</v>
      </c>
      <c r="D346" s="255" t="s">
        <v>8799</v>
      </c>
      <c r="E346" s="255" t="s">
        <v>8800</v>
      </c>
      <c r="F346" s="255" t="s">
        <v>5995</v>
      </c>
      <c r="G346" s="255"/>
      <c r="H346" s="255">
        <v>1</v>
      </c>
      <c r="I346" s="255" t="s">
        <v>8801</v>
      </c>
      <c r="J346" s="49" t="s">
        <v>8799</v>
      </c>
      <c r="K346" s="49">
        <f>IF(D346=J346,0,1)</f>
        <v>0</v>
      </c>
    </row>
    <row r="347" spans="2:11" ht="13.5">
      <c r="B347" s="254" t="s">
        <v>8869</v>
      </c>
      <c r="C347" s="254" t="s">
        <v>8870</v>
      </c>
      <c r="D347" s="255" t="s">
        <v>2800</v>
      </c>
      <c r="E347" s="255" t="s">
        <v>6500</v>
      </c>
      <c r="F347" s="255" t="s">
        <v>5995</v>
      </c>
      <c r="G347" s="255"/>
      <c r="H347" s="255">
        <v>2</v>
      </c>
      <c r="I347" s="255" t="s">
        <v>2799</v>
      </c>
      <c r="J347" s="49" t="s">
        <v>2800</v>
      </c>
      <c r="K347" s="49">
        <f t="shared" ref="K347:K385" si="0">IF(D347=J347,0,1)</f>
        <v>0</v>
      </c>
    </row>
    <row r="348" spans="2:11" ht="13.5">
      <c r="B348" s="254" t="s">
        <v>8869</v>
      </c>
      <c r="C348" s="254" t="s">
        <v>8870</v>
      </c>
      <c r="D348" s="255" t="s">
        <v>6591</v>
      </c>
      <c r="E348" s="255" t="s">
        <v>6498</v>
      </c>
      <c r="F348" s="255" t="s">
        <v>5995</v>
      </c>
      <c r="G348" s="255"/>
      <c r="H348" s="255">
        <v>3</v>
      </c>
      <c r="I348" s="255" t="s">
        <v>8828</v>
      </c>
      <c r="J348" s="49" t="s">
        <v>6591</v>
      </c>
      <c r="K348" s="49">
        <f t="shared" si="0"/>
        <v>0</v>
      </c>
    </row>
    <row r="349" spans="2:11" ht="13.5">
      <c r="B349" s="254" t="s">
        <v>8869</v>
      </c>
      <c r="C349" s="254" t="s">
        <v>8870</v>
      </c>
      <c r="D349" s="255" t="s">
        <v>4997</v>
      </c>
      <c r="E349" s="255" t="s">
        <v>6721</v>
      </c>
      <c r="F349" s="255" t="s">
        <v>5995</v>
      </c>
      <c r="G349" s="255"/>
      <c r="H349" s="255">
        <v>4</v>
      </c>
      <c r="I349" s="255" t="s">
        <v>4996</v>
      </c>
      <c r="J349" s="49" t="s">
        <v>4997</v>
      </c>
      <c r="K349" s="49">
        <f t="shared" si="0"/>
        <v>0</v>
      </c>
    </row>
    <row r="350" spans="2:11" ht="13.5">
      <c r="B350" s="48" t="s">
        <v>8869</v>
      </c>
      <c r="C350" s="48" t="s">
        <v>8870</v>
      </c>
      <c r="D350" s="50" t="s">
        <v>6904</v>
      </c>
      <c r="E350" s="50" t="s">
        <v>6571</v>
      </c>
      <c r="F350" s="50" t="s">
        <v>5977</v>
      </c>
      <c r="G350" s="50"/>
      <c r="H350" s="50">
        <v>5</v>
      </c>
      <c r="I350" s="50" t="s">
        <v>8829</v>
      </c>
      <c r="J350" s="49" t="s">
        <v>6904</v>
      </c>
      <c r="K350" s="49">
        <f t="shared" si="0"/>
        <v>0</v>
      </c>
    </row>
    <row r="351" spans="2:11" ht="13.5">
      <c r="B351" s="48" t="s">
        <v>8869</v>
      </c>
      <c r="C351" s="48" t="s">
        <v>8870</v>
      </c>
      <c r="D351" s="50" t="s">
        <v>6906</v>
      </c>
      <c r="E351" s="50" t="s">
        <v>6907</v>
      </c>
      <c r="F351" s="50" t="s">
        <v>5977</v>
      </c>
      <c r="G351" s="50"/>
      <c r="H351" s="50">
        <v>6</v>
      </c>
      <c r="I351" s="50" t="s">
        <v>8830</v>
      </c>
      <c r="J351" s="49" t="s">
        <v>6906</v>
      </c>
      <c r="K351" s="49">
        <f t="shared" si="0"/>
        <v>0</v>
      </c>
    </row>
    <row r="352" spans="2:11" ht="13.5">
      <c r="B352" s="48" t="s">
        <v>8869</v>
      </c>
      <c r="C352" s="48" t="s">
        <v>8870</v>
      </c>
      <c r="D352" s="50" t="s">
        <v>6600</v>
      </c>
      <c r="E352" s="50" t="s">
        <v>6697</v>
      </c>
      <c r="F352" s="50" t="s">
        <v>5977</v>
      </c>
      <c r="G352" s="50"/>
      <c r="H352" s="50">
        <v>7</v>
      </c>
      <c r="I352" s="50" t="s">
        <v>8831</v>
      </c>
      <c r="J352" s="49" t="s">
        <v>6600</v>
      </c>
      <c r="K352" s="49">
        <f t="shared" si="0"/>
        <v>0</v>
      </c>
    </row>
    <row r="353" spans="2:11" ht="13.5">
      <c r="B353" s="48" t="s">
        <v>8869</v>
      </c>
      <c r="C353" s="48" t="s">
        <v>8870</v>
      </c>
      <c r="D353" s="50" t="s">
        <v>6908</v>
      </c>
      <c r="E353" s="50" t="s">
        <v>6909</v>
      </c>
      <c r="F353" s="50" t="s">
        <v>5977</v>
      </c>
      <c r="G353" s="50"/>
      <c r="H353" s="50">
        <v>8</v>
      </c>
      <c r="I353" s="50" t="s">
        <v>8832</v>
      </c>
      <c r="J353" s="49" t="s">
        <v>6908</v>
      </c>
      <c r="K353" s="49">
        <f t="shared" si="0"/>
        <v>0</v>
      </c>
    </row>
    <row r="354" spans="2:11" ht="13.5">
      <c r="B354" s="48" t="s">
        <v>8869</v>
      </c>
      <c r="C354" s="48" t="s">
        <v>8870</v>
      </c>
      <c r="D354" s="50" t="s">
        <v>6601</v>
      </c>
      <c r="E354" s="50" t="s">
        <v>6697</v>
      </c>
      <c r="F354" s="50" t="s">
        <v>5977</v>
      </c>
      <c r="G354" s="50"/>
      <c r="H354" s="50">
        <v>9</v>
      </c>
      <c r="I354" s="50" t="s">
        <v>8833</v>
      </c>
      <c r="J354" s="49" t="s">
        <v>6601</v>
      </c>
      <c r="K354" s="49">
        <f t="shared" si="0"/>
        <v>0</v>
      </c>
    </row>
    <row r="355" spans="2:11" ht="13.5">
      <c r="B355" s="48" t="s">
        <v>8869</v>
      </c>
      <c r="C355" s="48" t="s">
        <v>8870</v>
      </c>
      <c r="D355" s="50" t="s">
        <v>6911</v>
      </c>
      <c r="E355" s="50" t="s">
        <v>6909</v>
      </c>
      <c r="F355" s="50" t="s">
        <v>5977</v>
      </c>
      <c r="G355" s="50"/>
      <c r="H355" s="50">
        <v>10</v>
      </c>
      <c r="I355" s="50" t="s">
        <v>8834</v>
      </c>
      <c r="J355" s="49" t="s">
        <v>6911</v>
      </c>
      <c r="K355" s="49">
        <f t="shared" si="0"/>
        <v>0</v>
      </c>
    </row>
    <row r="356" spans="2:11" ht="13.5">
      <c r="B356" s="48" t="s">
        <v>8869</v>
      </c>
      <c r="C356" s="48" t="s">
        <v>8870</v>
      </c>
      <c r="D356" s="50" t="s">
        <v>6685</v>
      </c>
      <c r="E356" s="50" t="s">
        <v>6697</v>
      </c>
      <c r="F356" s="50" t="s">
        <v>5977</v>
      </c>
      <c r="G356" s="50"/>
      <c r="H356" s="50">
        <v>11</v>
      </c>
      <c r="I356" s="50" t="s">
        <v>8835</v>
      </c>
      <c r="J356" s="49" t="s">
        <v>6685</v>
      </c>
      <c r="K356" s="49">
        <f t="shared" si="0"/>
        <v>0</v>
      </c>
    </row>
    <row r="357" spans="2:11" ht="13.5">
      <c r="B357" s="48" t="s">
        <v>8869</v>
      </c>
      <c r="C357" s="48" t="s">
        <v>8870</v>
      </c>
      <c r="D357" s="50" t="s">
        <v>6913</v>
      </c>
      <c r="E357" s="50" t="s">
        <v>6909</v>
      </c>
      <c r="F357" s="50" t="s">
        <v>5977</v>
      </c>
      <c r="G357" s="50"/>
      <c r="H357" s="50">
        <v>12</v>
      </c>
      <c r="I357" s="50" t="s">
        <v>8836</v>
      </c>
      <c r="J357" s="49" t="s">
        <v>6913</v>
      </c>
      <c r="K357" s="49">
        <f t="shared" si="0"/>
        <v>0</v>
      </c>
    </row>
    <row r="358" spans="2:11" ht="13.5">
      <c r="B358" s="48" t="s">
        <v>8869</v>
      </c>
      <c r="C358" s="48" t="s">
        <v>8870</v>
      </c>
      <c r="D358" s="50" t="s">
        <v>7141</v>
      </c>
      <c r="E358" s="50" t="s">
        <v>6697</v>
      </c>
      <c r="F358" s="50" t="s">
        <v>5977</v>
      </c>
      <c r="G358" s="50"/>
      <c r="H358" s="50">
        <v>13</v>
      </c>
      <c r="I358" s="50" t="s">
        <v>8837</v>
      </c>
      <c r="J358" s="49" t="s">
        <v>7141</v>
      </c>
      <c r="K358" s="49">
        <f t="shared" si="0"/>
        <v>0</v>
      </c>
    </row>
    <row r="359" spans="2:11" ht="13.5">
      <c r="B359" s="48" t="s">
        <v>8869</v>
      </c>
      <c r="C359" s="48" t="s">
        <v>8870</v>
      </c>
      <c r="D359" s="50" t="s">
        <v>8838</v>
      </c>
      <c r="E359" s="50" t="s">
        <v>6909</v>
      </c>
      <c r="F359" s="50" t="s">
        <v>5977</v>
      </c>
      <c r="G359" s="50"/>
      <c r="H359" s="50">
        <v>14</v>
      </c>
      <c r="I359" s="50" t="s">
        <v>7147</v>
      </c>
      <c r="J359" s="49" t="s">
        <v>8838</v>
      </c>
      <c r="K359" s="49">
        <f t="shared" si="0"/>
        <v>0</v>
      </c>
    </row>
    <row r="360" spans="2:11" ht="13.5">
      <c r="B360" s="48" t="s">
        <v>8869</v>
      </c>
      <c r="C360" s="48" t="s">
        <v>8870</v>
      </c>
      <c r="D360" s="50" t="s">
        <v>7152</v>
      </c>
      <c r="E360" s="50" t="s">
        <v>6590</v>
      </c>
      <c r="F360" s="50" t="s">
        <v>5977</v>
      </c>
      <c r="G360" s="50"/>
      <c r="H360" s="50">
        <v>15</v>
      </c>
      <c r="I360" s="50" t="s">
        <v>7153</v>
      </c>
      <c r="J360" s="49" t="s">
        <v>7152</v>
      </c>
      <c r="K360" s="49">
        <f t="shared" si="0"/>
        <v>0</v>
      </c>
    </row>
    <row r="361" spans="2:11" ht="13.5">
      <c r="B361" s="48" t="s">
        <v>8869</v>
      </c>
      <c r="C361" s="48" t="s">
        <v>8870</v>
      </c>
      <c r="D361" s="50" t="s">
        <v>6921</v>
      </c>
      <c r="E361" s="50" t="s">
        <v>6688</v>
      </c>
      <c r="F361" s="50" t="s">
        <v>5977</v>
      </c>
      <c r="G361" s="50"/>
      <c r="H361" s="50">
        <v>16</v>
      </c>
      <c r="I361" s="50" t="s">
        <v>6922</v>
      </c>
      <c r="J361" s="49" t="s">
        <v>6921</v>
      </c>
      <c r="K361" s="49">
        <f t="shared" si="0"/>
        <v>0</v>
      </c>
    </row>
    <row r="362" spans="2:11" s="90" customFormat="1" ht="13.5">
      <c r="B362" s="88" t="s">
        <v>8869</v>
      </c>
      <c r="C362" s="88" t="s">
        <v>8870</v>
      </c>
      <c r="D362" s="89" t="s">
        <v>8839</v>
      </c>
      <c r="E362" s="89" t="s">
        <v>6571</v>
      </c>
      <c r="F362" s="89" t="s">
        <v>5977</v>
      </c>
      <c r="G362" s="89"/>
      <c r="H362" s="89">
        <v>17</v>
      </c>
      <c r="I362" s="89" t="s">
        <v>8840</v>
      </c>
      <c r="J362" s="90" t="s">
        <v>8885</v>
      </c>
      <c r="K362" s="90">
        <f t="shared" si="0"/>
        <v>1</v>
      </c>
    </row>
    <row r="363" spans="2:11" s="90" customFormat="1" ht="13.5">
      <c r="B363" s="88" t="s">
        <v>8869</v>
      </c>
      <c r="C363" s="88" t="s">
        <v>8870</v>
      </c>
      <c r="D363" s="89" t="s">
        <v>8841</v>
      </c>
      <c r="E363" s="89" t="s">
        <v>6907</v>
      </c>
      <c r="F363" s="89" t="s">
        <v>5977</v>
      </c>
      <c r="G363" s="89"/>
      <c r="H363" s="89">
        <v>18</v>
      </c>
      <c r="I363" s="89" t="s">
        <v>7367</v>
      </c>
      <c r="J363" s="90" t="s">
        <v>7380</v>
      </c>
      <c r="K363" s="90">
        <f t="shared" si="0"/>
        <v>1</v>
      </c>
    </row>
    <row r="364" spans="2:11" s="90" customFormat="1" ht="13.5">
      <c r="B364" s="88" t="s">
        <v>8869</v>
      </c>
      <c r="C364" s="88" t="s">
        <v>8870</v>
      </c>
      <c r="D364" s="89" t="s">
        <v>8842</v>
      </c>
      <c r="E364" s="89" t="s">
        <v>6697</v>
      </c>
      <c r="F364" s="89" t="s">
        <v>5977</v>
      </c>
      <c r="G364" s="89"/>
      <c r="H364" s="89">
        <v>19</v>
      </c>
      <c r="I364" s="89" t="s">
        <v>8843</v>
      </c>
      <c r="J364" s="90" t="s">
        <v>8886</v>
      </c>
      <c r="K364" s="90">
        <f t="shared" si="0"/>
        <v>1</v>
      </c>
    </row>
    <row r="365" spans="2:11" s="90" customFormat="1" ht="13.5">
      <c r="B365" s="88" t="s">
        <v>8869</v>
      </c>
      <c r="C365" s="88" t="s">
        <v>8870</v>
      </c>
      <c r="D365" s="89" t="s">
        <v>8844</v>
      </c>
      <c r="E365" s="89" t="s">
        <v>6909</v>
      </c>
      <c r="F365" s="89" t="s">
        <v>5977</v>
      </c>
      <c r="G365" s="89"/>
      <c r="H365" s="89">
        <v>20</v>
      </c>
      <c r="I365" s="89" t="s">
        <v>8845</v>
      </c>
      <c r="J365" s="90" t="s">
        <v>8887</v>
      </c>
      <c r="K365" s="90">
        <f t="shared" si="0"/>
        <v>1</v>
      </c>
    </row>
    <row r="366" spans="2:11" s="90" customFormat="1" ht="13.5">
      <c r="B366" s="88" t="s">
        <v>8869</v>
      </c>
      <c r="C366" s="88" t="s">
        <v>8870</v>
      </c>
      <c r="D366" s="89" t="s">
        <v>8846</v>
      </c>
      <c r="E366" s="89" t="s">
        <v>6697</v>
      </c>
      <c r="F366" s="89" t="s">
        <v>5977</v>
      </c>
      <c r="G366" s="89"/>
      <c r="H366" s="89">
        <v>21</v>
      </c>
      <c r="I366" s="89" t="s">
        <v>8847</v>
      </c>
      <c r="J366" s="90" t="s">
        <v>8888</v>
      </c>
      <c r="K366" s="90">
        <f t="shared" si="0"/>
        <v>1</v>
      </c>
    </row>
    <row r="367" spans="2:11" s="90" customFormat="1" ht="13.5">
      <c r="B367" s="88" t="s">
        <v>8869</v>
      </c>
      <c r="C367" s="88" t="s">
        <v>8870</v>
      </c>
      <c r="D367" s="89" t="s">
        <v>8848</v>
      </c>
      <c r="E367" s="89" t="s">
        <v>6909</v>
      </c>
      <c r="F367" s="89" t="s">
        <v>5977</v>
      </c>
      <c r="G367" s="89"/>
      <c r="H367" s="89">
        <v>22</v>
      </c>
      <c r="I367" s="89" t="s">
        <v>8849</v>
      </c>
      <c r="J367" s="90" t="s">
        <v>7381</v>
      </c>
      <c r="K367" s="90">
        <f t="shared" si="0"/>
        <v>1</v>
      </c>
    </row>
    <row r="368" spans="2:11" s="90" customFormat="1" ht="13.5">
      <c r="B368" s="88" t="s">
        <v>8869</v>
      </c>
      <c r="C368" s="88" t="s">
        <v>8870</v>
      </c>
      <c r="D368" s="89" t="s">
        <v>8850</v>
      </c>
      <c r="E368" s="89" t="s">
        <v>6697</v>
      </c>
      <c r="F368" s="89" t="s">
        <v>5977</v>
      </c>
      <c r="G368" s="89"/>
      <c r="H368" s="89">
        <v>23</v>
      </c>
      <c r="I368" s="89" t="s">
        <v>8851</v>
      </c>
      <c r="J368" s="90" t="s">
        <v>8889</v>
      </c>
      <c r="K368" s="90">
        <f t="shared" si="0"/>
        <v>1</v>
      </c>
    </row>
    <row r="369" spans="2:11" s="90" customFormat="1" ht="13.5">
      <c r="B369" s="88" t="s">
        <v>8869</v>
      </c>
      <c r="C369" s="88" t="s">
        <v>8870</v>
      </c>
      <c r="D369" s="89" t="s">
        <v>8852</v>
      </c>
      <c r="E369" s="89" t="s">
        <v>6909</v>
      </c>
      <c r="F369" s="89" t="s">
        <v>5977</v>
      </c>
      <c r="G369" s="89"/>
      <c r="H369" s="89">
        <v>24</v>
      </c>
      <c r="I369" s="89" t="s">
        <v>8853</v>
      </c>
      <c r="J369" s="90" t="s">
        <v>7383</v>
      </c>
      <c r="K369" s="90">
        <f t="shared" si="0"/>
        <v>1</v>
      </c>
    </row>
    <row r="370" spans="2:11" ht="13.5">
      <c r="B370" s="48" t="s">
        <v>8869</v>
      </c>
      <c r="C370" s="48" t="s">
        <v>8870</v>
      </c>
      <c r="D370" s="50" t="s">
        <v>6589</v>
      </c>
      <c r="E370" s="50" t="s">
        <v>6590</v>
      </c>
      <c r="F370" s="50" t="s">
        <v>5977</v>
      </c>
      <c r="G370" s="50"/>
      <c r="H370" s="50">
        <v>25</v>
      </c>
      <c r="I370" s="50" t="s">
        <v>8854</v>
      </c>
      <c r="J370" s="49" t="s">
        <v>6589</v>
      </c>
      <c r="K370" s="49">
        <f t="shared" si="0"/>
        <v>0</v>
      </c>
    </row>
    <row r="371" spans="2:11" ht="13.5">
      <c r="B371" s="48" t="s">
        <v>8869</v>
      </c>
      <c r="C371" s="48" t="s">
        <v>8870</v>
      </c>
      <c r="D371" s="50" t="s">
        <v>7311</v>
      </c>
      <c r="E371" s="50" t="s">
        <v>6688</v>
      </c>
      <c r="F371" s="50" t="s">
        <v>5977</v>
      </c>
      <c r="G371" s="50"/>
      <c r="H371" s="50">
        <v>26</v>
      </c>
      <c r="I371" s="50" t="s">
        <v>8855</v>
      </c>
      <c r="J371" s="49" t="s">
        <v>7311</v>
      </c>
      <c r="K371" s="49">
        <f t="shared" si="0"/>
        <v>0</v>
      </c>
    </row>
    <row r="372" spans="2:11" ht="13.5">
      <c r="B372" s="48" t="s">
        <v>8869</v>
      </c>
      <c r="C372" s="48" t="s">
        <v>8870</v>
      </c>
      <c r="D372" s="50" t="s">
        <v>7313</v>
      </c>
      <c r="E372" s="50" t="s">
        <v>6688</v>
      </c>
      <c r="F372" s="50" t="s">
        <v>5977</v>
      </c>
      <c r="G372" s="50"/>
      <c r="H372" s="50">
        <v>27</v>
      </c>
      <c r="I372" s="50" t="s">
        <v>8856</v>
      </c>
      <c r="J372" s="49" t="s">
        <v>7313</v>
      </c>
      <c r="K372" s="49">
        <f t="shared" si="0"/>
        <v>0</v>
      </c>
    </row>
    <row r="373" spans="2:11" ht="13.5">
      <c r="B373" s="48" t="s">
        <v>8869</v>
      </c>
      <c r="C373" s="48" t="s">
        <v>8870</v>
      </c>
      <c r="D373" s="50" t="s">
        <v>8857</v>
      </c>
      <c r="E373" s="50" t="s">
        <v>6590</v>
      </c>
      <c r="F373" s="50" t="s">
        <v>5977</v>
      </c>
      <c r="G373" s="50"/>
      <c r="H373" s="50">
        <v>28</v>
      </c>
      <c r="I373" s="50" t="s">
        <v>8858</v>
      </c>
      <c r="J373" s="49" t="s">
        <v>8857</v>
      </c>
      <c r="K373" s="49">
        <f t="shared" si="0"/>
        <v>0</v>
      </c>
    </row>
    <row r="374" spans="2:11" ht="13.5">
      <c r="B374" s="48" t="s">
        <v>8869</v>
      </c>
      <c r="C374" s="48" t="s">
        <v>8870</v>
      </c>
      <c r="D374" s="50" t="s">
        <v>6935</v>
      </c>
      <c r="E374" s="50" t="s">
        <v>6688</v>
      </c>
      <c r="F374" s="50" t="s">
        <v>5977</v>
      </c>
      <c r="G374" s="50"/>
      <c r="H374" s="50">
        <v>29</v>
      </c>
      <c r="I374" s="50" t="s">
        <v>8859</v>
      </c>
      <c r="J374" s="49" t="s">
        <v>6935</v>
      </c>
      <c r="K374" s="49">
        <f t="shared" si="0"/>
        <v>0</v>
      </c>
    </row>
    <row r="375" spans="2:11" ht="13.5">
      <c r="B375" s="48" t="s">
        <v>8869</v>
      </c>
      <c r="C375" s="48" t="s">
        <v>8870</v>
      </c>
      <c r="D375" s="50" t="s">
        <v>2413</v>
      </c>
      <c r="E375" s="50" t="s">
        <v>6721</v>
      </c>
      <c r="F375" s="50" t="s">
        <v>5977</v>
      </c>
      <c r="G375" s="50"/>
      <c r="H375" s="50">
        <v>30</v>
      </c>
      <c r="I375" s="50" t="s">
        <v>2412</v>
      </c>
      <c r="J375" s="49" t="s">
        <v>2413</v>
      </c>
      <c r="K375" s="49">
        <f t="shared" si="0"/>
        <v>0</v>
      </c>
    </row>
    <row r="376" spans="2:11" ht="13.5">
      <c r="B376" s="48" t="s">
        <v>8869</v>
      </c>
      <c r="C376" s="48" t="s">
        <v>8870</v>
      </c>
      <c r="D376" s="50" t="s">
        <v>8802</v>
      </c>
      <c r="E376" s="50" t="s">
        <v>8803</v>
      </c>
      <c r="F376" s="50" t="s">
        <v>5977</v>
      </c>
      <c r="G376" s="50"/>
      <c r="H376" s="50">
        <v>31</v>
      </c>
      <c r="I376" s="50" t="s">
        <v>8860</v>
      </c>
      <c r="J376" s="49" t="s">
        <v>8802</v>
      </c>
      <c r="K376" s="49">
        <f t="shared" si="0"/>
        <v>0</v>
      </c>
    </row>
    <row r="377" spans="2:11" ht="13.5">
      <c r="B377" s="48" t="s">
        <v>8869</v>
      </c>
      <c r="C377" s="48" t="s">
        <v>8870</v>
      </c>
      <c r="D377" s="50" t="s">
        <v>6983</v>
      </c>
      <c r="E377" s="50" t="s">
        <v>6710</v>
      </c>
      <c r="F377" s="50" t="s">
        <v>5977</v>
      </c>
      <c r="G377" s="50"/>
      <c r="H377" s="50">
        <v>34</v>
      </c>
      <c r="I377" s="50" t="s">
        <v>8862</v>
      </c>
      <c r="J377" s="49" t="s">
        <v>6983</v>
      </c>
      <c r="K377" s="49">
        <f t="shared" si="0"/>
        <v>0</v>
      </c>
    </row>
    <row r="378" spans="2:11" ht="13.5">
      <c r="B378" s="48" t="s">
        <v>8869</v>
      </c>
      <c r="C378" s="48" t="s">
        <v>8870</v>
      </c>
      <c r="D378" s="50" t="s">
        <v>8863</v>
      </c>
      <c r="E378" s="50" t="s">
        <v>6710</v>
      </c>
      <c r="F378" s="50" t="s">
        <v>5977</v>
      </c>
      <c r="G378" s="50"/>
      <c r="H378" s="50">
        <v>35</v>
      </c>
      <c r="I378" s="50" t="s">
        <v>8864</v>
      </c>
      <c r="J378" s="49" t="s">
        <v>8863</v>
      </c>
      <c r="K378" s="49">
        <f t="shared" si="0"/>
        <v>0</v>
      </c>
    </row>
    <row r="379" spans="2:11" s="90" customFormat="1" ht="13.5">
      <c r="B379" s="88" t="s">
        <v>8869</v>
      </c>
      <c r="C379" s="88" t="s">
        <v>8870</v>
      </c>
      <c r="D379" s="89" t="s">
        <v>8865</v>
      </c>
      <c r="E379" s="89" t="s">
        <v>6710</v>
      </c>
      <c r="F379" s="89" t="s">
        <v>5977</v>
      </c>
      <c r="G379" s="89"/>
      <c r="H379" s="89">
        <v>36</v>
      </c>
      <c r="I379" s="89" t="s">
        <v>6520</v>
      </c>
      <c r="J379" s="90" t="s">
        <v>8890</v>
      </c>
      <c r="K379" s="90">
        <f t="shared" si="0"/>
        <v>1</v>
      </c>
    </row>
    <row r="380" spans="2:11" s="90" customFormat="1" ht="13.5">
      <c r="B380" s="88" t="s">
        <v>8869</v>
      </c>
      <c r="C380" s="88" t="s">
        <v>8870</v>
      </c>
      <c r="D380" s="89" t="s">
        <v>8866</v>
      </c>
      <c r="E380" s="89" t="s">
        <v>6710</v>
      </c>
      <c r="F380" s="89" t="s">
        <v>5977</v>
      </c>
      <c r="G380" s="89"/>
      <c r="H380" s="89">
        <v>37</v>
      </c>
      <c r="I380" s="89" t="s">
        <v>8867</v>
      </c>
      <c r="J380" s="90" t="s">
        <v>8891</v>
      </c>
      <c r="K380" s="90">
        <f t="shared" si="0"/>
        <v>1</v>
      </c>
    </row>
    <row r="381" spans="2:11" ht="13.5">
      <c r="B381" s="48" t="s">
        <v>8869</v>
      </c>
      <c r="C381" s="48" t="s">
        <v>8870</v>
      </c>
      <c r="D381" s="50" t="s">
        <v>6980</v>
      </c>
      <c r="E381" s="50" t="s">
        <v>6710</v>
      </c>
      <c r="F381" s="50" t="s">
        <v>5977</v>
      </c>
      <c r="G381" s="50"/>
      <c r="H381" s="50">
        <v>38</v>
      </c>
      <c r="I381" s="50" t="s">
        <v>8410</v>
      </c>
      <c r="J381" s="49" t="s">
        <v>6980</v>
      </c>
      <c r="K381" s="49">
        <f t="shared" si="0"/>
        <v>0</v>
      </c>
    </row>
    <row r="382" spans="2:11" ht="13.5">
      <c r="B382" s="48" t="s">
        <v>8869</v>
      </c>
      <c r="C382" s="48" t="s">
        <v>8870</v>
      </c>
      <c r="D382" s="50" t="s">
        <v>7004</v>
      </c>
      <c r="E382" s="50" t="s">
        <v>6718</v>
      </c>
      <c r="F382" s="50" t="s">
        <v>5977</v>
      </c>
      <c r="G382" s="50"/>
      <c r="H382" s="50">
        <v>39</v>
      </c>
      <c r="I382" s="50" t="s">
        <v>2646</v>
      </c>
      <c r="J382" s="49" t="s">
        <v>7004</v>
      </c>
      <c r="K382" s="49">
        <f t="shared" si="0"/>
        <v>0</v>
      </c>
    </row>
    <row r="383" spans="2:11" ht="13.5">
      <c r="B383" s="48" t="s">
        <v>8869</v>
      </c>
      <c r="C383" s="48" t="s">
        <v>8870</v>
      </c>
      <c r="D383" s="50" t="s">
        <v>7005</v>
      </c>
      <c r="E383" s="50" t="s">
        <v>6688</v>
      </c>
      <c r="F383" s="50" t="s">
        <v>5977</v>
      </c>
      <c r="G383" s="50"/>
      <c r="H383" s="50">
        <v>40</v>
      </c>
      <c r="I383" s="50" t="s">
        <v>2589</v>
      </c>
      <c r="J383" s="49" t="s">
        <v>7005</v>
      </c>
      <c r="K383" s="49">
        <f t="shared" si="0"/>
        <v>0</v>
      </c>
    </row>
    <row r="384" spans="2:11" ht="13.5">
      <c r="B384" s="48" t="s">
        <v>8869</v>
      </c>
      <c r="C384" s="48" t="s">
        <v>8870</v>
      </c>
      <c r="D384" s="50" t="s">
        <v>7006</v>
      </c>
      <c r="E384" s="50" t="s">
        <v>6718</v>
      </c>
      <c r="F384" s="50" t="s">
        <v>5977</v>
      </c>
      <c r="G384" s="50"/>
      <c r="H384" s="50">
        <v>41</v>
      </c>
      <c r="I384" s="50" t="s">
        <v>5540</v>
      </c>
      <c r="J384" s="49" t="s">
        <v>7006</v>
      </c>
      <c r="K384" s="49">
        <f t="shared" si="0"/>
        <v>0</v>
      </c>
    </row>
    <row r="385" spans="2:11" ht="13.5">
      <c r="B385" s="48" t="s">
        <v>8869</v>
      </c>
      <c r="C385" s="48" t="s">
        <v>8870</v>
      </c>
      <c r="D385" s="50" t="s">
        <v>7007</v>
      </c>
      <c r="E385" s="50" t="s">
        <v>6688</v>
      </c>
      <c r="F385" s="50" t="s">
        <v>5977</v>
      </c>
      <c r="G385" s="50"/>
      <c r="H385" s="50">
        <v>42</v>
      </c>
      <c r="I385" s="50" t="s">
        <v>5521</v>
      </c>
      <c r="J385" s="49" t="s">
        <v>7007</v>
      </c>
      <c r="K385" s="49">
        <f t="shared" si="0"/>
        <v>0</v>
      </c>
    </row>
    <row r="387" spans="2:11" ht="13.5">
      <c r="B387" s="254" t="s">
        <v>8735</v>
      </c>
      <c r="C387" s="254" t="s">
        <v>8736</v>
      </c>
      <c r="D387" s="255" t="s">
        <v>2800</v>
      </c>
      <c r="E387" s="255" t="s">
        <v>6500</v>
      </c>
      <c r="F387" s="255" t="s">
        <v>5995</v>
      </c>
      <c r="G387" s="255"/>
      <c r="H387" s="255">
        <v>1</v>
      </c>
      <c r="I387" s="255" t="s">
        <v>2799</v>
      </c>
    </row>
    <row r="388" spans="2:11" ht="13.5">
      <c r="B388" s="254" t="s">
        <v>8735</v>
      </c>
      <c r="C388" s="254" t="s">
        <v>8736</v>
      </c>
      <c r="D388" s="255" t="s">
        <v>5004</v>
      </c>
      <c r="E388" s="255" t="s">
        <v>3608</v>
      </c>
      <c r="F388" s="255" t="s">
        <v>5995</v>
      </c>
      <c r="G388" s="255"/>
      <c r="H388" s="255">
        <v>2</v>
      </c>
      <c r="I388" s="255" t="s">
        <v>4996</v>
      </c>
    </row>
    <row r="389" spans="2:11" ht="13.5">
      <c r="B389" s="48" t="s">
        <v>8735</v>
      </c>
      <c r="C389" s="48" t="s">
        <v>8736</v>
      </c>
      <c r="D389" s="50" t="s">
        <v>8934</v>
      </c>
      <c r="E389" s="50" t="s">
        <v>6955</v>
      </c>
      <c r="F389" s="50" t="s">
        <v>5977</v>
      </c>
      <c r="G389" s="50"/>
      <c r="H389" s="50">
        <v>3</v>
      </c>
      <c r="I389" s="50" t="s">
        <v>8935</v>
      </c>
    </row>
    <row r="390" spans="2:11" ht="13.5">
      <c r="B390" s="48" t="s">
        <v>8735</v>
      </c>
      <c r="C390" s="48" t="s">
        <v>8736</v>
      </c>
      <c r="D390" s="50" t="s">
        <v>6904</v>
      </c>
      <c r="E390" s="50" t="s">
        <v>6571</v>
      </c>
      <c r="F390" s="50" t="s">
        <v>5977</v>
      </c>
      <c r="G390" s="50"/>
      <c r="H390" s="50">
        <v>4</v>
      </c>
      <c r="I390" s="50" t="s">
        <v>8936</v>
      </c>
    </row>
    <row r="391" spans="2:11" ht="13.5">
      <c r="B391" s="48" t="s">
        <v>8735</v>
      </c>
      <c r="C391" s="48" t="s">
        <v>8736</v>
      </c>
      <c r="D391" s="50" t="s">
        <v>8937</v>
      </c>
      <c r="E391" s="50" t="s">
        <v>6688</v>
      </c>
      <c r="F391" s="50" t="s">
        <v>5977</v>
      </c>
      <c r="G391" s="50"/>
      <c r="H391" s="50">
        <v>5</v>
      </c>
      <c r="I391" s="50" t="s">
        <v>8938</v>
      </c>
    </row>
    <row r="392" spans="2:11" ht="13.5">
      <c r="B392" s="48" t="s">
        <v>8735</v>
      </c>
      <c r="C392" s="48" t="s">
        <v>8736</v>
      </c>
      <c r="D392" s="50" t="s">
        <v>8939</v>
      </c>
      <c r="E392" s="50" t="s">
        <v>6688</v>
      </c>
      <c r="F392" s="50" t="s">
        <v>5977</v>
      </c>
      <c r="G392" s="50"/>
      <c r="H392" s="50">
        <v>6</v>
      </c>
      <c r="I392" s="50" t="s">
        <v>8940</v>
      </c>
    </row>
    <row r="393" spans="2:11" ht="13.5">
      <c r="B393" s="48" t="s">
        <v>8735</v>
      </c>
      <c r="C393" s="48" t="s">
        <v>8736</v>
      </c>
      <c r="D393" s="50" t="s">
        <v>8960</v>
      </c>
      <c r="E393" s="50" t="s">
        <v>8941</v>
      </c>
      <c r="F393" s="50" t="s">
        <v>5977</v>
      </c>
      <c r="G393" s="50"/>
      <c r="H393" s="50">
        <v>7</v>
      </c>
      <c r="I393" s="50" t="s">
        <v>8942</v>
      </c>
    </row>
    <row r="394" spans="2:11" ht="13.5">
      <c r="B394" s="48" t="s">
        <v>8735</v>
      </c>
      <c r="C394" s="48" t="s">
        <v>8736</v>
      </c>
      <c r="D394" s="50" t="s">
        <v>8943</v>
      </c>
      <c r="E394" s="50" t="s">
        <v>8944</v>
      </c>
      <c r="F394" s="50" t="s">
        <v>5977</v>
      </c>
      <c r="G394" s="50"/>
      <c r="H394" s="50">
        <v>8</v>
      </c>
      <c r="I394" s="50" t="s">
        <v>8945</v>
      </c>
    </row>
    <row r="395" spans="2:11" ht="13.5">
      <c r="B395" s="48" t="s">
        <v>8735</v>
      </c>
      <c r="C395" s="48" t="s">
        <v>8736</v>
      </c>
      <c r="D395" s="50" t="s">
        <v>5242</v>
      </c>
      <c r="E395" s="50" t="s">
        <v>8944</v>
      </c>
      <c r="F395" s="50" t="s">
        <v>5977</v>
      </c>
      <c r="G395" s="50"/>
      <c r="H395" s="50">
        <v>9</v>
      </c>
      <c r="I395" s="50" t="s">
        <v>5241</v>
      </c>
    </row>
    <row r="396" spans="2:11" ht="13.5">
      <c r="B396" s="48" t="s">
        <v>8735</v>
      </c>
      <c r="C396" s="48" t="s">
        <v>8736</v>
      </c>
      <c r="D396" s="50" t="s">
        <v>8560</v>
      </c>
      <c r="E396" s="50" t="s">
        <v>6500</v>
      </c>
      <c r="F396" s="50" t="s">
        <v>5977</v>
      </c>
      <c r="G396" s="50"/>
      <c r="H396" s="50">
        <v>10</v>
      </c>
      <c r="I396" s="50" t="s">
        <v>8561</v>
      </c>
    </row>
    <row r="397" spans="2:11" ht="13.5">
      <c r="B397" s="48" t="s">
        <v>8735</v>
      </c>
      <c r="C397" s="48" t="s">
        <v>8736</v>
      </c>
      <c r="D397" s="50" t="s">
        <v>8562</v>
      </c>
      <c r="E397" s="50" t="s">
        <v>6498</v>
      </c>
      <c r="F397" s="50" t="s">
        <v>5977</v>
      </c>
      <c r="G397" s="50"/>
      <c r="H397" s="50">
        <v>11</v>
      </c>
      <c r="I397" s="50" t="s">
        <v>8563</v>
      </c>
    </row>
    <row r="398" spans="2:11" ht="13.5">
      <c r="B398" s="48" t="s">
        <v>8735</v>
      </c>
      <c r="C398" s="48" t="s">
        <v>8736</v>
      </c>
      <c r="D398" s="50" t="s">
        <v>6601</v>
      </c>
      <c r="E398" s="50" t="s">
        <v>6697</v>
      </c>
      <c r="F398" s="50" t="s">
        <v>5977</v>
      </c>
      <c r="G398" s="50"/>
      <c r="H398" s="50">
        <v>12</v>
      </c>
      <c r="I398" s="50" t="s">
        <v>6720</v>
      </c>
    </row>
    <row r="399" spans="2:11" ht="13.5">
      <c r="B399" s="48" t="s">
        <v>8735</v>
      </c>
      <c r="C399" s="48" t="s">
        <v>8736</v>
      </c>
      <c r="D399" s="50" t="s">
        <v>6685</v>
      </c>
      <c r="E399" s="50" t="s">
        <v>6697</v>
      </c>
      <c r="F399" s="50" t="s">
        <v>5977</v>
      </c>
      <c r="G399" s="50"/>
      <c r="H399" s="50">
        <v>13</v>
      </c>
      <c r="I399" s="50" t="s">
        <v>6171</v>
      </c>
    </row>
    <row r="400" spans="2:11" ht="13.5">
      <c r="B400" s="48" t="s">
        <v>8735</v>
      </c>
      <c r="C400" s="48" t="s">
        <v>8736</v>
      </c>
      <c r="D400" s="50" t="s">
        <v>6913</v>
      </c>
      <c r="E400" s="50" t="s">
        <v>6909</v>
      </c>
      <c r="F400" s="50" t="s">
        <v>5977</v>
      </c>
      <c r="G400" s="50"/>
      <c r="H400" s="50">
        <v>14</v>
      </c>
      <c r="I400" s="50" t="s">
        <v>6914</v>
      </c>
    </row>
    <row r="401" spans="2:9" ht="13.5">
      <c r="B401" s="48" t="s">
        <v>8735</v>
      </c>
      <c r="C401" s="48" t="s">
        <v>8736</v>
      </c>
      <c r="D401" s="50" t="s">
        <v>6906</v>
      </c>
      <c r="E401" s="50" t="s">
        <v>6907</v>
      </c>
      <c r="F401" s="50" t="s">
        <v>5977</v>
      </c>
      <c r="G401" s="50"/>
      <c r="H401" s="50">
        <v>15</v>
      </c>
      <c r="I401" s="50" t="s">
        <v>549</v>
      </c>
    </row>
    <row r="402" spans="2:9" ht="13.5">
      <c r="B402" s="48" t="s">
        <v>8735</v>
      </c>
      <c r="C402" s="48" t="s">
        <v>8736</v>
      </c>
      <c r="D402" s="50" t="s">
        <v>8946</v>
      </c>
      <c r="E402" s="50" t="s">
        <v>8947</v>
      </c>
      <c r="F402" s="50" t="s">
        <v>5977</v>
      </c>
      <c r="G402" s="50"/>
      <c r="H402" s="50">
        <v>16</v>
      </c>
      <c r="I402" s="50" t="s">
        <v>3535</v>
      </c>
    </row>
    <row r="403" spans="2:9" ht="13.5">
      <c r="B403" s="48" t="s">
        <v>8735</v>
      </c>
      <c r="C403" s="48" t="s">
        <v>8736</v>
      </c>
      <c r="D403" s="50" t="s">
        <v>6911</v>
      </c>
      <c r="E403" s="50" t="s">
        <v>6909</v>
      </c>
      <c r="F403" s="50" t="s">
        <v>5977</v>
      </c>
      <c r="G403" s="50"/>
      <c r="H403" s="50">
        <v>17</v>
      </c>
      <c r="I403" s="50" t="s">
        <v>6912</v>
      </c>
    </row>
    <row r="404" spans="2:9" ht="13.5">
      <c r="B404" s="48" t="s">
        <v>8735</v>
      </c>
      <c r="C404" s="48" t="s">
        <v>8736</v>
      </c>
      <c r="D404" s="50" t="s">
        <v>8564</v>
      </c>
      <c r="E404" s="50" t="s">
        <v>8513</v>
      </c>
      <c r="F404" s="50" t="s">
        <v>5977</v>
      </c>
      <c r="G404" s="50"/>
      <c r="H404" s="50">
        <v>18</v>
      </c>
      <c r="I404" s="50" t="s">
        <v>8565</v>
      </c>
    </row>
    <row r="405" spans="2:9" ht="13.5">
      <c r="B405" s="48" t="s">
        <v>8735</v>
      </c>
      <c r="C405" s="48" t="s">
        <v>8736</v>
      </c>
      <c r="D405" s="50" t="s">
        <v>8948</v>
      </c>
      <c r="E405" s="50" t="s">
        <v>6498</v>
      </c>
      <c r="F405" s="50" t="s">
        <v>5977</v>
      </c>
      <c r="G405" s="50" t="s">
        <v>7308</v>
      </c>
      <c r="H405" s="50">
        <v>19</v>
      </c>
      <c r="I405" s="50" t="s">
        <v>8949</v>
      </c>
    </row>
    <row r="406" spans="2:9" ht="13.5">
      <c r="B406" s="48" t="s">
        <v>8735</v>
      </c>
      <c r="C406" s="48" t="s">
        <v>8736</v>
      </c>
      <c r="D406" s="50" t="s">
        <v>8950</v>
      </c>
      <c r="E406" s="50" t="s">
        <v>6697</v>
      </c>
      <c r="F406" s="50" t="s">
        <v>5977</v>
      </c>
      <c r="G406" s="50"/>
      <c r="H406" s="50">
        <v>20</v>
      </c>
      <c r="I406" s="50" t="s">
        <v>502</v>
      </c>
    </row>
    <row r="407" spans="2:9" ht="13.5">
      <c r="B407" s="48" t="s">
        <v>8735</v>
      </c>
      <c r="C407" s="48" t="s">
        <v>8736</v>
      </c>
      <c r="D407" s="50" t="s">
        <v>8951</v>
      </c>
      <c r="E407" s="50" t="s">
        <v>6697</v>
      </c>
      <c r="F407" s="50" t="s">
        <v>5977</v>
      </c>
      <c r="G407" s="50"/>
      <c r="H407" s="50">
        <v>21</v>
      </c>
      <c r="I407" s="50" t="s">
        <v>1623</v>
      </c>
    </row>
    <row r="408" spans="2:9" ht="13.5">
      <c r="B408" s="48" t="s">
        <v>8735</v>
      </c>
      <c r="C408" s="48" t="s">
        <v>8736</v>
      </c>
      <c r="D408" s="50" t="s">
        <v>8566</v>
      </c>
      <c r="E408" s="50" t="s">
        <v>6498</v>
      </c>
      <c r="F408" s="50" t="s">
        <v>5977</v>
      </c>
      <c r="G408" s="50"/>
      <c r="H408" s="50">
        <v>22</v>
      </c>
      <c r="I408" s="50" t="s">
        <v>8567</v>
      </c>
    </row>
    <row r="409" spans="2:9" ht="13.5">
      <c r="B409" s="48" t="s">
        <v>8735</v>
      </c>
      <c r="C409" s="48" t="s">
        <v>8736</v>
      </c>
      <c r="D409" s="50" t="s">
        <v>8952</v>
      </c>
      <c r="E409" s="50" t="s">
        <v>6718</v>
      </c>
      <c r="F409" s="50" t="s">
        <v>5977</v>
      </c>
      <c r="G409" s="50"/>
      <c r="H409" s="50">
        <v>23</v>
      </c>
      <c r="I409" s="50" t="s">
        <v>8953</v>
      </c>
    </row>
    <row r="410" spans="2:9" ht="13.5">
      <c r="B410" s="48" t="s">
        <v>8735</v>
      </c>
      <c r="C410" s="48" t="s">
        <v>8736</v>
      </c>
      <c r="D410" s="50" t="s">
        <v>8954</v>
      </c>
      <c r="E410" s="50" t="s">
        <v>8513</v>
      </c>
      <c r="F410" s="50" t="s">
        <v>5977</v>
      </c>
      <c r="G410" s="50"/>
      <c r="H410" s="50">
        <v>24</v>
      </c>
      <c r="I410" s="50" t="s">
        <v>8955</v>
      </c>
    </row>
    <row r="411" spans="2:9" ht="13.5">
      <c r="B411" s="48" t="s">
        <v>8735</v>
      </c>
      <c r="C411" s="48" t="s">
        <v>8736</v>
      </c>
      <c r="D411" s="50" t="s">
        <v>8956</v>
      </c>
      <c r="E411" s="50" t="s">
        <v>6498</v>
      </c>
      <c r="F411" s="50" t="s">
        <v>5977</v>
      </c>
      <c r="G411" s="50" t="s">
        <v>7308</v>
      </c>
      <c r="H411" s="50">
        <v>25</v>
      </c>
      <c r="I411" s="50" t="s">
        <v>8957</v>
      </c>
    </row>
    <row r="412" spans="2:9" ht="13.5">
      <c r="B412" s="48" t="s">
        <v>8735</v>
      </c>
      <c r="C412" s="48" t="s">
        <v>8736</v>
      </c>
      <c r="D412" s="50" t="s">
        <v>8958</v>
      </c>
      <c r="E412" s="50" t="s">
        <v>6713</v>
      </c>
      <c r="F412" s="50" t="s">
        <v>5977</v>
      </c>
      <c r="G412" s="286" t="s">
        <v>8961</v>
      </c>
      <c r="H412" s="50">
        <v>26</v>
      </c>
      <c r="I412" s="50" t="s">
        <v>8959</v>
      </c>
    </row>
  </sheetData>
  <phoneticPr fontId="1" type="noConversion"/>
  <pageMargins left="0.7" right="0.7" top="0.75" bottom="0.75" header="0.3" footer="0.3"/>
  <pageSetup paperSize="9" scale="6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C169"/>
  <sheetViews>
    <sheetView topLeftCell="A10" workbookViewId="0"/>
  </sheetViews>
  <sheetFormatPr defaultRowHeight="10.5" customHeight="1"/>
  <cols>
    <col min="3" max="3" width="37.75" bestFit="1" customWidth="1"/>
  </cols>
  <sheetData>
    <row r="2" spans="2:3" ht="10.5" customHeight="1">
      <c r="B2" s="26" t="s">
        <v>6359</v>
      </c>
      <c r="C2" s="26" t="s">
        <v>6360</v>
      </c>
    </row>
    <row r="3" spans="2:3" ht="10.5" customHeight="1">
      <c r="B3" s="27" t="s">
        <v>6035</v>
      </c>
      <c r="C3" s="27" t="s">
        <v>6036</v>
      </c>
    </row>
    <row r="4" spans="2:3" ht="10.5" customHeight="1">
      <c r="B4" s="27" t="s">
        <v>6037</v>
      </c>
      <c r="C4" s="27" t="s">
        <v>6038</v>
      </c>
    </row>
    <row r="5" spans="2:3" ht="10.5" customHeight="1">
      <c r="B5" s="27" t="s">
        <v>6039</v>
      </c>
      <c r="C5" s="27" t="s">
        <v>6040</v>
      </c>
    </row>
    <row r="6" spans="2:3" ht="10.5" customHeight="1">
      <c r="B6" s="27" t="s">
        <v>6041</v>
      </c>
      <c r="C6" s="27" t="s">
        <v>6042</v>
      </c>
    </row>
    <row r="7" spans="2:3" ht="10.5" customHeight="1">
      <c r="B7" s="27" t="s">
        <v>6043</v>
      </c>
      <c r="C7" s="27" t="s">
        <v>6044</v>
      </c>
    </row>
    <row r="8" spans="2:3" ht="10.5" customHeight="1">
      <c r="B8" s="27" t="s">
        <v>6045</v>
      </c>
      <c r="C8" s="27" t="s">
        <v>6046</v>
      </c>
    </row>
    <row r="9" spans="2:3" ht="10.5" customHeight="1">
      <c r="B9" s="27" t="s">
        <v>6047</v>
      </c>
      <c r="C9" s="27" t="s">
        <v>2287</v>
      </c>
    </row>
    <row r="10" spans="2:3" ht="10.5" customHeight="1">
      <c r="B10" s="27" t="s">
        <v>6048</v>
      </c>
      <c r="C10" s="27" t="s">
        <v>6049</v>
      </c>
    </row>
    <row r="11" spans="2:3" ht="10.5" customHeight="1">
      <c r="B11" s="27" t="s">
        <v>6050</v>
      </c>
      <c r="C11" s="27" t="s">
        <v>6051</v>
      </c>
    </row>
    <row r="12" spans="2:3" ht="10.5" customHeight="1">
      <c r="B12" s="27" t="s">
        <v>6052</v>
      </c>
      <c r="C12" s="27" t="s">
        <v>6053</v>
      </c>
    </row>
    <row r="13" spans="2:3" ht="10.5" customHeight="1">
      <c r="B13" s="27" t="s">
        <v>6054</v>
      </c>
      <c r="C13" s="27" t="s">
        <v>6055</v>
      </c>
    </row>
    <row r="14" spans="2:3" ht="10.5" customHeight="1">
      <c r="B14" s="27" t="s">
        <v>6056</v>
      </c>
      <c r="C14" s="27" t="s">
        <v>6057</v>
      </c>
    </row>
    <row r="15" spans="2:3" ht="10.5" customHeight="1">
      <c r="B15" s="27" t="s">
        <v>6058</v>
      </c>
      <c r="C15" s="27" t="s">
        <v>6059</v>
      </c>
    </row>
    <row r="16" spans="2:3" ht="10.5" customHeight="1">
      <c r="B16" s="27" t="s">
        <v>6060</v>
      </c>
      <c r="C16" s="27" t="s">
        <v>6061</v>
      </c>
    </row>
    <row r="17" spans="2:3" ht="10.5" customHeight="1">
      <c r="B17" s="27" t="s">
        <v>6062</v>
      </c>
      <c r="C17" s="27" t="s">
        <v>6063</v>
      </c>
    </row>
    <row r="18" spans="2:3" ht="10.5" customHeight="1">
      <c r="B18" s="27" t="s">
        <v>6064</v>
      </c>
      <c r="C18" s="27" t="s">
        <v>6065</v>
      </c>
    </row>
    <row r="19" spans="2:3" ht="10.5" customHeight="1">
      <c r="B19" s="27" t="s">
        <v>6066</v>
      </c>
      <c r="C19" s="27" t="s">
        <v>6067</v>
      </c>
    </row>
    <row r="20" spans="2:3" ht="10.5" customHeight="1">
      <c r="B20" s="27" t="s">
        <v>6068</v>
      </c>
      <c r="C20" s="27" t="s">
        <v>6069</v>
      </c>
    </row>
    <row r="21" spans="2:3" ht="10.5" customHeight="1">
      <c r="B21" s="27" t="s">
        <v>6070</v>
      </c>
      <c r="C21" s="27" t="s">
        <v>6071</v>
      </c>
    </row>
    <row r="22" spans="2:3" ht="10.5" customHeight="1">
      <c r="B22" s="27" t="s">
        <v>6072</v>
      </c>
      <c r="C22" s="27" t="s">
        <v>6073</v>
      </c>
    </row>
    <row r="23" spans="2:3" ht="10.5" customHeight="1">
      <c r="B23" s="27" t="s">
        <v>6074</v>
      </c>
      <c r="C23" s="27" t="s">
        <v>6075</v>
      </c>
    </row>
    <row r="24" spans="2:3" ht="10.5" customHeight="1">
      <c r="B24" s="27" t="s">
        <v>6076</v>
      </c>
      <c r="C24" s="27" t="s">
        <v>6077</v>
      </c>
    </row>
    <row r="25" spans="2:3" ht="10.5" customHeight="1">
      <c r="B25" s="27" t="s">
        <v>6078</v>
      </c>
      <c r="C25" s="27" t="s">
        <v>6079</v>
      </c>
    </row>
    <row r="26" spans="2:3" ht="10.5" customHeight="1">
      <c r="B26" s="27" t="s">
        <v>6080</v>
      </c>
      <c r="C26" s="27" t="s">
        <v>6081</v>
      </c>
    </row>
    <row r="27" spans="2:3" ht="10.5" customHeight="1">
      <c r="B27" s="27" t="s">
        <v>6082</v>
      </c>
      <c r="C27" s="27" t="s">
        <v>6083</v>
      </c>
    </row>
    <row r="28" spans="2:3" ht="10.5" customHeight="1">
      <c r="B28" s="27" t="s">
        <v>6084</v>
      </c>
      <c r="C28" s="27" t="s">
        <v>6085</v>
      </c>
    </row>
    <row r="29" spans="2:3" ht="10.5" customHeight="1">
      <c r="B29" s="27" t="s">
        <v>6086</v>
      </c>
      <c r="C29" s="27" t="s">
        <v>6087</v>
      </c>
    </row>
    <row r="30" spans="2:3" ht="10.5" customHeight="1">
      <c r="B30" s="27" t="s">
        <v>6088</v>
      </c>
      <c r="C30" s="27" t="s">
        <v>6089</v>
      </c>
    </row>
    <row r="31" spans="2:3" ht="10.5" customHeight="1">
      <c r="B31" s="27" t="s">
        <v>6090</v>
      </c>
      <c r="C31" s="27" t="s">
        <v>6091</v>
      </c>
    </row>
    <row r="32" spans="2:3" ht="10.5" customHeight="1">
      <c r="B32" s="27" t="s">
        <v>6092</v>
      </c>
      <c r="C32" s="27" t="s">
        <v>6093</v>
      </c>
    </row>
    <row r="33" spans="2:3" ht="10.5" customHeight="1">
      <c r="B33" s="27" t="s">
        <v>6094</v>
      </c>
      <c r="C33" s="27" t="s">
        <v>6095</v>
      </c>
    </row>
    <row r="34" spans="2:3" ht="10.5" customHeight="1">
      <c r="B34" s="27" t="s">
        <v>6096</v>
      </c>
      <c r="C34" s="27" t="s">
        <v>6097</v>
      </c>
    </row>
    <row r="35" spans="2:3" ht="10.5" customHeight="1">
      <c r="B35" s="27" t="s">
        <v>6098</v>
      </c>
      <c r="C35" s="27" t="s">
        <v>6099</v>
      </c>
    </row>
    <row r="36" spans="2:3" ht="10.5" customHeight="1">
      <c r="B36" s="27" t="s">
        <v>6100</v>
      </c>
      <c r="C36" s="27" t="s">
        <v>6101</v>
      </c>
    </row>
    <row r="37" spans="2:3" ht="10.5" customHeight="1">
      <c r="B37" s="27" t="s">
        <v>6102</v>
      </c>
      <c r="C37" s="27" t="s">
        <v>6103</v>
      </c>
    </row>
    <row r="38" spans="2:3" ht="10.5" customHeight="1">
      <c r="B38" s="27" t="s">
        <v>6104</v>
      </c>
      <c r="C38" s="27" t="s">
        <v>6105</v>
      </c>
    </row>
    <row r="39" spans="2:3" ht="10.5" customHeight="1">
      <c r="B39" s="27" t="s">
        <v>6106</v>
      </c>
      <c r="C39" s="27" t="s">
        <v>6107</v>
      </c>
    </row>
    <row r="40" spans="2:3" ht="10.5" customHeight="1">
      <c r="B40" s="27" t="s">
        <v>6108</v>
      </c>
      <c r="C40" s="27" t="s">
        <v>6109</v>
      </c>
    </row>
    <row r="41" spans="2:3" ht="10.5" customHeight="1">
      <c r="B41" s="27" t="s">
        <v>6110</v>
      </c>
      <c r="C41" s="27" t="s">
        <v>6111</v>
      </c>
    </row>
    <row r="42" spans="2:3" ht="10.5" customHeight="1">
      <c r="B42" s="27" t="s">
        <v>6112</v>
      </c>
      <c r="C42" s="27" t="s">
        <v>6113</v>
      </c>
    </row>
    <row r="43" spans="2:3" ht="10.5" customHeight="1">
      <c r="B43" s="27" t="s">
        <v>6114</v>
      </c>
      <c r="C43" s="27" t="s">
        <v>6115</v>
      </c>
    </row>
    <row r="44" spans="2:3" ht="10.5" customHeight="1">
      <c r="B44" s="27" t="s">
        <v>6116</v>
      </c>
      <c r="C44" s="27" t="s">
        <v>6117</v>
      </c>
    </row>
    <row r="45" spans="2:3" ht="10.5" customHeight="1">
      <c r="B45" s="27" t="s">
        <v>6118</v>
      </c>
      <c r="C45" s="27" t="s">
        <v>6119</v>
      </c>
    </row>
    <row r="46" spans="2:3" ht="10.5" customHeight="1">
      <c r="B46" s="27" t="s">
        <v>6120</v>
      </c>
      <c r="C46" s="27" t="s">
        <v>6121</v>
      </c>
    </row>
    <row r="47" spans="2:3" ht="10.5" customHeight="1">
      <c r="B47" s="27" t="s">
        <v>6122</v>
      </c>
      <c r="C47" s="27" t="s">
        <v>6123</v>
      </c>
    </row>
    <row r="48" spans="2:3" ht="10.5" customHeight="1">
      <c r="B48" s="27" t="s">
        <v>6124</v>
      </c>
      <c r="C48" s="27" t="s">
        <v>6125</v>
      </c>
    </row>
    <row r="49" spans="2:3" ht="10.5" customHeight="1">
      <c r="B49" s="27" t="s">
        <v>6126</v>
      </c>
      <c r="C49" s="27" t="s">
        <v>6127</v>
      </c>
    </row>
    <row r="50" spans="2:3" ht="10.5" customHeight="1">
      <c r="B50" s="27" t="s">
        <v>6128</v>
      </c>
      <c r="C50" s="27" t="s">
        <v>6129</v>
      </c>
    </row>
    <row r="51" spans="2:3" ht="10.5" customHeight="1">
      <c r="B51" s="27" t="s">
        <v>6130</v>
      </c>
      <c r="C51" s="27" t="s">
        <v>6131</v>
      </c>
    </row>
    <row r="52" spans="2:3" ht="10.5" customHeight="1">
      <c r="B52" s="27" t="s">
        <v>6132</v>
      </c>
      <c r="C52" s="27" t="s">
        <v>6133</v>
      </c>
    </row>
    <row r="53" spans="2:3" ht="10.5" customHeight="1">
      <c r="B53" s="27" t="s">
        <v>6134</v>
      </c>
      <c r="C53" s="27" t="s">
        <v>6135</v>
      </c>
    </row>
    <row r="54" spans="2:3" ht="10.5" customHeight="1">
      <c r="B54" s="27" t="s">
        <v>6136</v>
      </c>
      <c r="C54" s="27" t="s">
        <v>6137</v>
      </c>
    </row>
    <row r="55" spans="2:3" ht="10.5" customHeight="1">
      <c r="B55" s="27" t="s">
        <v>6138</v>
      </c>
      <c r="C55" s="27" t="s">
        <v>6139</v>
      </c>
    </row>
    <row r="56" spans="2:3" ht="10.5" customHeight="1">
      <c r="B56" s="27" t="s">
        <v>6140</v>
      </c>
      <c r="C56" s="27" t="s">
        <v>6123</v>
      </c>
    </row>
    <row r="57" spans="2:3" ht="10.5" customHeight="1">
      <c r="B57" s="27" t="s">
        <v>6141</v>
      </c>
      <c r="C57" s="27" t="s">
        <v>6142</v>
      </c>
    </row>
    <row r="58" spans="2:3" ht="10.5" customHeight="1">
      <c r="B58" s="27" t="s">
        <v>6143</v>
      </c>
      <c r="C58" s="27" t="s">
        <v>6144</v>
      </c>
    </row>
    <row r="59" spans="2:3" ht="10.5" customHeight="1">
      <c r="B59" s="27" t="s">
        <v>6145</v>
      </c>
      <c r="C59" s="27" t="s">
        <v>6146</v>
      </c>
    </row>
    <row r="60" spans="2:3" ht="10.5" customHeight="1">
      <c r="B60" s="27" t="s">
        <v>6147</v>
      </c>
      <c r="C60" s="27" t="s">
        <v>6148</v>
      </c>
    </row>
    <row r="61" spans="2:3" ht="10.5" customHeight="1">
      <c r="B61" s="27" t="s">
        <v>6149</v>
      </c>
      <c r="C61" s="27" t="s">
        <v>6150</v>
      </c>
    </row>
    <row r="62" spans="2:3" ht="10.5" customHeight="1">
      <c r="B62" s="27" t="s">
        <v>6151</v>
      </c>
      <c r="C62" s="27" t="s">
        <v>6152</v>
      </c>
    </row>
    <row r="63" spans="2:3" ht="10.5" customHeight="1">
      <c r="B63" s="27" t="s">
        <v>6153</v>
      </c>
      <c r="C63" s="27" t="s">
        <v>6154</v>
      </c>
    </row>
    <row r="64" spans="2:3" ht="10.5" customHeight="1">
      <c r="B64" s="27" t="s">
        <v>6155</v>
      </c>
      <c r="C64" s="27" t="s">
        <v>6156</v>
      </c>
    </row>
    <row r="65" spans="2:3" ht="10.5" customHeight="1">
      <c r="B65" s="27" t="s">
        <v>6157</v>
      </c>
      <c r="C65" s="27" t="s">
        <v>6121</v>
      </c>
    </row>
    <row r="66" spans="2:3" ht="10.5" customHeight="1">
      <c r="B66" s="27" t="s">
        <v>6158</v>
      </c>
      <c r="C66" s="27" t="s">
        <v>6159</v>
      </c>
    </row>
    <row r="67" spans="2:3" ht="10.5" customHeight="1">
      <c r="B67" s="27" t="s">
        <v>6160</v>
      </c>
      <c r="C67" s="27" t="s">
        <v>6161</v>
      </c>
    </row>
    <row r="68" spans="2:3" ht="10.5" customHeight="1">
      <c r="B68" s="27" t="s">
        <v>6162</v>
      </c>
      <c r="C68" s="27" t="s">
        <v>6163</v>
      </c>
    </row>
    <row r="69" spans="2:3" ht="10.5" customHeight="1">
      <c r="B69" s="27" t="s">
        <v>6164</v>
      </c>
      <c r="C69" s="27" t="s">
        <v>6165</v>
      </c>
    </row>
    <row r="70" spans="2:3" ht="10.5" customHeight="1">
      <c r="B70" s="27" t="s">
        <v>6166</v>
      </c>
      <c r="C70" s="27" t="s">
        <v>6167</v>
      </c>
    </row>
    <row r="71" spans="2:3" ht="10.5" customHeight="1">
      <c r="B71" s="27" t="s">
        <v>6168</v>
      </c>
      <c r="C71" s="27" t="s">
        <v>6169</v>
      </c>
    </row>
    <row r="72" spans="2:3" ht="10.5" customHeight="1">
      <c r="B72" s="27" t="s">
        <v>6170</v>
      </c>
      <c r="C72" s="27" t="s">
        <v>6171</v>
      </c>
    </row>
    <row r="73" spans="2:3" ht="10.5" customHeight="1">
      <c r="B73" s="27" t="s">
        <v>6172</v>
      </c>
      <c r="C73" s="27" t="s">
        <v>6173</v>
      </c>
    </row>
    <row r="74" spans="2:3" ht="10.5" customHeight="1">
      <c r="B74" s="27" t="s">
        <v>6174</v>
      </c>
      <c r="C74" s="27" t="s">
        <v>6175</v>
      </c>
    </row>
    <row r="75" spans="2:3" ht="10.5" customHeight="1">
      <c r="B75" s="27" t="s">
        <v>6176</v>
      </c>
      <c r="C75" s="27" t="s">
        <v>6177</v>
      </c>
    </row>
    <row r="76" spans="2:3" ht="10.5" customHeight="1">
      <c r="B76" s="27" t="s">
        <v>6178</v>
      </c>
      <c r="C76" s="27" t="s">
        <v>6179</v>
      </c>
    </row>
    <row r="77" spans="2:3" ht="10.5" customHeight="1">
      <c r="B77" s="27" t="s">
        <v>6180</v>
      </c>
      <c r="C77" s="27" t="s">
        <v>6181</v>
      </c>
    </row>
    <row r="78" spans="2:3" ht="10.5" customHeight="1">
      <c r="B78" s="27" t="s">
        <v>6182</v>
      </c>
      <c r="C78" s="27" t="s">
        <v>6183</v>
      </c>
    </row>
    <row r="79" spans="2:3" ht="10.5" customHeight="1">
      <c r="B79" s="27" t="s">
        <v>6184</v>
      </c>
      <c r="C79" s="27" t="s">
        <v>6185</v>
      </c>
    </row>
    <row r="80" spans="2:3" ht="10.5" customHeight="1">
      <c r="B80" s="27" t="s">
        <v>6186</v>
      </c>
      <c r="C80" s="27" t="s">
        <v>6187</v>
      </c>
    </row>
    <row r="81" spans="2:3" ht="10.5" customHeight="1">
      <c r="B81" s="27" t="s">
        <v>6188</v>
      </c>
      <c r="C81" s="27" t="s">
        <v>6189</v>
      </c>
    </row>
    <row r="82" spans="2:3" ht="10.5" customHeight="1">
      <c r="B82" s="27" t="s">
        <v>6190</v>
      </c>
      <c r="C82" s="27" t="s">
        <v>6191</v>
      </c>
    </row>
    <row r="83" spans="2:3" ht="10.5" customHeight="1">
      <c r="B83" s="27" t="s">
        <v>6192</v>
      </c>
      <c r="C83" s="27" t="s">
        <v>6193</v>
      </c>
    </row>
    <row r="84" spans="2:3" ht="10.5" customHeight="1">
      <c r="B84" s="27" t="s">
        <v>6194</v>
      </c>
      <c r="C84" s="27" t="s">
        <v>6195</v>
      </c>
    </row>
    <row r="85" spans="2:3" ht="10.5" customHeight="1">
      <c r="B85" s="27" t="s">
        <v>6196</v>
      </c>
      <c r="C85" s="27" t="s">
        <v>6197</v>
      </c>
    </row>
    <row r="86" spans="2:3" ht="10.5" customHeight="1">
      <c r="B86" s="27" t="s">
        <v>6198</v>
      </c>
      <c r="C86" s="27" t="s">
        <v>6199</v>
      </c>
    </row>
    <row r="87" spans="2:3" ht="10.5" customHeight="1">
      <c r="B87" s="27" t="s">
        <v>6200</v>
      </c>
      <c r="C87" s="27" t="s">
        <v>6201</v>
      </c>
    </row>
    <row r="88" spans="2:3" ht="10.5" customHeight="1">
      <c r="B88" s="27" t="s">
        <v>6202</v>
      </c>
      <c r="C88" s="27" t="s">
        <v>6203</v>
      </c>
    </row>
    <row r="89" spans="2:3" ht="10.5" customHeight="1">
      <c r="B89" s="27" t="s">
        <v>6204</v>
      </c>
      <c r="C89" s="27" t="s">
        <v>6205</v>
      </c>
    </row>
    <row r="90" spans="2:3" ht="10.5" customHeight="1">
      <c r="B90" s="27" t="s">
        <v>6206</v>
      </c>
      <c r="C90" s="27" t="s">
        <v>6207</v>
      </c>
    </row>
    <row r="91" spans="2:3" ht="10.5" customHeight="1">
      <c r="B91" s="27" t="s">
        <v>6208</v>
      </c>
      <c r="C91" s="27" t="s">
        <v>6209</v>
      </c>
    </row>
    <row r="92" spans="2:3" ht="10.5" customHeight="1">
      <c r="B92" s="27" t="s">
        <v>6210</v>
      </c>
      <c r="C92" s="27" t="s">
        <v>6211</v>
      </c>
    </row>
    <row r="93" spans="2:3" ht="10.5" customHeight="1">
      <c r="B93" s="27" t="s">
        <v>6212</v>
      </c>
      <c r="C93" s="27" t="s">
        <v>6213</v>
      </c>
    </row>
    <row r="94" spans="2:3" ht="10.5" customHeight="1">
      <c r="B94" s="27" t="s">
        <v>6214</v>
      </c>
      <c r="C94" s="27" t="s">
        <v>6215</v>
      </c>
    </row>
    <row r="95" spans="2:3" ht="10.5" customHeight="1">
      <c r="B95" s="27" t="s">
        <v>6216</v>
      </c>
      <c r="C95" s="27" t="s">
        <v>6217</v>
      </c>
    </row>
    <row r="96" spans="2:3" ht="10.5" customHeight="1">
      <c r="B96" s="27" t="s">
        <v>6218</v>
      </c>
      <c r="C96" s="27" t="s">
        <v>6219</v>
      </c>
    </row>
    <row r="97" spans="2:3" ht="10.5" customHeight="1">
      <c r="B97" s="27" t="s">
        <v>6220</v>
      </c>
      <c r="C97" s="27" t="s">
        <v>6221</v>
      </c>
    </row>
    <row r="98" spans="2:3" ht="10.5" customHeight="1">
      <c r="B98" s="27" t="s">
        <v>6222</v>
      </c>
      <c r="C98" s="27" t="s">
        <v>6223</v>
      </c>
    </row>
    <row r="99" spans="2:3" ht="10.5" customHeight="1">
      <c r="B99" s="27" t="s">
        <v>6224</v>
      </c>
      <c r="C99" s="27" t="s">
        <v>6225</v>
      </c>
    </row>
    <row r="100" spans="2:3" ht="10.5" customHeight="1">
      <c r="B100" s="27" t="s">
        <v>6226</v>
      </c>
      <c r="C100" s="27" t="s">
        <v>6227</v>
      </c>
    </row>
    <row r="101" spans="2:3" ht="10.5" customHeight="1">
      <c r="B101" s="27" t="s">
        <v>6228</v>
      </c>
      <c r="C101" s="27" t="s">
        <v>6229</v>
      </c>
    </row>
    <row r="102" spans="2:3" ht="10.5" customHeight="1">
      <c r="B102" s="27" t="s">
        <v>6230</v>
      </c>
      <c r="C102" s="27" t="s">
        <v>6231</v>
      </c>
    </row>
    <row r="103" spans="2:3" ht="10.5" customHeight="1">
      <c r="B103" s="27" t="s">
        <v>6232</v>
      </c>
      <c r="C103" s="27" t="s">
        <v>6233</v>
      </c>
    </row>
    <row r="104" spans="2:3" ht="10.5" customHeight="1">
      <c r="B104" s="27" t="s">
        <v>6234</v>
      </c>
      <c r="C104" s="27" t="s">
        <v>6235</v>
      </c>
    </row>
    <row r="105" spans="2:3" ht="10.5" customHeight="1">
      <c r="B105" s="27" t="s">
        <v>6236</v>
      </c>
      <c r="C105" s="27" t="s">
        <v>6237</v>
      </c>
    </row>
    <row r="106" spans="2:3" ht="10.5" customHeight="1">
      <c r="B106" s="27" t="s">
        <v>6238</v>
      </c>
      <c r="C106" s="27" t="s">
        <v>6239</v>
      </c>
    </row>
    <row r="107" spans="2:3" ht="10.5" customHeight="1">
      <c r="B107" s="27" t="s">
        <v>6240</v>
      </c>
      <c r="C107" s="27" t="s">
        <v>6241</v>
      </c>
    </row>
    <row r="108" spans="2:3" ht="10.5" customHeight="1">
      <c r="B108" s="27" t="s">
        <v>6242</v>
      </c>
      <c r="C108" s="27" t="s">
        <v>6243</v>
      </c>
    </row>
    <row r="109" spans="2:3" ht="10.5" customHeight="1">
      <c r="B109" s="27" t="s">
        <v>6244</v>
      </c>
      <c r="C109" s="27" t="s">
        <v>6245</v>
      </c>
    </row>
    <row r="110" spans="2:3" ht="10.5" customHeight="1">
      <c r="B110" s="27" t="s">
        <v>6246</v>
      </c>
      <c r="C110" s="27" t="s">
        <v>6247</v>
      </c>
    </row>
    <row r="111" spans="2:3" ht="10.5" customHeight="1">
      <c r="B111" s="27" t="s">
        <v>6248</v>
      </c>
      <c r="C111" s="27" t="s">
        <v>6249</v>
      </c>
    </row>
    <row r="112" spans="2:3" ht="10.5" customHeight="1">
      <c r="B112" s="27" t="s">
        <v>6250</v>
      </c>
      <c r="C112" s="27" t="s">
        <v>6251</v>
      </c>
    </row>
    <row r="113" spans="2:3" ht="10.5" customHeight="1">
      <c r="B113" s="27" t="s">
        <v>6252</v>
      </c>
      <c r="C113" s="27" t="s">
        <v>6253</v>
      </c>
    </row>
    <row r="114" spans="2:3" ht="10.5" customHeight="1">
      <c r="B114" s="27" t="s">
        <v>6254</v>
      </c>
      <c r="C114" s="27" t="s">
        <v>6255</v>
      </c>
    </row>
    <row r="115" spans="2:3" ht="10.5" customHeight="1">
      <c r="B115" s="27" t="s">
        <v>6256</v>
      </c>
      <c r="C115" s="27" t="s">
        <v>6257</v>
      </c>
    </row>
    <row r="116" spans="2:3" ht="10.5" customHeight="1">
      <c r="B116" s="27" t="s">
        <v>6258</v>
      </c>
      <c r="C116" s="27" t="s">
        <v>6259</v>
      </c>
    </row>
    <row r="117" spans="2:3" ht="10.5" customHeight="1">
      <c r="B117" s="27" t="s">
        <v>6260</v>
      </c>
      <c r="C117" s="27" t="s">
        <v>6261</v>
      </c>
    </row>
    <row r="118" spans="2:3" ht="10.5" customHeight="1">
      <c r="B118" s="27" t="s">
        <v>6262</v>
      </c>
      <c r="C118" s="27" t="s">
        <v>6263</v>
      </c>
    </row>
    <row r="119" spans="2:3" ht="10.5" customHeight="1">
      <c r="B119" s="27" t="s">
        <v>6264</v>
      </c>
      <c r="C119" s="27" t="s">
        <v>6265</v>
      </c>
    </row>
    <row r="120" spans="2:3" ht="10.5" customHeight="1">
      <c r="B120" s="27" t="s">
        <v>6266</v>
      </c>
      <c r="C120" s="27" t="s">
        <v>6267</v>
      </c>
    </row>
    <row r="121" spans="2:3" ht="10.5" customHeight="1">
      <c r="B121" s="27" t="s">
        <v>6268</v>
      </c>
      <c r="C121" s="27" t="s">
        <v>6269</v>
      </c>
    </row>
    <row r="122" spans="2:3" ht="10.5" customHeight="1">
      <c r="B122" s="27" t="s">
        <v>6270</v>
      </c>
      <c r="C122" s="27" t="s">
        <v>6271</v>
      </c>
    </row>
    <row r="123" spans="2:3" ht="10.5" customHeight="1">
      <c r="B123" s="27" t="s">
        <v>6272</v>
      </c>
      <c r="C123" s="27" t="s">
        <v>6273</v>
      </c>
    </row>
    <row r="124" spans="2:3" ht="10.5" customHeight="1">
      <c r="B124" s="27" t="s">
        <v>6274</v>
      </c>
      <c r="C124" s="27" t="s">
        <v>6275</v>
      </c>
    </row>
    <row r="125" spans="2:3" ht="10.5" customHeight="1">
      <c r="B125" s="27" t="s">
        <v>6276</v>
      </c>
      <c r="C125" s="27" t="s">
        <v>6277</v>
      </c>
    </row>
    <row r="126" spans="2:3" ht="10.5" customHeight="1">
      <c r="B126" s="27" t="s">
        <v>6278</v>
      </c>
      <c r="C126" s="27" t="s">
        <v>6279</v>
      </c>
    </row>
    <row r="127" spans="2:3" ht="10.5" customHeight="1">
      <c r="B127" s="27" t="s">
        <v>6280</v>
      </c>
      <c r="C127" s="27" t="s">
        <v>4221</v>
      </c>
    </row>
    <row r="128" spans="2:3" ht="10.5" customHeight="1">
      <c r="B128" s="27" t="s">
        <v>6281</v>
      </c>
      <c r="C128" s="27" t="s">
        <v>6282</v>
      </c>
    </row>
    <row r="129" spans="2:3" ht="10.5" customHeight="1">
      <c r="B129" s="27" t="s">
        <v>6283</v>
      </c>
      <c r="C129" s="27" t="s">
        <v>6284</v>
      </c>
    </row>
    <row r="130" spans="2:3" ht="10.5" customHeight="1">
      <c r="B130" s="27" t="s">
        <v>6285</v>
      </c>
      <c r="C130" s="27" t="s">
        <v>6286</v>
      </c>
    </row>
    <row r="131" spans="2:3" ht="10.5" customHeight="1">
      <c r="B131" s="27" t="s">
        <v>6287</v>
      </c>
      <c r="C131" s="27" t="s">
        <v>6288</v>
      </c>
    </row>
    <row r="132" spans="2:3" ht="10.5" customHeight="1">
      <c r="B132" s="27" t="s">
        <v>6289</v>
      </c>
      <c r="C132" s="27" t="s">
        <v>6290</v>
      </c>
    </row>
    <row r="133" spans="2:3" ht="10.5" customHeight="1">
      <c r="B133" s="27" t="s">
        <v>6291</v>
      </c>
      <c r="C133" s="27" t="s">
        <v>6292</v>
      </c>
    </row>
    <row r="134" spans="2:3" ht="10.5" customHeight="1">
      <c r="B134" s="27" t="s">
        <v>6293</v>
      </c>
      <c r="C134" s="27" t="s">
        <v>6294</v>
      </c>
    </row>
    <row r="135" spans="2:3" ht="10.5" customHeight="1">
      <c r="B135" s="27" t="s">
        <v>6295</v>
      </c>
      <c r="C135" s="27" t="s">
        <v>6296</v>
      </c>
    </row>
    <row r="136" spans="2:3" ht="10.5" customHeight="1">
      <c r="B136" s="27" t="s">
        <v>6297</v>
      </c>
      <c r="C136" s="27" t="s">
        <v>6298</v>
      </c>
    </row>
    <row r="137" spans="2:3" ht="10.5" customHeight="1">
      <c r="B137" s="27" t="s">
        <v>6299</v>
      </c>
      <c r="C137" s="27" t="s">
        <v>6300</v>
      </c>
    </row>
    <row r="138" spans="2:3" ht="10.5" customHeight="1">
      <c r="B138" s="27" t="s">
        <v>6301</v>
      </c>
      <c r="C138" s="27" t="s">
        <v>4777</v>
      </c>
    </row>
    <row r="139" spans="2:3" ht="10.5" customHeight="1">
      <c r="B139" s="27" t="s">
        <v>6302</v>
      </c>
      <c r="C139" s="27" t="s">
        <v>6303</v>
      </c>
    </row>
    <row r="140" spans="2:3" ht="10.5" customHeight="1">
      <c r="B140" s="27" t="s">
        <v>6304</v>
      </c>
      <c r="C140" s="27" t="s">
        <v>3023</v>
      </c>
    </row>
    <row r="141" spans="2:3" ht="10.5" customHeight="1">
      <c r="B141" s="27" t="s">
        <v>6305</v>
      </c>
      <c r="C141" s="27" t="s">
        <v>6306</v>
      </c>
    </row>
    <row r="142" spans="2:3" ht="10.5" customHeight="1">
      <c r="B142" s="27" t="s">
        <v>6307</v>
      </c>
      <c r="C142" s="27" t="s">
        <v>6308</v>
      </c>
    </row>
    <row r="143" spans="2:3" ht="10.5" customHeight="1">
      <c r="B143" s="27" t="s">
        <v>6309</v>
      </c>
      <c r="C143" s="27" t="s">
        <v>1328</v>
      </c>
    </row>
    <row r="144" spans="2:3" ht="10.5" customHeight="1">
      <c r="B144" s="27" t="s">
        <v>6310</v>
      </c>
      <c r="C144" s="27" t="s">
        <v>6311</v>
      </c>
    </row>
    <row r="145" spans="2:3" ht="10.5" customHeight="1">
      <c r="B145" s="27" t="s">
        <v>6312</v>
      </c>
      <c r="C145" s="27" t="s">
        <v>5527</v>
      </c>
    </row>
    <row r="146" spans="2:3" ht="10.5" customHeight="1">
      <c r="B146" s="27" t="s">
        <v>6313</v>
      </c>
      <c r="C146" s="27" t="s">
        <v>6314</v>
      </c>
    </row>
    <row r="147" spans="2:3" ht="10.5" customHeight="1">
      <c r="B147" s="43" t="s">
        <v>6315</v>
      </c>
      <c r="C147" s="43" t="s">
        <v>6316</v>
      </c>
    </row>
    <row r="148" spans="2:3" ht="10.5" customHeight="1">
      <c r="B148" s="28" t="s">
        <v>6034</v>
      </c>
      <c r="C148" s="28" t="s">
        <v>6317</v>
      </c>
    </row>
    <row r="149" spans="2:3" ht="10.5" customHeight="1">
      <c r="B149" s="27" t="s">
        <v>6318</v>
      </c>
      <c r="C149" s="27" t="s">
        <v>6067</v>
      </c>
    </row>
    <row r="150" spans="2:3" ht="10.5" customHeight="1">
      <c r="B150" s="27" t="s">
        <v>6319</v>
      </c>
      <c r="C150" s="27" t="s">
        <v>6320</v>
      </c>
    </row>
    <row r="151" spans="2:3" ht="10.5" customHeight="1">
      <c r="B151" s="27" t="s">
        <v>6321</v>
      </c>
      <c r="C151" s="27" t="s">
        <v>6322</v>
      </c>
    </row>
    <row r="152" spans="2:3" ht="10.5" customHeight="1">
      <c r="B152" s="27" t="s">
        <v>6323</v>
      </c>
      <c r="C152" s="27" t="s">
        <v>6324</v>
      </c>
    </row>
    <row r="153" spans="2:3" ht="10.5" customHeight="1">
      <c r="B153" s="27" t="s">
        <v>6325</v>
      </c>
      <c r="C153" s="27" t="s">
        <v>6326</v>
      </c>
    </row>
    <row r="154" spans="2:3" ht="10.5" customHeight="1">
      <c r="B154" s="27" t="s">
        <v>6327</v>
      </c>
      <c r="C154" s="27" t="s">
        <v>6328</v>
      </c>
    </row>
    <row r="155" spans="2:3" ht="10.5" customHeight="1">
      <c r="B155" s="27" t="s">
        <v>6329</v>
      </c>
      <c r="C155" s="27" t="s">
        <v>6330</v>
      </c>
    </row>
    <row r="156" spans="2:3" ht="10.5" customHeight="1">
      <c r="B156" s="27" t="s">
        <v>6331</v>
      </c>
      <c r="C156" s="27" t="s">
        <v>6332</v>
      </c>
    </row>
    <row r="157" spans="2:3" ht="10.5" customHeight="1">
      <c r="B157" s="27" t="s">
        <v>6333</v>
      </c>
      <c r="C157" s="27" t="s">
        <v>6334</v>
      </c>
    </row>
    <row r="158" spans="2:3" ht="10.5" customHeight="1">
      <c r="B158" s="27" t="s">
        <v>6335</v>
      </c>
      <c r="C158" s="27" t="s">
        <v>6336</v>
      </c>
    </row>
    <row r="159" spans="2:3" ht="10.5" customHeight="1">
      <c r="B159" s="27" t="s">
        <v>6337</v>
      </c>
      <c r="C159" s="27" t="s">
        <v>6338</v>
      </c>
    </row>
    <row r="160" spans="2:3" ht="10.5" customHeight="1">
      <c r="B160" s="27" t="s">
        <v>6339</v>
      </c>
      <c r="C160" s="27" t="s">
        <v>6340</v>
      </c>
    </row>
    <row r="161" spans="2:3" ht="10.5" customHeight="1">
      <c r="B161" s="27" t="s">
        <v>6341</v>
      </c>
      <c r="C161" s="27" t="s">
        <v>6342</v>
      </c>
    </row>
    <row r="162" spans="2:3" ht="10.5" customHeight="1">
      <c r="B162" s="27" t="s">
        <v>6343</v>
      </c>
      <c r="C162" s="27" t="s">
        <v>6344</v>
      </c>
    </row>
    <row r="163" spans="2:3" ht="10.5" customHeight="1">
      <c r="B163" s="27" t="s">
        <v>6345</v>
      </c>
      <c r="C163" s="27" t="s">
        <v>6346</v>
      </c>
    </row>
    <row r="164" spans="2:3" ht="10.5" customHeight="1">
      <c r="B164" s="27" t="s">
        <v>6347</v>
      </c>
      <c r="C164" s="27" t="s">
        <v>6348</v>
      </c>
    </row>
    <row r="165" spans="2:3" ht="10.5" customHeight="1">
      <c r="B165" s="27" t="s">
        <v>6349</v>
      </c>
      <c r="C165" s="27" t="s">
        <v>6350</v>
      </c>
    </row>
    <row r="166" spans="2:3" ht="10.5" customHeight="1">
      <c r="B166" s="27" t="s">
        <v>6351</v>
      </c>
      <c r="C166" s="27" t="s">
        <v>6352</v>
      </c>
    </row>
    <row r="167" spans="2:3" ht="10.5" customHeight="1">
      <c r="B167" s="27" t="s">
        <v>6353</v>
      </c>
      <c r="C167" s="27" t="s">
        <v>6354</v>
      </c>
    </row>
    <row r="168" spans="2:3" ht="10.5" customHeight="1">
      <c r="B168" s="27" t="s">
        <v>6355</v>
      </c>
      <c r="C168" s="27" t="s">
        <v>6356</v>
      </c>
    </row>
    <row r="169" spans="2:3" ht="10.5" customHeight="1">
      <c r="B169" s="27" t="s">
        <v>6357</v>
      </c>
      <c r="C169" s="27" t="s">
        <v>6358</v>
      </c>
    </row>
  </sheetData>
  <autoFilter ref="A2:P169"/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P292"/>
  <sheetViews>
    <sheetView zoomScaleNormal="100" workbookViewId="0">
      <selection activeCell="H4" sqref="H4"/>
    </sheetView>
  </sheetViews>
  <sheetFormatPr defaultRowHeight="12"/>
  <cols>
    <col min="1" max="1" width="2.25" style="29" customWidth="1"/>
    <col min="2" max="2" width="9" style="29"/>
    <col min="3" max="3" width="6" style="29" bestFit="1" customWidth="1"/>
    <col min="4" max="4" width="6.125" style="64" bestFit="1" customWidth="1"/>
    <col min="5" max="5" width="15.5" style="29" bestFit="1" customWidth="1"/>
    <col min="6" max="6" width="36.75" style="29" bestFit="1" customWidth="1"/>
    <col min="7" max="7" width="9" style="29"/>
    <col min="8" max="8" width="10.25" style="29" customWidth="1"/>
    <col min="9" max="16384" width="9" style="29"/>
  </cols>
  <sheetData>
    <row r="1" spans="2:8" ht="12.75" thickBot="1"/>
    <row r="2" spans="2:8" ht="22.5" customHeight="1" thickBot="1">
      <c r="B2" s="38" t="s">
        <v>7026</v>
      </c>
      <c r="C2" s="39" t="s">
        <v>6362</v>
      </c>
      <c r="D2" s="65" t="s">
        <v>6363</v>
      </c>
      <c r="E2" s="38" t="s">
        <v>6369</v>
      </c>
      <c r="F2" s="39" t="s">
        <v>6364</v>
      </c>
    </row>
    <row r="3" spans="2:8">
      <c r="B3" s="30" t="s">
        <v>7025</v>
      </c>
      <c r="C3" s="69" t="s">
        <v>6248</v>
      </c>
      <c r="D3" s="62">
        <v>1</v>
      </c>
      <c r="E3" s="31" t="s">
        <v>6249</v>
      </c>
      <c r="F3" s="32" t="s">
        <v>6365</v>
      </c>
    </row>
    <row r="4" spans="2:8">
      <c r="B4" s="33"/>
      <c r="C4" s="45" t="s">
        <v>6248</v>
      </c>
      <c r="D4" s="63">
        <v>2</v>
      </c>
      <c r="E4" s="27" t="s">
        <v>6249</v>
      </c>
      <c r="F4" s="34" t="s">
        <v>6366</v>
      </c>
    </row>
    <row r="5" spans="2:8">
      <c r="B5" s="33"/>
      <c r="C5" s="45" t="s">
        <v>6248</v>
      </c>
      <c r="D5" s="63">
        <v>3</v>
      </c>
      <c r="E5" s="27" t="s">
        <v>6249</v>
      </c>
      <c r="F5" s="34" t="s">
        <v>6367</v>
      </c>
    </row>
    <row r="6" spans="2:8">
      <c r="B6" s="33"/>
      <c r="C6" s="45" t="s">
        <v>6248</v>
      </c>
      <c r="D6" s="63">
        <v>4</v>
      </c>
      <c r="E6" s="27" t="s">
        <v>6249</v>
      </c>
      <c r="F6" s="34" t="s">
        <v>6368</v>
      </c>
    </row>
    <row r="7" spans="2:8" ht="12.75" thickBot="1">
      <c r="B7" s="55"/>
      <c r="C7" s="70" t="s">
        <v>6248</v>
      </c>
      <c r="D7" s="68" t="s">
        <v>6361</v>
      </c>
      <c r="E7" s="56" t="s">
        <v>6249</v>
      </c>
      <c r="F7" s="57"/>
    </row>
    <row r="8" spans="2:8">
      <c r="B8" s="30" t="s">
        <v>7141</v>
      </c>
      <c r="C8" s="31" t="s">
        <v>6172</v>
      </c>
      <c r="D8" s="62" t="s">
        <v>7170</v>
      </c>
      <c r="E8" s="31" t="s">
        <v>6173</v>
      </c>
      <c r="F8" s="31" t="s">
        <v>7171</v>
      </c>
      <c r="G8" s="31"/>
      <c r="H8" s="32" t="s">
        <v>7172</v>
      </c>
    </row>
    <row r="9" spans="2:8">
      <c r="B9" s="33"/>
      <c r="C9" s="27" t="s">
        <v>6172</v>
      </c>
      <c r="D9" s="63" t="s">
        <v>7173</v>
      </c>
      <c r="E9" s="27" t="s">
        <v>6173</v>
      </c>
      <c r="F9" s="27" t="s">
        <v>7174</v>
      </c>
      <c r="G9" s="27"/>
      <c r="H9" s="34" t="s">
        <v>7172</v>
      </c>
    </row>
    <row r="10" spans="2:8">
      <c r="B10" s="33"/>
      <c r="C10" s="27" t="s">
        <v>6172</v>
      </c>
      <c r="D10" s="63" t="s">
        <v>7175</v>
      </c>
      <c r="E10" s="27" t="s">
        <v>6173</v>
      </c>
      <c r="F10" s="27" t="s">
        <v>7176</v>
      </c>
      <c r="G10" s="27"/>
      <c r="H10" s="34" t="s">
        <v>7172</v>
      </c>
    </row>
    <row r="11" spans="2:8">
      <c r="B11" s="33"/>
      <c r="C11" s="27" t="s">
        <v>6172</v>
      </c>
      <c r="D11" s="63" t="s">
        <v>6834</v>
      </c>
      <c r="E11" s="27" t="s">
        <v>6173</v>
      </c>
      <c r="F11" s="27" t="s">
        <v>7177</v>
      </c>
      <c r="G11" s="27"/>
      <c r="H11" s="34" t="s">
        <v>7178</v>
      </c>
    </row>
    <row r="12" spans="2:8">
      <c r="B12" s="33"/>
      <c r="C12" s="27" t="s">
        <v>6172</v>
      </c>
      <c r="D12" s="63" t="s">
        <v>7179</v>
      </c>
      <c r="E12" s="27" t="s">
        <v>6173</v>
      </c>
      <c r="F12" s="27" t="s">
        <v>7180</v>
      </c>
      <c r="G12" s="27"/>
      <c r="H12" s="34" t="s">
        <v>7178</v>
      </c>
    </row>
    <row r="13" spans="2:8">
      <c r="B13" s="33"/>
      <c r="C13" s="27" t="s">
        <v>6172</v>
      </c>
      <c r="D13" s="63" t="s">
        <v>6839</v>
      </c>
      <c r="E13" s="27" t="s">
        <v>6173</v>
      </c>
      <c r="F13" s="27" t="s">
        <v>7181</v>
      </c>
      <c r="G13" s="27"/>
      <c r="H13" s="34" t="s">
        <v>7182</v>
      </c>
    </row>
    <row r="14" spans="2:8">
      <c r="B14" s="33"/>
      <c r="C14" s="27" t="s">
        <v>6172</v>
      </c>
      <c r="D14" s="63" t="s">
        <v>7183</v>
      </c>
      <c r="E14" s="27" t="s">
        <v>6173</v>
      </c>
      <c r="F14" s="27" t="s">
        <v>7184</v>
      </c>
      <c r="G14" s="27"/>
      <c r="H14" s="34" t="s">
        <v>7182</v>
      </c>
    </row>
    <row r="15" spans="2:8">
      <c r="B15" s="33"/>
      <c r="C15" s="27" t="s">
        <v>6172</v>
      </c>
      <c r="D15" s="63" t="s">
        <v>7185</v>
      </c>
      <c r="E15" s="27" t="s">
        <v>6173</v>
      </c>
      <c r="F15" s="27" t="s">
        <v>7186</v>
      </c>
      <c r="G15" s="27"/>
      <c r="H15" s="34" t="s">
        <v>7182</v>
      </c>
    </row>
    <row r="16" spans="2:8">
      <c r="B16" s="33"/>
      <c r="C16" s="27" t="s">
        <v>6172</v>
      </c>
      <c r="D16" s="63" t="s">
        <v>7187</v>
      </c>
      <c r="E16" s="27" t="s">
        <v>6173</v>
      </c>
      <c r="F16" s="27" t="s">
        <v>7188</v>
      </c>
      <c r="G16" s="27"/>
      <c r="H16" s="34" t="s">
        <v>7172</v>
      </c>
    </row>
    <row r="17" spans="2:8">
      <c r="B17" s="33"/>
      <c r="C17" s="27" t="s">
        <v>6172</v>
      </c>
      <c r="D17" s="63" t="s">
        <v>6846</v>
      </c>
      <c r="E17" s="27" t="s">
        <v>6173</v>
      </c>
      <c r="F17" s="27" t="s">
        <v>7189</v>
      </c>
      <c r="G17" s="27"/>
      <c r="H17" s="34" t="s">
        <v>7190</v>
      </c>
    </row>
    <row r="18" spans="2:8">
      <c r="B18" s="33"/>
      <c r="C18" s="27" t="s">
        <v>6172</v>
      </c>
      <c r="D18" s="63" t="s">
        <v>7191</v>
      </c>
      <c r="E18" s="27" t="s">
        <v>6173</v>
      </c>
      <c r="F18" s="27" t="s">
        <v>2415</v>
      </c>
      <c r="G18" s="27"/>
      <c r="H18" s="34" t="s">
        <v>7178</v>
      </c>
    </row>
    <row r="19" spans="2:8">
      <c r="B19" s="33"/>
      <c r="C19" s="27" t="s">
        <v>6172</v>
      </c>
      <c r="D19" s="63" t="s">
        <v>6817</v>
      </c>
      <c r="E19" s="27" t="s">
        <v>6173</v>
      </c>
      <c r="F19" s="27" t="s">
        <v>7192</v>
      </c>
      <c r="G19" s="27"/>
      <c r="H19" s="34" t="s">
        <v>7178</v>
      </c>
    </row>
    <row r="20" spans="2:8">
      <c r="B20" s="33"/>
      <c r="C20" s="27" t="s">
        <v>6172</v>
      </c>
      <c r="D20" s="63" t="s">
        <v>6796</v>
      </c>
      <c r="E20" s="27" t="s">
        <v>6173</v>
      </c>
      <c r="F20" s="27" t="s">
        <v>7193</v>
      </c>
      <c r="G20" s="27"/>
      <c r="H20" s="34" t="s">
        <v>7178</v>
      </c>
    </row>
    <row r="21" spans="2:8">
      <c r="B21" s="33"/>
      <c r="C21" s="27" t="s">
        <v>6172</v>
      </c>
      <c r="D21" s="63" t="s">
        <v>7194</v>
      </c>
      <c r="E21" s="27" t="s">
        <v>6173</v>
      </c>
      <c r="F21" s="27" t="s">
        <v>7195</v>
      </c>
      <c r="G21" s="27"/>
      <c r="H21" s="34" t="s">
        <v>7178</v>
      </c>
    </row>
    <row r="22" spans="2:8">
      <c r="B22" s="33"/>
      <c r="C22" s="27" t="s">
        <v>6172</v>
      </c>
      <c r="D22" s="63" t="s">
        <v>7196</v>
      </c>
      <c r="E22" s="27" t="s">
        <v>6173</v>
      </c>
      <c r="F22" s="27" t="s">
        <v>7197</v>
      </c>
      <c r="G22" s="27"/>
      <c r="H22" s="34" t="s">
        <v>7182</v>
      </c>
    </row>
    <row r="23" spans="2:8">
      <c r="B23" s="33"/>
      <c r="C23" s="27" t="s">
        <v>6172</v>
      </c>
      <c r="D23" s="63" t="s">
        <v>6870</v>
      </c>
      <c r="E23" s="27" t="s">
        <v>6173</v>
      </c>
      <c r="F23" s="27" t="s">
        <v>7198</v>
      </c>
      <c r="G23" s="27"/>
      <c r="H23" s="34" t="s">
        <v>7182</v>
      </c>
    </row>
    <row r="24" spans="2:8">
      <c r="B24" s="33"/>
      <c r="C24" s="27" t="s">
        <v>6172</v>
      </c>
      <c r="D24" s="63" t="s">
        <v>7199</v>
      </c>
      <c r="E24" s="27" t="s">
        <v>6173</v>
      </c>
      <c r="F24" s="27" t="s">
        <v>7200</v>
      </c>
      <c r="G24" s="27"/>
      <c r="H24" s="34" t="s">
        <v>7182</v>
      </c>
    </row>
    <row r="25" spans="2:8">
      <c r="B25" s="33"/>
      <c r="C25" s="27" t="s">
        <v>6172</v>
      </c>
      <c r="D25" s="63" t="s">
        <v>7201</v>
      </c>
      <c r="E25" s="27" t="s">
        <v>6173</v>
      </c>
      <c r="F25" s="27" t="s">
        <v>7202</v>
      </c>
      <c r="G25" s="27"/>
      <c r="H25" s="34" t="s">
        <v>7182</v>
      </c>
    </row>
    <row r="26" spans="2:8">
      <c r="B26" s="33"/>
      <c r="C26" s="27" t="s">
        <v>6172</v>
      </c>
      <c r="D26" s="63" t="s">
        <v>7203</v>
      </c>
      <c r="E26" s="27" t="s">
        <v>6173</v>
      </c>
      <c r="F26" s="27" t="s">
        <v>7204</v>
      </c>
      <c r="G26" s="27"/>
      <c r="H26" s="34" t="s">
        <v>7182</v>
      </c>
    </row>
    <row r="27" spans="2:8">
      <c r="B27" s="33"/>
      <c r="C27" s="27" t="s">
        <v>6172</v>
      </c>
      <c r="D27" s="63" t="s">
        <v>6871</v>
      </c>
      <c r="E27" s="27" t="s">
        <v>6173</v>
      </c>
      <c r="F27" s="27" t="s">
        <v>1513</v>
      </c>
      <c r="G27" s="27"/>
      <c r="H27" s="34" t="s">
        <v>7182</v>
      </c>
    </row>
    <row r="28" spans="2:8">
      <c r="B28" s="33"/>
      <c r="C28" s="27" t="s">
        <v>6172</v>
      </c>
      <c r="D28" s="63" t="s">
        <v>7205</v>
      </c>
      <c r="E28" s="27" t="s">
        <v>6173</v>
      </c>
      <c r="F28" s="27" t="s">
        <v>7206</v>
      </c>
      <c r="G28" s="27"/>
      <c r="H28" s="34" t="s">
        <v>7182</v>
      </c>
    </row>
    <row r="29" spans="2:8">
      <c r="B29" s="33"/>
      <c r="C29" s="27" t="s">
        <v>6172</v>
      </c>
      <c r="D29" s="63" t="s">
        <v>6822</v>
      </c>
      <c r="E29" s="27" t="s">
        <v>6173</v>
      </c>
      <c r="F29" s="27" t="s">
        <v>7207</v>
      </c>
      <c r="G29" s="27"/>
      <c r="H29" s="34" t="s">
        <v>7182</v>
      </c>
    </row>
    <row r="30" spans="2:8">
      <c r="B30" s="33"/>
      <c r="C30" s="27" t="s">
        <v>6172</v>
      </c>
      <c r="D30" s="63" t="s">
        <v>6873</v>
      </c>
      <c r="E30" s="27" t="s">
        <v>6173</v>
      </c>
      <c r="F30" s="27" t="s">
        <v>7208</v>
      </c>
      <c r="G30" s="27"/>
      <c r="H30" s="34" t="s">
        <v>7182</v>
      </c>
    </row>
    <row r="31" spans="2:8">
      <c r="B31" s="33"/>
      <c r="C31" s="27" t="s">
        <v>6172</v>
      </c>
      <c r="D31" s="63" t="s">
        <v>7209</v>
      </c>
      <c r="E31" s="27" t="s">
        <v>6173</v>
      </c>
      <c r="F31" s="27" t="s">
        <v>7210</v>
      </c>
      <c r="G31" s="27"/>
      <c r="H31" s="34" t="s">
        <v>7182</v>
      </c>
    </row>
    <row r="32" spans="2:8">
      <c r="B32" s="33"/>
      <c r="C32" s="27" t="s">
        <v>6172</v>
      </c>
      <c r="D32" s="63" t="s">
        <v>7211</v>
      </c>
      <c r="E32" s="27" t="s">
        <v>6173</v>
      </c>
      <c r="F32" s="27" t="s">
        <v>4031</v>
      </c>
      <c r="G32" s="27"/>
      <c r="H32" s="34" t="s">
        <v>7182</v>
      </c>
    </row>
    <row r="33" spans="2:8">
      <c r="B33" s="33"/>
      <c r="C33" s="27" t="s">
        <v>6172</v>
      </c>
      <c r="D33" s="63" t="s">
        <v>7212</v>
      </c>
      <c r="E33" s="27" t="s">
        <v>6173</v>
      </c>
      <c r="F33" s="27" t="s">
        <v>4594</v>
      </c>
      <c r="G33" s="27"/>
      <c r="H33" s="34" t="s">
        <v>7182</v>
      </c>
    </row>
    <row r="34" spans="2:8">
      <c r="B34" s="33"/>
      <c r="C34" s="27" t="s">
        <v>6172</v>
      </c>
      <c r="D34" s="63" t="s">
        <v>7213</v>
      </c>
      <c r="E34" s="27" t="s">
        <v>6173</v>
      </c>
      <c r="F34" s="27" t="s">
        <v>7214</v>
      </c>
      <c r="G34" s="27"/>
      <c r="H34" s="34" t="s">
        <v>7182</v>
      </c>
    </row>
    <row r="35" spans="2:8">
      <c r="B35" s="33"/>
      <c r="C35" s="27" t="s">
        <v>6172</v>
      </c>
      <c r="D35" s="63" t="s">
        <v>7215</v>
      </c>
      <c r="E35" s="27" t="s">
        <v>6173</v>
      </c>
      <c r="F35" s="27" t="s">
        <v>7216</v>
      </c>
      <c r="G35" s="27"/>
      <c r="H35" s="34" t="s">
        <v>7182</v>
      </c>
    </row>
    <row r="36" spans="2:8">
      <c r="B36" s="33"/>
      <c r="C36" s="27" t="s">
        <v>6172</v>
      </c>
      <c r="D36" s="63" t="s">
        <v>7217</v>
      </c>
      <c r="E36" s="27" t="s">
        <v>6173</v>
      </c>
      <c r="F36" s="27" t="s">
        <v>7218</v>
      </c>
      <c r="G36" s="27"/>
      <c r="H36" s="34" t="s">
        <v>7182</v>
      </c>
    </row>
    <row r="37" spans="2:8">
      <c r="B37" s="33"/>
      <c r="C37" s="27" t="s">
        <v>6172</v>
      </c>
      <c r="D37" s="63" t="s">
        <v>7219</v>
      </c>
      <c r="E37" s="27" t="s">
        <v>6173</v>
      </c>
      <c r="F37" s="27" t="s">
        <v>7220</v>
      </c>
      <c r="G37" s="27"/>
      <c r="H37" s="34" t="s">
        <v>7182</v>
      </c>
    </row>
    <row r="38" spans="2:8">
      <c r="B38" s="33"/>
      <c r="C38" s="27" t="s">
        <v>6172</v>
      </c>
      <c r="D38" s="63" t="s">
        <v>7221</v>
      </c>
      <c r="E38" s="27" t="s">
        <v>6173</v>
      </c>
      <c r="F38" s="27" t="s">
        <v>7222</v>
      </c>
      <c r="G38" s="27"/>
      <c r="H38" s="34" t="s">
        <v>7190</v>
      </c>
    </row>
    <row r="39" spans="2:8">
      <c r="B39" s="33"/>
      <c r="C39" s="27" t="s">
        <v>6172</v>
      </c>
      <c r="D39" s="63" t="s">
        <v>7223</v>
      </c>
      <c r="E39" s="27" t="s">
        <v>6173</v>
      </c>
      <c r="F39" s="27" t="s">
        <v>7224</v>
      </c>
      <c r="G39" s="27"/>
      <c r="H39" s="34" t="s">
        <v>7190</v>
      </c>
    </row>
    <row r="40" spans="2:8">
      <c r="B40" s="33"/>
      <c r="C40" s="27" t="s">
        <v>6172</v>
      </c>
      <c r="D40" s="63" t="s">
        <v>7225</v>
      </c>
      <c r="E40" s="27" t="s">
        <v>6173</v>
      </c>
      <c r="F40" s="27" t="s">
        <v>7226</v>
      </c>
      <c r="G40" s="27"/>
      <c r="H40" s="34" t="s">
        <v>7190</v>
      </c>
    </row>
    <row r="41" spans="2:8">
      <c r="B41" s="33"/>
      <c r="C41" s="27" t="s">
        <v>6172</v>
      </c>
      <c r="D41" s="63" t="s">
        <v>7227</v>
      </c>
      <c r="E41" s="27" t="s">
        <v>6173</v>
      </c>
      <c r="F41" s="27" t="s">
        <v>7228</v>
      </c>
      <c r="G41" s="27"/>
      <c r="H41" s="34" t="s">
        <v>7190</v>
      </c>
    </row>
    <row r="42" spans="2:8">
      <c r="B42" s="33"/>
      <c r="C42" s="27" t="s">
        <v>6172</v>
      </c>
      <c r="D42" s="63" t="s">
        <v>7229</v>
      </c>
      <c r="E42" s="27" t="s">
        <v>6173</v>
      </c>
      <c r="F42" s="27" t="s">
        <v>7230</v>
      </c>
      <c r="G42" s="27"/>
      <c r="H42" s="34" t="s">
        <v>7190</v>
      </c>
    </row>
    <row r="43" spans="2:8">
      <c r="B43" s="33"/>
      <c r="C43" s="27" t="s">
        <v>6172</v>
      </c>
      <c r="D43" s="63" t="s">
        <v>7231</v>
      </c>
      <c r="E43" s="27" t="s">
        <v>6173</v>
      </c>
      <c r="F43" s="27" t="s">
        <v>7232</v>
      </c>
      <c r="G43" s="27"/>
      <c r="H43" s="34" t="s">
        <v>7233</v>
      </c>
    </row>
    <row r="44" spans="2:8">
      <c r="B44" s="33"/>
      <c r="C44" s="27" t="s">
        <v>6172</v>
      </c>
      <c r="D44" s="63" t="s">
        <v>7234</v>
      </c>
      <c r="E44" s="27" t="s">
        <v>6173</v>
      </c>
      <c r="F44" s="27" t="s">
        <v>7235</v>
      </c>
      <c r="G44" s="27"/>
      <c r="H44" s="34" t="s">
        <v>7190</v>
      </c>
    </row>
    <row r="45" spans="2:8">
      <c r="B45" s="33"/>
      <c r="C45" s="27" t="s">
        <v>6172</v>
      </c>
      <c r="D45" s="63" t="s">
        <v>7236</v>
      </c>
      <c r="E45" s="27" t="s">
        <v>6173</v>
      </c>
      <c r="F45" s="27" t="s">
        <v>7237</v>
      </c>
      <c r="G45" s="27"/>
      <c r="H45" s="34" t="s">
        <v>7190</v>
      </c>
    </row>
    <row r="46" spans="2:8">
      <c r="B46" s="33"/>
      <c r="C46" s="27" t="s">
        <v>6172</v>
      </c>
      <c r="D46" s="63" t="s">
        <v>7238</v>
      </c>
      <c r="E46" s="27" t="s">
        <v>6173</v>
      </c>
      <c r="F46" s="27" t="s">
        <v>7239</v>
      </c>
      <c r="G46" s="27"/>
      <c r="H46" s="34" t="s">
        <v>7190</v>
      </c>
    </row>
    <row r="47" spans="2:8">
      <c r="B47" s="33"/>
      <c r="C47" s="27" t="s">
        <v>6172</v>
      </c>
      <c r="D47" s="63" t="s">
        <v>6831</v>
      </c>
      <c r="E47" s="27" t="s">
        <v>6173</v>
      </c>
      <c r="F47" s="27" t="s">
        <v>7240</v>
      </c>
      <c r="G47" s="27"/>
      <c r="H47" s="34" t="s">
        <v>7190</v>
      </c>
    </row>
    <row r="48" spans="2:8">
      <c r="B48" s="33"/>
      <c r="C48" s="27" t="s">
        <v>6172</v>
      </c>
      <c r="D48" s="63" t="s">
        <v>7241</v>
      </c>
      <c r="E48" s="27" t="s">
        <v>6173</v>
      </c>
      <c r="F48" s="27" t="s">
        <v>7242</v>
      </c>
      <c r="G48" s="27"/>
      <c r="H48" s="34" t="s">
        <v>7190</v>
      </c>
    </row>
    <row r="49" spans="2:8">
      <c r="B49" s="33"/>
      <c r="C49" s="27" t="s">
        <v>6172</v>
      </c>
      <c r="D49" s="63" t="s">
        <v>6798</v>
      </c>
      <c r="E49" s="27" t="s">
        <v>6173</v>
      </c>
      <c r="F49" s="27" t="s">
        <v>1505</v>
      </c>
      <c r="G49" s="27"/>
      <c r="H49" s="34" t="s">
        <v>7190</v>
      </c>
    </row>
    <row r="50" spans="2:8">
      <c r="B50" s="33"/>
      <c r="C50" s="27" t="s">
        <v>6172</v>
      </c>
      <c r="D50" s="63" t="s">
        <v>7243</v>
      </c>
      <c r="E50" s="27" t="s">
        <v>6173</v>
      </c>
      <c r="F50" s="27" t="s">
        <v>7244</v>
      </c>
      <c r="G50" s="27"/>
      <c r="H50" s="34" t="s">
        <v>7182</v>
      </c>
    </row>
    <row r="51" spans="2:8">
      <c r="B51" s="33"/>
      <c r="C51" s="27" t="s">
        <v>6172</v>
      </c>
      <c r="D51" s="63" t="s">
        <v>7245</v>
      </c>
      <c r="E51" s="27" t="s">
        <v>6173</v>
      </c>
      <c r="F51" s="27" t="s">
        <v>7246</v>
      </c>
      <c r="G51" s="27"/>
      <c r="H51" s="34" t="s">
        <v>7182</v>
      </c>
    </row>
    <row r="52" spans="2:8">
      <c r="B52" s="33"/>
      <c r="C52" s="27" t="s">
        <v>6172</v>
      </c>
      <c r="D52" s="63" t="s">
        <v>7247</v>
      </c>
      <c r="E52" s="27" t="s">
        <v>6173</v>
      </c>
      <c r="F52" s="27" t="s">
        <v>7248</v>
      </c>
      <c r="G52" s="27"/>
      <c r="H52" s="34" t="s">
        <v>7182</v>
      </c>
    </row>
    <row r="53" spans="2:8">
      <c r="B53" s="33"/>
      <c r="C53" s="27" t="s">
        <v>6172</v>
      </c>
      <c r="D53" s="63" t="s">
        <v>7249</v>
      </c>
      <c r="E53" s="27" t="s">
        <v>6173</v>
      </c>
      <c r="F53" s="27" t="s">
        <v>7250</v>
      </c>
      <c r="G53" s="27"/>
      <c r="H53" s="34" t="s">
        <v>7182</v>
      </c>
    </row>
    <row r="54" spans="2:8">
      <c r="B54" s="33"/>
      <c r="C54" s="27" t="s">
        <v>6172</v>
      </c>
      <c r="D54" s="63" t="s">
        <v>6874</v>
      </c>
      <c r="E54" s="27" t="s">
        <v>6173</v>
      </c>
      <c r="F54" s="27" t="s">
        <v>7251</v>
      </c>
      <c r="G54" s="27"/>
      <c r="H54" s="34" t="s">
        <v>7182</v>
      </c>
    </row>
    <row r="55" spans="2:8">
      <c r="B55" s="33"/>
      <c r="C55" s="27" t="s">
        <v>6172</v>
      </c>
      <c r="D55" s="63" t="s">
        <v>7252</v>
      </c>
      <c r="E55" s="27" t="s">
        <v>6173</v>
      </c>
      <c r="F55" s="27" t="s">
        <v>7253</v>
      </c>
      <c r="G55" s="27"/>
      <c r="H55" s="34" t="s">
        <v>7182</v>
      </c>
    </row>
    <row r="56" spans="2:8">
      <c r="B56" s="33"/>
      <c r="C56" s="27" t="s">
        <v>6172</v>
      </c>
      <c r="D56" s="63" t="s">
        <v>7254</v>
      </c>
      <c r="E56" s="27" t="s">
        <v>6173</v>
      </c>
      <c r="F56" s="27" t="s">
        <v>7255</v>
      </c>
      <c r="G56" s="27"/>
      <c r="H56" s="34" t="s">
        <v>7182</v>
      </c>
    </row>
    <row r="57" spans="2:8">
      <c r="B57" s="33"/>
      <c r="C57" s="27" t="s">
        <v>6172</v>
      </c>
      <c r="D57" s="63" t="s">
        <v>7256</v>
      </c>
      <c r="E57" s="27" t="s">
        <v>6173</v>
      </c>
      <c r="F57" s="27" t="s">
        <v>7257</v>
      </c>
      <c r="G57" s="27"/>
      <c r="H57" s="34" t="s">
        <v>7257</v>
      </c>
    </row>
    <row r="58" spans="2:8">
      <c r="B58" s="33"/>
      <c r="C58" s="27" t="s">
        <v>6172</v>
      </c>
      <c r="D58" s="63" t="s">
        <v>7258</v>
      </c>
      <c r="E58" s="27" t="s">
        <v>6173</v>
      </c>
      <c r="F58" s="27" t="s">
        <v>7259</v>
      </c>
      <c r="G58" s="27"/>
      <c r="H58" s="34" t="s">
        <v>7182</v>
      </c>
    </row>
    <row r="59" spans="2:8">
      <c r="B59" s="33"/>
      <c r="C59" s="27" t="s">
        <v>6172</v>
      </c>
      <c r="D59" s="63" t="s">
        <v>7260</v>
      </c>
      <c r="E59" s="27" t="s">
        <v>6173</v>
      </c>
      <c r="F59" s="27" t="s">
        <v>7261</v>
      </c>
      <c r="G59" s="27"/>
      <c r="H59" s="34" t="s">
        <v>7182</v>
      </c>
    </row>
    <row r="60" spans="2:8">
      <c r="B60" s="33"/>
      <c r="C60" s="27" t="s">
        <v>6172</v>
      </c>
      <c r="D60" s="63" t="s">
        <v>7262</v>
      </c>
      <c r="E60" s="27" t="s">
        <v>6173</v>
      </c>
      <c r="F60" s="27" t="s">
        <v>7263</v>
      </c>
      <c r="G60" s="27"/>
      <c r="H60" s="34" t="s">
        <v>7182</v>
      </c>
    </row>
    <row r="61" spans="2:8">
      <c r="B61" s="33"/>
      <c r="C61" s="27" t="s">
        <v>6172</v>
      </c>
      <c r="D61" s="63" t="s">
        <v>7264</v>
      </c>
      <c r="E61" s="27" t="s">
        <v>6173</v>
      </c>
      <c r="F61" s="27" t="s">
        <v>7265</v>
      </c>
      <c r="G61" s="27"/>
      <c r="H61" s="34" t="s">
        <v>7172</v>
      </c>
    </row>
    <row r="62" spans="2:8">
      <c r="B62" s="33"/>
      <c r="C62" s="27" t="s">
        <v>6172</v>
      </c>
      <c r="D62" s="63" t="s">
        <v>7266</v>
      </c>
      <c r="E62" s="27" t="s">
        <v>6173</v>
      </c>
      <c r="F62" s="27" t="s">
        <v>7267</v>
      </c>
      <c r="G62" s="27"/>
      <c r="H62" s="34" t="s">
        <v>7190</v>
      </c>
    </row>
    <row r="63" spans="2:8">
      <c r="B63" s="33"/>
      <c r="C63" s="27" t="s">
        <v>6172</v>
      </c>
      <c r="D63" s="63" t="s">
        <v>7268</v>
      </c>
      <c r="E63" s="27" t="s">
        <v>6173</v>
      </c>
      <c r="F63" s="27" t="s">
        <v>7269</v>
      </c>
      <c r="G63" s="27"/>
      <c r="H63" s="34" t="s">
        <v>7182</v>
      </c>
    </row>
    <row r="64" spans="2:8">
      <c r="B64" s="33"/>
      <c r="C64" s="27" t="s">
        <v>6172</v>
      </c>
      <c r="D64" s="63" t="s">
        <v>7270</v>
      </c>
      <c r="E64" s="27" t="s">
        <v>6173</v>
      </c>
      <c r="F64" s="27" t="s">
        <v>7271</v>
      </c>
      <c r="G64" s="27"/>
      <c r="H64" s="34" t="s">
        <v>7182</v>
      </c>
    </row>
    <row r="65" spans="2:8">
      <c r="B65" s="33"/>
      <c r="C65" s="27" t="s">
        <v>6172</v>
      </c>
      <c r="D65" s="63" t="s">
        <v>7272</v>
      </c>
      <c r="E65" s="27" t="s">
        <v>6173</v>
      </c>
      <c r="F65" s="27" t="s">
        <v>7273</v>
      </c>
      <c r="G65" s="27"/>
      <c r="H65" s="34" t="s">
        <v>7182</v>
      </c>
    </row>
    <row r="66" spans="2:8">
      <c r="B66" s="33"/>
      <c r="C66" s="27" t="s">
        <v>6172</v>
      </c>
      <c r="D66" s="63" t="s">
        <v>6799</v>
      </c>
      <c r="E66" s="27" t="s">
        <v>6173</v>
      </c>
      <c r="F66" s="27" t="s">
        <v>7274</v>
      </c>
      <c r="G66" s="27"/>
      <c r="H66" s="34" t="s">
        <v>7257</v>
      </c>
    </row>
    <row r="67" spans="2:8">
      <c r="B67" s="33"/>
      <c r="C67" s="27" t="s">
        <v>6172</v>
      </c>
      <c r="D67" s="63" t="s">
        <v>7275</v>
      </c>
      <c r="E67" s="27" t="s">
        <v>6173</v>
      </c>
      <c r="F67" s="27" t="s">
        <v>7276</v>
      </c>
      <c r="G67" s="27"/>
      <c r="H67" s="34" t="s">
        <v>7182</v>
      </c>
    </row>
    <row r="68" spans="2:8">
      <c r="B68" s="33"/>
      <c r="C68" s="27" t="s">
        <v>6172</v>
      </c>
      <c r="D68" s="63" t="s">
        <v>7277</v>
      </c>
      <c r="E68" s="27" t="s">
        <v>6173</v>
      </c>
      <c r="F68" s="27" t="s">
        <v>7278</v>
      </c>
      <c r="G68" s="27"/>
      <c r="H68" s="34" t="s">
        <v>7182</v>
      </c>
    </row>
    <row r="69" spans="2:8">
      <c r="B69" s="33"/>
      <c r="C69" s="27" t="s">
        <v>6172</v>
      </c>
      <c r="D69" s="63" t="s">
        <v>7279</v>
      </c>
      <c r="E69" s="27" t="s">
        <v>6173</v>
      </c>
      <c r="F69" s="27" t="s">
        <v>7280</v>
      </c>
      <c r="G69" s="27"/>
      <c r="H69" s="34" t="s">
        <v>7182</v>
      </c>
    </row>
    <row r="70" spans="2:8">
      <c r="B70" s="33"/>
      <c r="C70" s="27" t="s">
        <v>6172</v>
      </c>
      <c r="D70" s="63" t="s">
        <v>7281</v>
      </c>
      <c r="E70" s="27" t="s">
        <v>6173</v>
      </c>
      <c r="F70" s="27" t="s">
        <v>7282</v>
      </c>
      <c r="G70" s="27"/>
      <c r="H70" s="34" t="s">
        <v>7182</v>
      </c>
    </row>
    <row r="71" spans="2:8">
      <c r="B71" s="33"/>
      <c r="C71" s="27" t="s">
        <v>6172</v>
      </c>
      <c r="D71" s="63" t="s">
        <v>7283</v>
      </c>
      <c r="E71" s="27" t="s">
        <v>6173</v>
      </c>
      <c r="F71" s="27" t="s">
        <v>2421</v>
      </c>
      <c r="G71" s="27"/>
      <c r="H71" s="34" t="s">
        <v>7182</v>
      </c>
    </row>
    <row r="72" spans="2:8">
      <c r="B72" s="33"/>
      <c r="C72" s="27" t="s">
        <v>6172</v>
      </c>
      <c r="D72" s="63" t="s">
        <v>7284</v>
      </c>
      <c r="E72" s="27" t="s">
        <v>6173</v>
      </c>
      <c r="F72" s="27" t="s">
        <v>7285</v>
      </c>
      <c r="G72" s="27"/>
      <c r="H72" s="34" t="s">
        <v>7182</v>
      </c>
    </row>
    <row r="73" spans="2:8">
      <c r="B73" s="33"/>
      <c r="C73" s="27" t="s">
        <v>6172</v>
      </c>
      <c r="D73" s="63" t="s">
        <v>7286</v>
      </c>
      <c r="E73" s="27" t="s">
        <v>6173</v>
      </c>
      <c r="F73" s="27" t="s">
        <v>7287</v>
      </c>
      <c r="G73" s="27"/>
      <c r="H73" s="34" t="s">
        <v>7182</v>
      </c>
    </row>
    <row r="74" spans="2:8">
      <c r="B74" s="33"/>
      <c r="C74" s="27" t="s">
        <v>6172</v>
      </c>
      <c r="D74" s="63" t="s">
        <v>7288</v>
      </c>
      <c r="E74" s="27" t="s">
        <v>6173</v>
      </c>
      <c r="F74" s="27" t="s">
        <v>7289</v>
      </c>
      <c r="G74" s="27"/>
      <c r="H74" s="34" t="s">
        <v>7182</v>
      </c>
    </row>
    <row r="75" spans="2:8">
      <c r="B75" s="33"/>
      <c r="C75" s="27" t="s">
        <v>6172</v>
      </c>
      <c r="D75" s="63" t="s">
        <v>7290</v>
      </c>
      <c r="E75" s="27" t="s">
        <v>6173</v>
      </c>
      <c r="F75" s="27" t="s">
        <v>7291</v>
      </c>
      <c r="G75" s="27"/>
      <c r="H75" s="34" t="s">
        <v>7182</v>
      </c>
    </row>
    <row r="76" spans="2:8" ht="12.75" thickBot="1">
      <c r="B76" s="35"/>
      <c r="C76" s="36" t="s">
        <v>6172</v>
      </c>
      <c r="D76" s="66" t="s">
        <v>6361</v>
      </c>
      <c r="E76" s="36" t="s">
        <v>6173</v>
      </c>
      <c r="F76" s="36"/>
      <c r="G76" s="36"/>
      <c r="H76" s="37"/>
    </row>
    <row r="77" spans="2:8" s="41" customFormat="1">
      <c r="B77" s="73" t="s">
        <v>6593</v>
      </c>
      <c r="C77" s="74" t="s">
        <v>6034</v>
      </c>
      <c r="D77" s="75">
        <v>1</v>
      </c>
      <c r="E77" s="76" t="s">
        <v>6317</v>
      </c>
      <c r="F77" s="76" t="s">
        <v>3841</v>
      </c>
      <c r="G77" s="77" t="s">
        <v>6379</v>
      </c>
    </row>
    <row r="78" spans="2:8" s="41" customFormat="1">
      <c r="B78" s="42"/>
      <c r="C78" s="44" t="s">
        <v>8439</v>
      </c>
      <c r="D78" s="67">
        <v>2</v>
      </c>
      <c r="E78" s="40" t="s">
        <v>6317</v>
      </c>
      <c r="F78" s="40" t="s">
        <v>6371</v>
      </c>
      <c r="G78" s="46" t="s">
        <v>6379</v>
      </c>
    </row>
    <row r="79" spans="2:8">
      <c r="B79" s="33"/>
      <c r="C79" s="45" t="s">
        <v>6034</v>
      </c>
      <c r="D79" s="63">
        <v>3</v>
      </c>
      <c r="E79" s="27" t="s">
        <v>6317</v>
      </c>
      <c r="F79" s="27" t="s">
        <v>6372</v>
      </c>
      <c r="G79" s="34" t="s">
        <v>6379</v>
      </c>
    </row>
    <row r="80" spans="2:8">
      <c r="B80" s="33"/>
      <c r="C80" s="45" t="s">
        <v>6034</v>
      </c>
      <c r="D80" s="63">
        <v>4</v>
      </c>
      <c r="E80" s="27" t="s">
        <v>6317</v>
      </c>
      <c r="F80" s="27" t="s">
        <v>6373</v>
      </c>
      <c r="G80" s="34" t="s">
        <v>6379</v>
      </c>
    </row>
    <row r="81" spans="2:16" s="41" customFormat="1" ht="11.25" customHeight="1">
      <c r="B81" s="42"/>
      <c r="C81" s="44" t="s">
        <v>6034</v>
      </c>
      <c r="D81" s="67">
        <v>5</v>
      </c>
      <c r="E81" s="40" t="s">
        <v>6317</v>
      </c>
      <c r="F81" s="40" t="s">
        <v>6374</v>
      </c>
      <c r="G81" s="46"/>
    </row>
    <row r="82" spans="2:16">
      <c r="B82" s="33"/>
      <c r="C82" s="45" t="s">
        <v>6034</v>
      </c>
      <c r="D82" s="63">
        <v>6</v>
      </c>
      <c r="E82" s="27" t="s">
        <v>6317</v>
      </c>
      <c r="F82" s="27" t="s">
        <v>6375</v>
      </c>
      <c r="G82" s="34" t="s">
        <v>6379</v>
      </c>
    </row>
    <row r="83" spans="2:16">
      <c r="B83" s="33"/>
      <c r="C83" s="45" t="s">
        <v>6034</v>
      </c>
      <c r="D83" s="63">
        <v>7</v>
      </c>
      <c r="E83" s="27" t="s">
        <v>6317</v>
      </c>
      <c r="F83" s="27" t="s">
        <v>6376</v>
      </c>
      <c r="G83" s="34"/>
    </row>
    <row r="84" spans="2:16">
      <c r="B84" s="33"/>
      <c r="C84" s="45" t="s">
        <v>6034</v>
      </c>
      <c r="D84" s="63">
        <v>8</v>
      </c>
      <c r="E84" s="27" t="s">
        <v>6317</v>
      </c>
      <c r="F84" s="27" t="s">
        <v>6377</v>
      </c>
      <c r="G84" s="34"/>
    </row>
    <row r="85" spans="2:16">
      <c r="B85" s="33"/>
      <c r="C85" s="45" t="s">
        <v>6034</v>
      </c>
      <c r="D85" s="63">
        <v>9</v>
      </c>
      <c r="E85" s="27" t="s">
        <v>6317</v>
      </c>
      <c r="F85" s="27" t="s">
        <v>6378</v>
      </c>
      <c r="G85" s="34"/>
    </row>
    <row r="86" spans="2:16">
      <c r="B86" s="33"/>
      <c r="C86" s="45" t="s">
        <v>6034</v>
      </c>
      <c r="D86" s="63">
        <v>10</v>
      </c>
      <c r="E86" s="27" t="s">
        <v>6317</v>
      </c>
      <c r="F86" s="27" t="s">
        <v>6370</v>
      </c>
      <c r="G86" s="34"/>
    </row>
    <row r="87" spans="2:16" ht="12.75" thickBot="1">
      <c r="B87" s="35"/>
      <c r="C87" s="71" t="s">
        <v>6034</v>
      </c>
      <c r="D87" s="66" t="s">
        <v>6361</v>
      </c>
      <c r="E87" s="36" t="s">
        <v>6317</v>
      </c>
      <c r="F87" s="36"/>
      <c r="G87" s="37"/>
    </row>
    <row r="88" spans="2:16">
      <c r="B88" s="30" t="s">
        <v>6686</v>
      </c>
      <c r="C88" s="69" t="s">
        <v>6315</v>
      </c>
      <c r="D88" s="62">
        <v>1</v>
      </c>
      <c r="E88" s="31" t="s">
        <v>6316</v>
      </c>
      <c r="F88" s="32" t="s">
        <v>6380</v>
      </c>
    </row>
    <row r="89" spans="2:16">
      <c r="B89" s="33"/>
      <c r="C89" s="45" t="s">
        <v>6315</v>
      </c>
      <c r="D89" s="63">
        <v>2</v>
      </c>
      <c r="E89" s="27" t="s">
        <v>6316</v>
      </c>
      <c r="F89" s="34" t="s">
        <v>6381</v>
      </c>
    </row>
    <row r="90" spans="2:16">
      <c r="B90" s="33"/>
      <c r="C90" s="45" t="s">
        <v>6315</v>
      </c>
      <c r="D90" s="63">
        <v>3</v>
      </c>
      <c r="E90" s="27" t="s">
        <v>6316</v>
      </c>
      <c r="F90" s="34" t="s">
        <v>6382</v>
      </c>
    </row>
    <row r="91" spans="2:16">
      <c r="B91" s="33"/>
      <c r="C91" s="45" t="s">
        <v>6315</v>
      </c>
      <c r="D91" s="63">
        <v>4</v>
      </c>
      <c r="E91" s="27" t="s">
        <v>6316</v>
      </c>
      <c r="F91" s="34" t="s">
        <v>6383</v>
      </c>
    </row>
    <row r="92" spans="2:16" ht="13.5" customHeight="1" thickBot="1">
      <c r="B92" s="55"/>
      <c r="C92" s="70" t="s">
        <v>6315</v>
      </c>
      <c r="D92" s="68" t="s">
        <v>6361</v>
      </c>
      <c r="E92" s="56" t="s">
        <v>6316</v>
      </c>
      <c r="F92" s="57"/>
    </row>
    <row r="93" spans="2:16">
      <c r="B93" s="30" t="s">
        <v>6694</v>
      </c>
      <c r="C93" s="69" t="s">
        <v>6321</v>
      </c>
      <c r="D93" s="62" t="s">
        <v>6729</v>
      </c>
      <c r="E93" s="31" t="s">
        <v>6322</v>
      </c>
      <c r="F93" s="31" t="s">
        <v>6508</v>
      </c>
      <c r="G93" s="58"/>
      <c r="H93" s="31" t="s">
        <v>6379</v>
      </c>
      <c r="I93" s="31"/>
      <c r="J93" s="31">
        <v>20010719</v>
      </c>
      <c r="K93" s="31"/>
      <c r="L93" s="31">
        <v>10</v>
      </c>
      <c r="M93" s="31" t="s">
        <v>6379</v>
      </c>
      <c r="N93" s="32">
        <v>2</v>
      </c>
      <c r="O93" s="45" t="s">
        <v>6379</v>
      </c>
      <c r="P93" s="27"/>
    </row>
    <row r="94" spans="2:16">
      <c r="B94" s="33"/>
      <c r="C94" s="45" t="s">
        <v>6321</v>
      </c>
      <c r="D94" s="63" t="s">
        <v>6730</v>
      </c>
      <c r="E94" s="27" t="s">
        <v>6322</v>
      </c>
      <c r="F94" s="27" t="s">
        <v>6509</v>
      </c>
      <c r="G94" s="59"/>
      <c r="H94" s="27"/>
      <c r="I94" s="27"/>
      <c r="J94" s="27">
        <v>20010719</v>
      </c>
      <c r="K94" s="27"/>
      <c r="L94" s="27">
        <v>20</v>
      </c>
      <c r="M94" s="27" t="s">
        <v>6379</v>
      </c>
      <c r="N94" s="34">
        <v>2</v>
      </c>
      <c r="O94" s="45" t="s">
        <v>6379</v>
      </c>
      <c r="P94" s="27"/>
    </row>
    <row r="95" spans="2:16">
      <c r="B95" s="33"/>
      <c r="C95" s="45" t="s">
        <v>6321</v>
      </c>
      <c r="D95" s="63" t="s">
        <v>6731</v>
      </c>
      <c r="E95" s="27" t="s">
        <v>6322</v>
      </c>
      <c r="F95" s="27" t="s">
        <v>6510</v>
      </c>
      <c r="G95" s="59"/>
      <c r="H95" s="27"/>
      <c r="I95" s="27"/>
      <c r="J95" s="27">
        <v>20010719</v>
      </c>
      <c r="K95" s="27"/>
      <c r="L95" s="27">
        <v>550</v>
      </c>
      <c r="M95" s="27" t="s">
        <v>6379</v>
      </c>
      <c r="N95" s="34">
        <v>1</v>
      </c>
      <c r="O95" s="45" t="s">
        <v>6379</v>
      </c>
      <c r="P95" s="27"/>
    </row>
    <row r="96" spans="2:16">
      <c r="B96" s="33"/>
      <c r="C96" s="45" t="s">
        <v>6321</v>
      </c>
      <c r="D96" s="63" t="s">
        <v>6732</v>
      </c>
      <c r="E96" s="27" t="s">
        <v>6322</v>
      </c>
      <c r="F96" s="27" t="s">
        <v>6511</v>
      </c>
      <c r="G96" s="59"/>
      <c r="H96" s="27" t="s">
        <v>6379</v>
      </c>
      <c r="I96" s="27"/>
      <c r="J96" s="27">
        <v>20010719</v>
      </c>
      <c r="K96" s="27"/>
      <c r="L96" s="27">
        <v>30</v>
      </c>
      <c r="M96" s="27" t="s">
        <v>6379</v>
      </c>
      <c r="N96" s="34">
        <v>2</v>
      </c>
      <c r="O96" s="45" t="s">
        <v>6379</v>
      </c>
      <c r="P96" s="27"/>
    </row>
    <row r="97" spans="2:16">
      <c r="B97" s="33"/>
      <c r="C97" s="45" t="s">
        <v>6321</v>
      </c>
      <c r="D97" s="63" t="s">
        <v>6733</v>
      </c>
      <c r="E97" s="27" t="s">
        <v>6322</v>
      </c>
      <c r="F97" s="27" t="s">
        <v>6512</v>
      </c>
      <c r="G97" s="59"/>
      <c r="H97" s="27"/>
      <c r="I97" s="27"/>
      <c r="J97" s="27">
        <v>20010719</v>
      </c>
      <c r="K97" s="27"/>
      <c r="L97" s="27">
        <v>40</v>
      </c>
      <c r="M97" s="27" t="s">
        <v>6379</v>
      </c>
      <c r="N97" s="34">
        <v>1</v>
      </c>
      <c r="O97" s="45"/>
      <c r="P97" s="27"/>
    </row>
    <row r="98" spans="2:16">
      <c r="B98" s="33"/>
      <c r="C98" s="45" t="s">
        <v>6321</v>
      </c>
      <c r="D98" s="63" t="s">
        <v>6734</v>
      </c>
      <c r="E98" s="27" t="s">
        <v>6322</v>
      </c>
      <c r="F98" s="27" t="s">
        <v>6513</v>
      </c>
      <c r="G98" s="59"/>
      <c r="H98" s="27" t="s">
        <v>6379</v>
      </c>
      <c r="I98" s="27"/>
      <c r="J98" s="27">
        <v>20010719</v>
      </c>
      <c r="K98" s="27">
        <v>20060228</v>
      </c>
      <c r="L98" s="27">
        <v>560</v>
      </c>
      <c r="M98" s="27" t="s">
        <v>6379</v>
      </c>
      <c r="N98" s="34">
        <v>1</v>
      </c>
      <c r="O98" s="45" t="s">
        <v>6379</v>
      </c>
      <c r="P98" s="27"/>
    </row>
    <row r="99" spans="2:16">
      <c r="B99" s="33"/>
      <c r="C99" s="45" t="s">
        <v>6321</v>
      </c>
      <c r="D99" s="63" t="s">
        <v>6735</v>
      </c>
      <c r="E99" s="27" t="s">
        <v>6322</v>
      </c>
      <c r="F99" s="27" t="s">
        <v>6514</v>
      </c>
      <c r="G99" s="59"/>
      <c r="H99" s="27" t="s">
        <v>6379</v>
      </c>
      <c r="I99" s="27"/>
      <c r="J99" s="27">
        <v>20010719</v>
      </c>
      <c r="K99" s="27"/>
      <c r="L99" s="27">
        <v>610</v>
      </c>
      <c r="M99" s="27" t="s">
        <v>6379</v>
      </c>
      <c r="N99" s="34">
        <v>1</v>
      </c>
      <c r="O99" s="45" t="s">
        <v>6379</v>
      </c>
      <c r="P99" s="27"/>
    </row>
    <row r="100" spans="2:16">
      <c r="B100" s="33"/>
      <c r="C100" s="45" t="s">
        <v>6321</v>
      </c>
      <c r="D100" s="63" t="s">
        <v>6736</v>
      </c>
      <c r="E100" s="27" t="s">
        <v>6322</v>
      </c>
      <c r="F100" s="27" t="s">
        <v>6515</v>
      </c>
      <c r="G100" s="59"/>
      <c r="H100" s="27"/>
      <c r="I100" s="27"/>
      <c r="J100" s="27">
        <v>20010719</v>
      </c>
      <c r="K100" s="27"/>
      <c r="L100" s="27">
        <v>50</v>
      </c>
      <c r="M100" s="27" t="s">
        <v>6379</v>
      </c>
      <c r="N100" s="34">
        <v>1</v>
      </c>
      <c r="O100" s="45"/>
      <c r="P100" s="27"/>
    </row>
    <row r="101" spans="2:16">
      <c r="B101" s="33"/>
      <c r="C101" s="45" t="s">
        <v>6321</v>
      </c>
      <c r="D101" s="63" t="s">
        <v>6737</v>
      </c>
      <c r="E101" s="27" t="s">
        <v>6322</v>
      </c>
      <c r="F101" s="27" t="s">
        <v>6516</v>
      </c>
      <c r="G101" s="59"/>
      <c r="H101" s="27"/>
      <c r="I101" s="27"/>
      <c r="J101" s="27">
        <v>20010719</v>
      </c>
      <c r="K101" s="27"/>
      <c r="L101" s="27">
        <v>60</v>
      </c>
      <c r="M101" s="27" t="s">
        <v>6379</v>
      </c>
      <c r="N101" s="34">
        <v>1</v>
      </c>
      <c r="O101" s="45"/>
      <c r="P101" s="27"/>
    </row>
    <row r="102" spans="2:16">
      <c r="B102" s="33"/>
      <c r="C102" s="45" t="s">
        <v>6321</v>
      </c>
      <c r="D102" s="63" t="s">
        <v>6738</v>
      </c>
      <c r="E102" s="27" t="s">
        <v>6322</v>
      </c>
      <c r="F102" s="27" t="s">
        <v>6517</v>
      </c>
      <c r="G102" s="59"/>
      <c r="H102" s="27" t="s">
        <v>6379</v>
      </c>
      <c r="I102" s="27"/>
      <c r="J102" s="27">
        <v>20010719</v>
      </c>
      <c r="K102" s="27"/>
      <c r="L102" s="27">
        <v>570</v>
      </c>
      <c r="M102" s="27" t="s">
        <v>6379</v>
      </c>
      <c r="N102" s="34">
        <v>1</v>
      </c>
      <c r="O102" s="45" t="s">
        <v>6379</v>
      </c>
      <c r="P102" s="27"/>
    </row>
    <row r="103" spans="2:16">
      <c r="B103" s="33"/>
      <c r="C103" s="45" t="s">
        <v>6321</v>
      </c>
      <c r="D103" s="63" t="s">
        <v>6739</v>
      </c>
      <c r="E103" s="27" t="s">
        <v>6322</v>
      </c>
      <c r="F103" s="27" t="s">
        <v>6518</v>
      </c>
      <c r="G103" s="59"/>
      <c r="H103" s="27" t="s">
        <v>6379</v>
      </c>
      <c r="I103" s="27"/>
      <c r="J103" s="27">
        <v>20010719</v>
      </c>
      <c r="K103" s="27"/>
      <c r="L103" s="27">
        <v>580</v>
      </c>
      <c r="M103" s="27" t="s">
        <v>6379</v>
      </c>
      <c r="N103" s="34">
        <v>1</v>
      </c>
      <c r="O103" s="45" t="s">
        <v>6379</v>
      </c>
      <c r="P103" s="27"/>
    </row>
    <row r="104" spans="2:16">
      <c r="B104" s="33"/>
      <c r="C104" s="45" t="s">
        <v>6321</v>
      </c>
      <c r="D104" s="63" t="s">
        <v>6740</v>
      </c>
      <c r="E104" s="27" t="s">
        <v>6322</v>
      </c>
      <c r="F104" s="27" t="s">
        <v>6519</v>
      </c>
      <c r="G104" s="59"/>
      <c r="H104" s="27" t="s">
        <v>6379</v>
      </c>
      <c r="I104" s="27"/>
      <c r="J104" s="27">
        <v>20010719</v>
      </c>
      <c r="K104" s="27"/>
      <c r="L104" s="27">
        <v>590</v>
      </c>
      <c r="M104" s="27" t="s">
        <v>6379</v>
      </c>
      <c r="N104" s="34">
        <v>1</v>
      </c>
      <c r="O104" s="45" t="s">
        <v>6379</v>
      </c>
      <c r="P104" s="27"/>
    </row>
    <row r="105" spans="2:16">
      <c r="B105" s="33"/>
      <c r="C105" s="45" t="s">
        <v>6321</v>
      </c>
      <c r="D105" s="63" t="s">
        <v>6741</v>
      </c>
      <c r="E105" s="27" t="s">
        <v>6322</v>
      </c>
      <c r="F105" s="27" t="s">
        <v>6520</v>
      </c>
      <c r="G105" s="59"/>
      <c r="H105" s="27" t="s">
        <v>6379</v>
      </c>
      <c r="I105" s="27"/>
      <c r="J105" s="27">
        <v>20010719</v>
      </c>
      <c r="K105" s="27"/>
      <c r="L105" s="27">
        <v>70</v>
      </c>
      <c r="M105" s="27" t="s">
        <v>6379</v>
      </c>
      <c r="N105" s="34">
        <v>2</v>
      </c>
      <c r="O105" s="45" t="s">
        <v>6379</v>
      </c>
      <c r="P105" s="27"/>
    </row>
    <row r="106" spans="2:16">
      <c r="B106" s="33"/>
      <c r="C106" s="45" t="s">
        <v>6321</v>
      </c>
      <c r="D106" s="63" t="s">
        <v>6742</v>
      </c>
      <c r="E106" s="27" t="s">
        <v>6322</v>
      </c>
      <c r="F106" s="27" t="s">
        <v>6521</v>
      </c>
      <c r="G106" s="59"/>
      <c r="H106" s="27"/>
      <c r="I106" s="27"/>
      <c r="J106" s="27">
        <v>20010719</v>
      </c>
      <c r="K106" s="27"/>
      <c r="L106" s="27">
        <v>80</v>
      </c>
      <c r="M106" s="27" t="s">
        <v>6379</v>
      </c>
      <c r="N106" s="34">
        <v>1</v>
      </c>
      <c r="O106" s="45" t="s">
        <v>6564</v>
      </c>
      <c r="P106" s="27"/>
    </row>
    <row r="107" spans="2:16">
      <c r="B107" s="33"/>
      <c r="C107" s="45" t="s">
        <v>6321</v>
      </c>
      <c r="D107" s="63" t="s">
        <v>6743</v>
      </c>
      <c r="E107" s="27" t="s">
        <v>6322</v>
      </c>
      <c r="F107" s="27" t="s">
        <v>6522</v>
      </c>
      <c r="G107" s="59"/>
      <c r="H107" s="27" t="s">
        <v>6564</v>
      </c>
      <c r="I107" s="27"/>
      <c r="J107" s="27">
        <v>20010719</v>
      </c>
      <c r="K107" s="27"/>
      <c r="L107" s="27">
        <v>600</v>
      </c>
      <c r="M107" s="27" t="s">
        <v>6379</v>
      </c>
      <c r="N107" s="34">
        <v>1</v>
      </c>
      <c r="O107" s="45" t="s">
        <v>6379</v>
      </c>
      <c r="P107" s="27"/>
    </row>
    <row r="108" spans="2:16">
      <c r="B108" s="33"/>
      <c r="C108" s="45" t="s">
        <v>6321</v>
      </c>
      <c r="D108" s="63" t="s">
        <v>6744</v>
      </c>
      <c r="E108" s="27" t="s">
        <v>6322</v>
      </c>
      <c r="F108" s="27" t="s">
        <v>6523</v>
      </c>
      <c r="G108" s="59"/>
      <c r="H108" s="27" t="s">
        <v>6379</v>
      </c>
      <c r="I108" s="27"/>
      <c r="J108" s="27">
        <v>20010719</v>
      </c>
      <c r="K108" s="27"/>
      <c r="L108" s="27">
        <v>90</v>
      </c>
      <c r="M108" s="27" t="s">
        <v>6379</v>
      </c>
      <c r="N108" s="34">
        <v>2</v>
      </c>
      <c r="O108" s="45" t="s">
        <v>6379</v>
      </c>
      <c r="P108" s="27"/>
    </row>
    <row r="109" spans="2:16">
      <c r="B109" s="33"/>
      <c r="C109" s="45" t="s">
        <v>6321</v>
      </c>
      <c r="D109" s="63" t="s">
        <v>6745</v>
      </c>
      <c r="E109" s="27" t="s">
        <v>6322</v>
      </c>
      <c r="F109" s="27" t="s">
        <v>6524</v>
      </c>
      <c r="G109" s="59"/>
      <c r="H109" s="27" t="s">
        <v>6379</v>
      </c>
      <c r="I109" s="27"/>
      <c r="J109" s="27">
        <v>20010719</v>
      </c>
      <c r="K109" s="27"/>
      <c r="L109" s="27">
        <v>100</v>
      </c>
      <c r="M109" s="27" t="s">
        <v>6379</v>
      </c>
      <c r="N109" s="34">
        <v>2</v>
      </c>
      <c r="O109" s="45" t="s">
        <v>6379</v>
      </c>
      <c r="P109" s="27"/>
    </row>
    <row r="110" spans="2:16">
      <c r="B110" s="33"/>
      <c r="C110" s="45" t="s">
        <v>6321</v>
      </c>
      <c r="D110" s="63" t="s">
        <v>6746</v>
      </c>
      <c r="E110" s="27" t="s">
        <v>6322</v>
      </c>
      <c r="F110" s="27" t="s">
        <v>6432</v>
      </c>
      <c r="G110" s="59"/>
      <c r="H110" s="27"/>
      <c r="I110" s="27"/>
      <c r="J110" s="27">
        <v>20010719</v>
      </c>
      <c r="K110" s="27"/>
      <c r="L110" s="27">
        <v>110</v>
      </c>
      <c r="M110" s="27" t="s">
        <v>6379</v>
      </c>
      <c r="N110" s="34">
        <v>3</v>
      </c>
      <c r="O110" s="45" t="s">
        <v>6564</v>
      </c>
      <c r="P110" s="27"/>
    </row>
    <row r="111" spans="2:16">
      <c r="B111" s="33"/>
      <c r="C111" s="45" t="s">
        <v>6321</v>
      </c>
      <c r="D111" s="63" t="s">
        <v>6747</v>
      </c>
      <c r="E111" s="27" t="s">
        <v>6322</v>
      </c>
      <c r="F111" s="27" t="s">
        <v>6525</v>
      </c>
      <c r="G111" s="59"/>
      <c r="H111" s="27" t="s">
        <v>6379</v>
      </c>
      <c r="I111" s="27"/>
      <c r="J111" s="27">
        <v>20010719</v>
      </c>
      <c r="K111" s="27">
        <v>20041031</v>
      </c>
      <c r="L111" s="27">
        <v>190</v>
      </c>
      <c r="M111" s="27" t="s">
        <v>6379</v>
      </c>
      <c r="N111" s="34">
        <v>1</v>
      </c>
      <c r="O111" s="45" t="s">
        <v>6564</v>
      </c>
      <c r="P111" s="27"/>
    </row>
    <row r="112" spans="2:16">
      <c r="B112" s="33"/>
      <c r="C112" s="45" t="s">
        <v>6321</v>
      </c>
      <c r="D112" s="63" t="s">
        <v>6748</v>
      </c>
      <c r="E112" s="27" t="s">
        <v>6322</v>
      </c>
      <c r="F112" s="27" t="s">
        <v>6526</v>
      </c>
      <c r="G112" s="59"/>
      <c r="H112" s="27"/>
      <c r="I112" s="27"/>
      <c r="J112" s="27">
        <v>20010719</v>
      </c>
      <c r="K112" s="27">
        <v>20041031</v>
      </c>
      <c r="L112" s="27">
        <v>210</v>
      </c>
      <c r="M112" s="27" t="s">
        <v>6379</v>
      </c>
      <c r="N112" s="34">
        <v>1</v>
      </c>
      <c r="O112" s="45" t="s">
        <v>6379</v>
      </c>
      <c r="P112" s="27"/>
    </row>
    <row r="113" spans="2:16">
      <c r="B113" s="33"/>
      <c r="C113" s="45" t="s">
        <v>6321</v>
      </c>
      <c r="D113" s="63" t="s">
        <v>6749</v>
      </c>
      <c r="E113" s="27" t="s">
        <v>6322</v>
      </c>
      <c r="F113" s="27" t="s">
        <v>6527</v>
      </c>
      <c r="G113" s="59"/>
      <c r="H113" s="27" t="s">
        <v>6379</v>
      </c>
      <c r="I113" s="27"/>
      <c r="J113" s="27">
        <v>20010719</v>
      </c>
      <c r="K113" s="27">
        <v>20041031</v>
      </c>
      <c r="L113" s="27">
        <v>220</v>
      </c>
      <c r="M113" s="27" t="s">
        <v>6379</v>
      </c>
      <c r="N113" s="34">
        <v>1</v>
      </c>
      <c r="O113" s="45" t="s">
        <v>6379</v>
      </c>
      <c r="P113" s="27"/>
    </row>
    <row r="114" spans="2:16">
      <c r="B114" s="33"/>
      <c r="C114" s="45" t="s">
        <v>6321</v>
      </c>
      <c r="D114" s="63" t="s">
        <v>6750</v>
      </c>
      <c r="E114" s="27" t="s">
        <v>6322</v>
      </c>
      <c r="F114" s="27" t="s">
        <v>6528</v>
      </c>
      <c r="G114" s="59"/>
      <c r="H114" s="27"/>
      <c r="I114" s="27"/>
      <c r="J114" s="27">
        <v>20010719</v>
      </c>
      <c r="K114" s="27">
        <v>20041031</v>
      </c>
      <c r="L114" s="27">
        <v>230</v>
      </c>
      <c r="M114" s="27" t="s">
        <v>6379</v>
      </c>
      <c r="N114" s="34">
        <v>1</v>
      </c>
      <c r="O114" s="45" t="s">
        <v>6379</v>
      </c>
      <c r="P114" s="27"/>
    </row>
    <row r="115" spans="2:16">
      <c r="B115" s="33"/>
      <c r="C115" s="45" t="s">
        <v>6321</v>
      </c>
      <c r="D115" s="63" t="s">
        <v>6751</v>
      </c>
      <c r="E115" s="27" t="s">
        <v>6322</v>
      </c>
      <c r="F115" s="27" t="s">
        <v>6529</v>
      </c>
      <c r="G115" s="59"/>
      <c r="H115" s="27"/>
      <c r="I115" s="27"/>
      <c r="J115" s="27">
        <v>20010719</v>
      </c>
      <c r="K115" s="27"/>
      <c r="L115" s="27">
        <v>120</v>
      </c>
      <c r="M115" s="27" t="s">
        <v>6379</v>
      </c>
      <c r="N115" s="34">
        <v>1</v>
      </c>
      <c r="O115" s="45" t="s">
        <v>6379</v>
      </c>
      <c r="P115" s="27" t="s">
        <v>6379</v>
      </c>
    </row>
    <row r="116" spans="2:16">
      <c r="B116" s="33"/>
      <c r="C116" s="45" t="s">
        <v>6321</v>
      </c>
      <c r="D116" s="63" t="s">
        <v>6752</v>
      </c>
      <c r="E116" s="27" t="s">
        <v>6322</v>
      </c>
      <c r="F116" s="27" t="s">
        <v>6530</v>
      </c>
      <c r="G116" s="59"/>
      <c r="H116" s="27"/>
      <c r="I116" s="27"/>
      <c r="J116" s="27">
        <v>20010719</v>
      </c>
      <c r="K116" s="27">
        <v>20041031</v>
      </c>
      <c r="L116" s="27">
        <v>250</v>
      </c>
      <c r="M116" s="27" t="s">
        <v>6379</v>
      </c>
      <c r="N116" s="34">
        <v>1</v>
      </c>
      <c r="O116" s="45" t="s">
        <v>6564</v>
      </c>
      <c r="P116" s="27"/>
    </row>
    <row r="117" spans="2:16">
      <c r="B117" s="33"/>
      <c r="C117" s="45" t="s">
        <v>6321</v>
      </c>
      <c r="D117" s="63" t="s">
        <v>6753</v>
      </c>
      <c r="E117" s="27" t="s">
        <v>6322</v>
      </c>
      <c r="F117" s="27" t="s">
        <v>6531</v>
      </c>
      <c r="G117" s="59"/>
      <c r="H117" s="27"/>
      <c r="I117" s="27"/>
      <c r="J117" s="27">
        <v>20010719</v>
      </c>
      <c r="K117" s="27">
        <v>20041031</v>
      </c>
      <c r="L117" s="27">
        <v>260</v>
      </c>
      <c r="M117" s="27" t="s">
        <v>6379</v>
      </c>
      <c r="N117" s="34">
        <v>1</v>
      </c>
      <c r="O117" s="45" t="s">
        <v>6564</v>
      </c>
      <c r="P117" s="27"/>
    </row>
    <row r="118" spans="2:16">
      <c r="B118" s="33"/>
      <c r="C118" s="45" t="s">
        <v>6321</v>
      </c>
      <c r="D118" s="63" t="s">
        <v>6754</v>
      </c>
      <c r="E118" s="27" t="s">
        <v>6322</v>
      </c>
      <c r="F118" s="27" t="s">
        <v>6532</v>
      </c>
      <c r="G118" s="59"/>
      <c r="H118" s="27"/>
      <c r="I118" s="27"/>
      <c r="J118" s="27">
        <v>20010719</v>
      </c>
      <c r="K118" s="27">
        <v>20041031</v>
      </c>
      <c r="L118" s="27">
        <v>270</v>
      </c>
      <c r="M118" s="27" t="s">
        <v>6379</v>
      </c>
      <c r="N118" s="34">
        <v>1</v>
      </c>
      <c r="O118" s="45" t="s">
        <v>6379</v>
      </c>
      <c r="P118" s="27"/>
    </row>
    <row r="119" spans="2:16">
      <c r="B119" s="33"/>
      <c r="C119" s="45" t="s">
        <v>6321</v>
      </c>
      <c r="D119" s="63" t="s">
        <v>6755</v>
      </c>
      <c r="E119" s="27" t="s">
        <v>6322</v>
      </c>
      <c r="F119" s="27" t="s">
        <v>6533</v>
      </c>
      <c r="G119" s="59"/>
      <c r="H119" s="27" t="s">
        <v>6379</v>
      </c>
      <c r="I119" s="27"/>
      <c r="J119" s="27">
        <v>20010719</v>
      </c>
      <c r="K119" s="27"/>
      <c r="L119" s="27">
        <v>990</v>
      </c>
      <c r="M119" s="27" t="s">
        <v>6379</v>
      </c>
      <c r="N119" s="34">
        <v>1</v>
      </c>
      <c r="O119" s="45" t="s">
        <v>6379</v>
      </c>
      <c r="P119" s="27"/>
    </row>
    <row r="120" spans="2:16">
      <c r="B120" s="33"/>
      <c r="C120" s="45" t="s">
        <v>6321</v>
      </c>
      <c r="D120" s="63" t="s">
        <v>6756</v>
      </c>
      <c r="E120" s="27" t="s">
        <v>6322</v>
      </c>
      <c r="F120" s="27" t="s">
        <v>6534</v>
      </c>
      <c r="G120" s="59"/>
      <c r="H120" s="27" t="s">
        <v>6379</v>
      </c>
      <c r="I120" s="27"/>
      <c r="J120" s="27">
        <v>20010719</v>
      </c>
      <c r="K120" s="27"/>
      <c r="L120" s="27">
        <v>490</v>
      </c>
      <c r="M120" s="27" t="s">
        <v>6379</v>
      </c>
      <c r="N120" s="34">
        <v>1</v>
      </c>
      <c r="O120" s="45" t="s">
        <v>6379</v>
      </c>
      <c r="P120" s="27"/>
    </row>
    <row r="121" spans="2:16">
      <c r="B121" s="33"/>
      <c r="C121" s="45" t="s">
        <v>6321</v>
      </c>
      <c r="D121" s="63" t="s">
        <v>6757</v>
      </c>
      <c r="E121" s="27" t="s">
        <v>6322</v>
      </c>
      <c r="F121" s="27" t="s">
        <v>6535</v>
      </c>
      <c r="G121" s="59"/>
      <c r="H121" s="27"/>
      <c r="I121" s="27"/>
      <c r="J121" s="27">
        <v>20010719</v>
      </c>
      <c r="K121" s="27">
        <v>20041031</v>
      </c>
      <c r="L121" s="27">
        <v>300</v>
      </c>
      <c r="M121" s="27" t="s">
        <v>6379</v>
      </c>
      <c r="N121" s="34">
        <v>1</v>
      </c>
      <c r="O121" s="45" t="s">
        <v>6564</v>
      </c>
      <c r="P121" s="27"/>
    </row>
    <row r="122" spans="2:16">
      <c r="B122" s="33"/>
      <c r="C122" s="45" t="s">
        <v>6321</v>
      </c>
      <c r="D122" s="63" t="s">
        <v>6758</v>
      </c>
      <c r="E122" s="27" t="s">
        <v>6322</v>
      </c>
      <c r="F122" s="27" t="s">
        <v>6536</v>
      </c>
      <c r="G122" s="59"/>
      <c r="H122" s="27"/>
      <c r="I122" s="27"/>
      <c r="J122" s="27">
        <v>20010719</v>
      </c>
      <c r="K122" s="27">
        <v>20041031</v>
      </c>
      <c r="L122" s="27">
        <v>310</v>
      </c>
      <c r="M122" s="27" t="s">
        <v>6379</v>
      </c>
      <c r="N122" s="34">
        <v>1</v>
      </c>
      <c r="O122" s="45" t="s">
        <v>6379</v>
      </c>
      <c r="P122" s="27"/>
    </row>
    <row r="123" spans="2:16">
      <c r="B123" s="33"/>
      <c r="C123" s="45" t="s">
        <v>6321</v>
      </c>
      <c r="D123" s="63" t="s">
        <v>6759</v>
      </c>
      <c r="E123" s="27" t="s">
        <v>6322</v>
      </c>
      <c r="F123" s="27" t="s">
        <v>6537</v>
      </c>
      <c r="G123" s="59"/>
      <c r="H123" s="27"/>
      <c r="I123" s="27"/>
      <c r="J123" s="27">
        <v>20010719</v>
      </c>
      <c r="K123" s="27">
        <v>20041031</v>
      </c>
      <c r="L123" s="27">
        <v>320</v>
      </c>
      <c r="M123" s="27" t="s">
        <v>6379</v>
      </c>
      <c r="N123" s="34">
        <v>1</v>
      </c>
      <c r="O123" s="45" t="s">
        <v>6564</v>
      </c>
      <c r="P123" s="27"/>
    </row>
    <row r="124" spans="2:16">
      <c r="B124" s="33"/>
      <c r="C124" s="45" t="s">
        <v>6321</v>
      </c>
      <c r="D124" s="63" t="s">
        <v>6760</v>
      </c>
      <c r="E124" s="27" t="s">
        <v>6322</v>
      </c>
      <c r="F124" s="27" t="s">
        <v>6538</v>
      </c>
      <c r="G124" s="59"/>
      <c r="H124" s="27"/>
      <c r="I124" s="27"/>
      <c r="J124" s="27">
        <v>20010719</v>
      </c>
      <c r="K124" s="27">
        <v>20041031</v>
      </c>
      <c r="L124" s="27">
        <v>330</v>
      </c>
      <c r="M124" s="27" t="s">
        <v>6379</v>
      </c>
      <c r="N124" s="34">
        <v>1</v>
      </c>
      <c r="O124" s="45" t="s">
        <v>6379</v>
      </c>
      <c r="P124" s="27"/>
    </row>
    <row r="125" spans="2:16">
      <c r="B125" s="33"/>
      <c r="C125" s="45" t="s">
        <v>6321</v>
      </c>
      <c r="D125" s="63" t="s">
        <v>6761</v>
      </c>
      <c r="E125" s="27" t="s">
        <v>6322</v>
      </c>
      <c r="F125" s="27" t="s">
        <v>6539</v>
      </c>
      <c r="G125" s="59"/>
      <c r="H125" s="27"/>
      <c r="I125" s="27"/>
      <c r="J125" s="27">
        <v>20010719</v>
      </c>
      <c r="K125" s="27">
        <v>20041031</v>
      </c>
      <c r="L125" s="27">
        <v>340</v>
      </c>
      <c r="M125" s="27" t="s">
        <v>6379</v>
      </c>
      <c r="N125" s="34">
        <v>1</v>
      </c>
      <c r="O125" s="45" t="s">
        <v>6564</v>
      </c>
      <c r="P125" s="27"/>
    </row>
    <row r="126" spans="2:16">
      <c r="B126" s="33"/>
      <c r="C126" s="45" t="s">
        <v>6321</v>
      </c>
      <c r="D126" s="63" t="s">
        <v>6762</v>
      </c>
      <c r="E126" s="27" t="s">
        <v>6322</v>
      </c>
      <c r="F126" s="27" t="s">
        <v>6540</v>
      </c>
      <c r="G126" s="59"/>
      <c r="H126" s="27"/>
      <c r="I126" s="27"/>
      <c r="J126" s="27">
        <v>20010719</v>
      </c>
      <c r="K126" s="27"/>
      <c r="L126" s="27">
        <v>130</v>
      </c>
      <c r="M126" s="27" t="s">
        <v>6379</v>
      </c>
      <c r="N126" s="34">
        <v>1</v>
      </c>
      <c r="O126" s="45" t="s">
        <v>6564</v>
      </c>
      <c r="P126" s="27" t="s">
        <v>6379</v>
      </c>
    </row>
    <row r="127" spans="2:16">
      <c r="B127" s="33"/>
      <c r="C127" s="45" t="s">
        <v>6321</v>
      </c>
      <c r="D127" s="63" t="s">
        <v>6763</v>
      </c>
      <c r="E127" s="27" t="s">
        <v>6322</v>
      </c>
      <c r="F127" s="27" t="s">
        <v>6541</v>
      </c>
      <c r="G127" s="59"/>
      <c r="H127" s="27" t="s">
        <v>6565</v>
      </c>
      <c r="I127" s="27"/>
      <c r="J127" s="27">
        <v>20010719</v>
      </c>
      <c r="K127" s="27"/>
      <c r="L127" s="27">
        <v>360</v>
      </c>
      <c r="M127" s="27" t="s">
        <v>6379</v>
      </c>
      <c r="N127" s="34">
        <v>1</v>
      </c>
      <c r="O127" s="45" t="s">
        <v>6564</v>
      </c>
      <c r="P127" s="27"/>
    </row>
    <row r="128" spans="2:16">
      <c r="B128" s="33"/>
      <c r="C128" s="45" t="s">
        <v>6321</v>
      </c>
      <c r="D128" s="63" t="s">
        <v>6764</v>
      </c>
      <c r="E128" s="27" t="s">
        <v>6322</v>
      </c>
      <c r="F128" s="27" t="s">
        <v>6542</v>
      </c>
      <c r="G128" s="59"/>
      <c r="H128" s="27"/>
      <c r="I128" s="27"/>
      <c r="J128" s="27">
        <v>20010719</v>
      </c>
      <c r="K128" s="27"/>
      <c r="L128" s="27">
        <v>380</v>
      </c>
      <c r="M128" s="27" t="s">
        <v>6379</v>
      </c>
      <c r="N128" s="34">
        <v>1</v>
      </c>
      <c r="O128" s="45" t="s">
        <v>6564</v>
      </c>
      <c r="P128" s="27"/>
    </row>
    <row r="129" spans="2:16">
      <c r="B129" s="33"/>
      <c r="C129" s="45" t="s">
        <v>6321</v>
      </c>
      <c r="D129" s="63" t="s">
        <v>6765</v>
      </c>
      <c r="E129" s="27" t="s">
        <v>6322</v>
      </c>
      <c r="F129" s="27" t="s">
        <v>6543</v>
      </c>
      <c r="G129" s="59"/>
      <c r="H129" s="27"/>
      <c r="I129" s="27"/>
      <c r="J129" s="27">
        <v>20010719</v>
      </c>
      <c r="K129" s="27"/>
      <c r="L129" s="27">
        <v>400</v>
      </c>
      <c r="M129" s="27" t="s">
        <v>6379</v>
      </c>
      <c r="N129" s="34">
        <v>1</v>
      </c>
      <c r="O129" s="45" t="s">
        <v>6379</v>
      </c>
      <c r="P129" s="27" t="s">
        <v>6379</v>
      </c>
    </row>
    <row r="130" spans="2:16">
      <c r="B130" s="33"/>
      <c r="C130" s="45" t="s">
        <v>6321</v>
      </c>
      <c r="D130" s="63" t="s">
        <v>6766</v>
      </c>
      <c r="E130" s="27" t="s">
        <v>6322</v>
      </c>
      <c r="F130" s="27" t="s">
        <v>6544</v>
      </c>
      <c r="G130" s="59"/>
      <c r="H130" s="27"/>
      <c r="I130" s="27"/>
      <c r="J130" s="27">
        <v>20010719</v>
      </c>
      <c r="K130" s="27"/>
      <c r="L130" s="27">
        <v>410</v>
      </c>
      <c r="M130" s="27" t="s">
        <v>6379</v>
      </c>
      <c r="N130" s="34">
        <v>1</v>
      </c>
      <c r="O130" s="45" t="s">
        <v>6564</v>
      </c>
      <c r="P130" s="27" t="s">
        <v>6379</v>
      </c>
    </row>
    <row r="131" spans="2:16">
      <c r="B131" s="33"/>
      <c r="C131" s="45" t="s">
        <v>6321</v>
      </c>
      <c r="D131" s="63" t="s">
        <v>6767</v>
      </c>
      <c r="E131" s="27" t="s">
        <v>6322</v>
      </c>
      <c r="F131" s="27" t="s">
        <v>6545</v>
      </c>
      <c r="G131" s="59"/>
      <c r="H131" s="27"/>
      <c r="I131" s="27"/>
      <c r="J131" s="27">
        <v>20010719</v>
      </c>
      <c r="K131" s="27"/>
      <c r="L131" s="27">
        <v>420</v>
      </c>
      <c r="M131" s="27" t="s">
        <v>6379</v>
      </c>
      <c r="N131" s="34">
        <v>1</v>
      </c>
      <c r="O131" s="45" t="s">
        <v>6379</v>
      </c>
      <c r="P131" s="27" t="s">
        <v>6379</v>
      </c>
    </row>
    <row r="132" spans="2:16">
      <c r="B132" s="33"/>
      <c r="C132" s="45" t="s">
        <v>6321</v>
      </c>
      <c r="D132" s="63" t="s">
        <v>6768</v>
      </c>
      <c r="E132" s="27" t="s">
        <v>6322</v>
      </c>
      <c r="F132" s="27" t="s">
        <v>6546</v>
      </c>
      <c r="G132" s="59"/>
      <c r="H132" s="27"/>
      <c r="I132" s="27"/>
      <c r="J132" s="27">
        <v>20010719</v>
      </c>
      <c r="K132" s="27"/>
      <c r="L132" s="27">
        <v>430</v>
      </c>
      <c r="M132" s="27" t="s">
        <v>6379</v>
      </c>
      <c r="N132" s="34">
        <v>1</v>
      </c>
      <c r="O132" s="45" t="s">
        <v>6379</v>
      </c>
      <c r="P132" s="27" t="s">
        <v>6379</v>
      </c>
    </row>
    <row r="133" spans="2:16">
      <c r="B133" s="33"/>
      <c r="C133" s="45" t="s">
        <v>6321</v>
      </c>
      <c r="D133" s="63" t="s">
        <v>6769</v>
      </c>
      <c r="E133" s="27" t="s">
        <v>6322</v>
      </c>
      <c r="F133" s="27" t="s">
        <v>6547</v>
      </c>
      <c r="G133" s="59"/>
      <c r="H133" s="27"/>
      <c r="I133" s="27"/>
      <c r="J133" s="27">
        <v>20010719</v>
      </c>
      <c r="K133" s="27"/>
      <c r="L133" s="27">
        <v>440</v>
      </c>
      <c r="M133" s="27" t="s">
        <v>6379</v>
      </c>
      <c r="N133" s="34">
        <v>1</v>
      </c>
      <c r="O133" s="45" t="s">
        <v>6379</v>
      </c>
      <c r="P133" s="27"/>
    </row>
    <row r="134" spans="2:16">
      <c r="B134" s="33"/>
      <c r="C134" s="45" t="s">
        <v>6321</v>
      </c>
      <c r="D134" s="63" t="s">
        <v>6770</v>
      </c>
      <c r="E134" s="27" t="s">
        <v>6322</v>
      </c>
      <c r="F134" s="27" t="s">
        <v>6548</v>
      </c>
      <c r="G134" s="59"/>
      <c r="H134" s="27"/>
      <c r="I134" s="27"/>
      <c r="J134" s="27">
        <v>20010719</v>
      </c>
      <c r="K134" s="27"/>
      <c r="L134" s="27">
        <v>450</v>
      </c>
      <c r="M134" s="27" t="s">
        <v>6379</v>
      </c>
      <c r="N134" s="34">
        <v>1</v>
      </c>
      <c r="O134" s="45" t="s">
        <v>6379</v>
      </c>
      <c r="P134" s="27"/>
    </row>
    <row r="135" spans="2:16">
      <c r="B135" s="33"/>
      <c r="C135" s="45" t="s">
        <v>6321</v>
      </c>
      <c r="D135" s="63" t="s">
        <v>6771</v>
      </c>
      <c r="E135" s="27" t="s">
        <v>6322</v>
      </c>
      <c r="F135" s="27" t="s">
        <v>6549</v>
      </c>
      <c r="G135" s="59"/>
      <c r="H135" s="27"/>
      <c r="I135" s="27"/>
      <c r="J135" s="27">
        <v>20010719</v>
      </c>
      <c r="K135" s="27"/>
      <c r="L135" s="27">
        <v>460</v>
      </c>
      <c r="M135" s="27" t="s">
        <v>6379</v>
      </c>
      <c r="N135" s="34">
        <v>1</v>
      </c>
      <c r="O135" s="45" t="s">
        <v>6564</v>
      </c>
      <c r="P135" s="27"/>
    </row>
    <row r="136" spans="2:16">
      <c r="B136" s="33"/>
      <c r="C136" s="45" t="s">
        <v>6321</v>
      </c>
      <c r="D136" s="63" t="s">
        <v>6772</v>
      </c>
      <c r="E136" s="27" t="s">
        <v>6322</v>
      </c>
      <c r="F136" s="27" t="s">
        <v>6550</v>
      </c>
      <c r="G136" s="59"/>
      <c r="H136" s="27"/>
      <c r="I136" s="27"/>
      <c r="J136" s="27">
        <v>20010719</v>
      </c>
      <c r="K136" s="27"/>
      <c r="L136" s="27">
        <v>470</v>
      </c>
      <c r="M136" s="27" t="s">
        <v>6379</v>
      </c>
      <c r="N136" s="34">
        <v>1</v>
      </c>
      <c r="O136" s="45" t="s">
        <v>6379</v>
      </c>
      <c r="P136" s="27"/>
    </row>
    <row r="137" spans="2:16">
      <c r="B137" s="33"/>
      <c r="C137" s="45" t="s">
        <v>6321</v>
      </c>
      <c r="D137" s="63" t="s">
        <v>6773</v>
      </c>
      <c r="E137" s="27" t="s">
        <v>6322</v>
      </c>
      <c r="F137" s="27" t="s">
        <v>6551</v>
      </c>
      <c r="G137" s="59"/>
      <c r="H137" s="27"/>
      <c r="I137" s="27"/>
      <c r="J137" s="27">
        <v>20010719</v>
      </c>
      <c r="K137" s="27"/>
      <c r="L137" s="27">
        <v>480</v>
      </c>
      <c r="M137" s="27" t="s">
        <v>6379</v>
      </c>
      <c r="N137" s="34">
        <v>1</v>
      </c>
      <c r="O137" s="45" t="s">
        <v>6379</v>
      </c>
      <c r="P137" s="27"/>
    </row>
    <row r="138" spans="2:16">
      <c r="B138" s="33"/>
      <c r="C138" s="45" t="s">
        <v>6321</v>
      </c>
      <c r="D138" s="63" t="s">
        <v>6774</v>
      </c>
      <c r="E138" s="27" t="s">
        <v>6322</v>
      </c>
      <c r="F138" s="27" t="s">
        <v>6552</v>
      </c>
      <c r="G138" s="59"/>
      <c r="H138" s="27" t="s">
        <v>6566</v>
      </c>
      <c r="I138" s="27"/>
      <c r="J138" s="27">
        <v>20010719</v>
      </c>
      <c r="K138" s="27"/>
      <c r="L138" s="27">
        <v>290</v>
      </c>
      <c r="M138" s="27" t="s">
        <v>6379</v>
      </c>
      <c r="N138" s="34">
        <v>1</v>
      </c>
      <c r="O138" s="45" t="s">
        <v>6564</v>
      </c>
      <c r="P138" s="27"/>
    </row>
    <row r="139" spans="2:16">
      <c r="B139" s="33"/>
      <c r="C139" s="45" t="s">
        <v>6321</v>
      </c>
      <c r="D139" s="63" t="s">
        <v>6775</v>
      </c>
      <c r="E139" s="27" t="s">
        <v>6322</v>
      </c>
      <c r="F139" s="27" t="s">
        <v>6553</v>
      </c>
      <c r="G139" s="59"/>
      <c r="H139" s="27" t="s">
        <v>6567</v>
      </c>
      <c r="I139" s="27"/>
      <c r="J139" s="27">
        <v>20070404</v>
      </c>
      <c r="K139" s="27"/>
      <c r="L139" s="27">
        <v>350</v>
      </c>
      <c r="M139" s="27" t="s">
        <v>6379</v>
      </c>
      <c r="N139" s="34">
        <v>1</v>
      </c>
      <c r="O139" s="45" t="s">
        <v>6379</v>
      </c>
      <c r="P139" s="27" t="s">
        <v>6379</v>
      </c>
    </row>
    <row r="140" spans="2:16">
      <c r="B140" s="33"/>
      <c r="C140" s="45" t="s">
        <v>6321</v>
      </c>
      <c r="D140" s="63" t="s">
        <v>6776</v>
      </c>
      <c r="E140" s="27" t="s">
        <v>6322</v>
      </c>
      <c r="F140" s="27" t="s">
        <v>6554</v>
      </c>
      <c r="G140" s="59"/>
      <c r="H140" s="27"/>
      <c r="I140" s="27"/>
      <c r="J140" s="27">
        <v>20010719</v>
      </c>
      <c r="K140" s="27"/>
      <c r="L140" s="27"/>
      <c r="M140" s="27" t="s">
        <v>6564</v>
      </c>
      <c r="N140" s="34">
        <v>1</v>
      </c>
      <c r="O140" s="45" t="s">
        <v>6379</v>
      </c>
      <c r="P140" s="27"/>
    </row>
    <row r="141" spans="2:16">
      <c r="B141" s="33"/>
      <c r="C141" s="45" t="s">
        <v>6321</v>
      </c>
      <c r="D141" s="63" t="s">
        <v>6777</v>
      </c>
      <c r="E141" s="27" t="s">
        <v>6322</v>
      </c>
      <c r="F141" s="27" t="s">
        <v>6555</v>
      </c>
      <c r="G141" s="59"/>
      <c r="H141" s="27" t="s">
        <v>6379</v>
      </c>
      <c r="I141" s="27"/>
      <c r="J141" s="27">
        <v>20010719</v>
      </c>
      <c r="K141" s="27"/>
      <c r="L141" s="27">
        <v>500</v>
      </c>
      <c r="M141" s="27" t="s">
        <v>6379</v>
      </c>
      <c r="N141" s="34">
        <v>1</v>
      </c>
      <c r="O141" s="45" t="s">
        <v>6379</v>
      </c>
      <c r="P141" s="27"/>
    </row>
    <row r="142" spans="2:16">
      <c r="B142" s="33"/>
      <c r="C142" s="45" t="s">
        <v>6321</v>
      </c>
      <c r="D142" s="63" t="s">
        <v>6778</v>
      </c>
      <c r="E142" s="27" t="s">
        <v>6322</v>
      </c>
      <c r="F142" s="27" t="s">
        <v>6556</v>
      </c>
      <c r="G142" s="59"/>
      <c r="H142" s="27" t="s">
        <v>6564</v>
      </c>
      <c r="I142" s="27"/>
      <c r="J142" s="27">
        <v>20010719</v>
      </c>
      <c r="K142" s="27"/>
      <c r="L142" s="27">
        <v>140</v>
      </c>
      <c r="M142" s="27" t="s">
        <v>6379</v>
      </c>
      <c r="N142" s="34">
        <v>1</v>
      </c>
      <c r="O142" s="45" t="s">
        <v>6564</v>
      </c>
      <c r="P142" s="27" t="s">
        <v>6379</v>
      </c>
    </row>
    <row r="143" spans="2:16">
      <c r="B143" s="33"/>
      <c r="C143" s="45" t="s">
        <v>6321</v>
      </c>
      <c r="D143" s="63" t="s">
        <v>6779</v>
      </c>
      <c r="E143" s="27" t="s">
        <v>6322</v>
      </c>
      <c r="F143" s="27" t="s">
        <v>6557</v>
      </c>
      <c r="G143" s="59"/>
      <c r="H143" s="27" t="s">
        <v>6564</v>
      </c>
      <c r="I143" s="27"/>
      <c r="J143" s="27">
        <v>20071226</v>
      </c>
      <c r="K143" s="27"/>
      <c r="L143" s="27">
        <v>150</v>
      </c>
      <c r="M143" s="27" t="s">
        <v>6379</v>
      </c>
      <c r="N143" s="34">
        <v>1</v>
      </c>
      <c r="O143" s="45" t="s">
        <v>6564</v>
      </c>
      <c r="P143" s="27" t="s">
        <v>6379</v>
      </c>
    </row>
    <row r="144" spans="2:16">
      <c r="B144" s="33"/>
      <c r="C144" s="45" t="s">
        <v>6321</v>
      </c>
      <c r="D144" s="63" t="s">
        <v>6780</v>
      </c>
      <c r="E144" s="27" t="s">
        <v>6322</v>
      </c>
      <c r="F144" s="27" t="s">
        <v>6558</v>
      </c>
      <c r="G144" s="59"/>
      <c r="H144" s="27" t="s">
        <v>6564</v>
      </c>
      <c r="I144" s="27"/>
      <c r="J144" s="27">
        <v>20010719</v>
      </c>
      <c r="K144" s="27"/>
      <c r="L144" s="27">
        <v>160</v>
      </c>
      <c r="M144" s="27" t="s">
        <v>6379</v>
      </c>
      <c r="N144" s="34">
        <v>3</v>
      </c>
      <c r="O144" s="45" t="s">
        <v>6564</v>
      </c>
      <c r="P144" s="27" t="s">
        <v>6379</v>
      </c>
    </row>
    <row r="145" spans="2:16">
      <c r="B145" s="33"/>
      <c r="C145" s="45" t="s">
        <v>6321</v>
      </c>
      <c r="D145" s="63" t="s">
        <v>6781</v>
      </c>
      <c r="E145" s="27" t="s">
        <v>6322</v>
      </c>
      <c r="F145" s="27" t="s">
        <v>6559</v>
      </c>
      <c r="G145" s="59"/>
      <c r="H145" s="27" t="s">
        <v>6564</v>
      </c>
      <c r="I145" s="27"/>
      <c r="J145" s="27">
        <v>20010719</v>
      </c>
      <c r="K145" s="27"/>
      <c r="L145" s="27">
        <v>170</v>
      </c>
      <c r="M145" s="27" t="s">
        <v>6379</v>
      </c>
      <c r="N145" s="34">
        <v>1</v>
      </c>
      <c r="O145" s="45" t="s">
        <v>6564</v>
      </c>
      <c r="P145" s="27" t="s">
        <v>6379</v>
      </c>
    </row>
    <row r="146" spans="2:16">
      <c r="B146" s="33"/>
      <c r="C146" s="45" t="s">
        <v>6321</v>
      </c>
      <c r="D146" s="63" t="s">
        <v>6782</v>
      </c>
      <c r="E146" s="27" t="s">
        <v>6322</v>
      </c>
      <c r="F146" s="27" t="s">
        <v>6560</v>
      </c>
      <c r="G146" s="59"/>
      <c r="H146" s="27" t="s">
        <v>6564</v>
      </c>
      <c r="I146" s="27"/>
      <c r="J146" s="27">
        <v>20010719</v>
      </c>
      <c r="K146" s="27"/>
      <c r="L146" s="27">
        <v>180</v>
      </c>
      <c r="M146" s="27" t="s">
        <v>6379</v>
      </c>
      <c r="N146" s="34">
        <v>1</v>
      </c>
      <c r="O146" s="45" t="s">
        <v>6564</v>
      </c>
      <c r="P146" s="27" t="s">
        <v>6379</v>
      </c>
    </row>
    <row r="147" spans="2:16">
      <c r="B147" s="33"/>
      <c r="C147" s="45" t="s">
        <v>6321</v>
      </c>
      <c r="D147" s="63" t="s">
        <v>6783</v>
      </c>
      <c r="E147" s="27" t="s">
        <v>6322</v>
      </c>
      <c r="F147" s="27" t="s">
        <v>6561</v>
      </c>
      <c r="G147" s="59"/>
      <c r="H147" s="27" t="s">
        <v>6564</v>
      </c>
      <c r="I147" s="27"/>
      <c r="J147" s="27">
        <v>20010719</v>
      </c>
      <c r="K147" s="27"/>
      <c r="L147" s="27">
        <v>190</v>
      </c>
      <c r="M147" s="27" t="s">
        <v>6379</v>
      </c>
      <c r="N147" s="34">
        <v>1</v>
      </c>
      <c r="O147" s="45" t="s">
        <v>6564</v>
      </c>
      <c r="P147" s="27" t="s">
        <v>6379</v>
      </c>
    </row>
    <row r="148" spans="2:16">
      <c r="B148" s="33"/>
      <c r="C148" s="45" t="s">
        <v>6321</v>
      </c>
      <c r="D148" s="63" t="s">
        <v>6784</v>
      </c>
      <c r="E148" s="27" t="s">
        <v>6322</v>
      </c>
      <c r="F148" s="27" t="s">
        <v>6562</v>
      </c>
      <c r="G148" s="59"/>
      <c r="H148" s="27" t="s">
        <v>6564</v>
      </c>
      <c r="I148" s="27"/>
      <c r="J148" s="27">
        <v>20010719</v>
      </c>
      <c r="K148" s="27"/>
      <c r="L148" s="27">
        <v>200</v>
      </c>
      <c r="M148" s="27" t="s">
        <v>6379</v>
      </c>
      <c r="N148" s="34">
        <v>1</v>
      </c>
      <c r="O148" s="45" t="s">
        <v>6564</v>
      </c>
      <c r="P148" s="27" t="s">
        <v>6379</v>
      </c>
    </row>
    <row r="149" spans="2:16">
      <c r="B149" s="33"/>
      <c r="C149" s="45" t="s">
        <v>6321</v>
      </c>
      <c r="D149" s="63" t="s">
        <v>6785</v>
      </c>
      <c r="E149" s="27" t="s">
        <v>6322</v>
      </c>
      <c r="F149" s="27" t="s">
        <v>6563</v>
      </c>
      <c r="G149" s="59"/>
      <c r="H149" s="27" t="s">
        <v>6564</v>
      </c>
      <c r="I149" s="27"/>
      <c r="J149" s="27">
        <v>20091230</v>
      </c>
      <c r="K149" s="27"/>
      <c r="L149" s="27">
        <v>370</v>
      </c>
      <c r="M149" s="27" t="s">
        <v>6379</v>
      </c>
      <c r="N149" s="34">
        <v>1</v>
      </c>
      <c r="O149" s="45" t="s">
        <v>6564</v>
      </c>
      <c r="P149" s="27"/>
    </row>
    <row r="150" spans="2:16">
      <c r="B150" s="33"/>
      <c r="C150" s="45" t="s">
        <v>6321</v>
      </c>
      <c r="D150" s="63" t="s">
        <v>6786</v>
      </c>
      <c r="E150" s="27" t="s">
        <v>6322</v>
      </c>
      <c r="F150" s="27" t="s">
        <v>6401</v>
      </c>
      <c r="G150" s="59"/>
      <c r="H150" s="27" t="s">
        <v>6379</v>
      </c>
      <c r="I150" s="27"/>
      <c r="J150" s="27">
        <v>20010719</v>
      </c>
      <c r="K150" s="27"/>
      <c r="L150" s="27">
        <v>105</v>
      </c>
      <c r="M150" s="27" t="s">
        <v>6379</v>
      </c>
      <c r="N150" s="34">
        <v>2</v>
      </c>
      <c r="O150" s="45" t="s">
        <v>6379</v>
      </c>
      <c r="P150" s="27"/>
    </row>
    <row r="151" spans="2:16" ht="12.75" thickBot="1">
      <c r="B151" s="35"/>
      <c r="C151" s="71" t="s">
        <v>6321</v>
      </c>
      <c r="D151" s="66" t="s">
        <v>6361</v>
      </c>
      <c r="E151" s="36" t="s">
        <v>6322</v>
      </c>
      <c r="F151" s="36"/>
      <c r="G151" s="72"/>
      <c r="H151" s="36"/>
      <c r="I151" s="36"/>
      <c r="J151" s="36">
        <v>20010719</v>
      </c>
      <c r="K151" s="36"/>
      <c r="L151" s="36"/>
      <c r="M151" s="36"/>
      <c r="N151" s="37"/>
      <c r="O151" s="45"/>
      <c r="P151" s="27"/>
    </row>
    <row r="152" spans="2:16">
      <c r="B152" s="30"/>
      <c r="C152" s="69" t="s">
        <v>6323</v>
      </c>
      <c r="D152" s="62" t="s">
        <v>6737</v>
      </c>
      <c r="E152" s="31" t="s">
        <v>6324</v>
      </c>
      <c r="F152" s="31" t="s">
        <v>5356</v>
      </c>
      <c r="G152" s="32"/>
    </row>
    <row r="153" spans="2:16">
      <c r="B153" s="33"/>
      <c r="C153" s="45" t="s">
        <v>6323</v>
      </c>
      <c r="D153" s="63" t="s">
        <v>6738</v>
      </c>
      <c r="E153" s="27" t="s">
        <v>6324</v>
      </c>
      <c r="F153" s="27" t="s">
        <v>584</v>
      </c>
      <c r="G153" s="34"/>
    </row>
    <row r="154" spans="2:16">
      <c r="B154" s="33"/>
      <c r="C154" s="45" t="s">
        <v>6323</v>
      </c>
      <c r="D154" s="63" t="s">
        <v>6739</v>
      </c>
      <c r="E154" s="27" t="s">
        <v>6324</v>
      </c>
      <c r="F154" s="27" t="s">
        <v>6573</v>
      </c>
      <c r="G154" s="34"/>
    </row>
    <row r="155" spans="2:16">
      <c r="B155" s="33"/>
      <c r="C155" s="45" t="s">
        <v>6323</v>
      </c>
      <c r="D155" s="63" t="s">
        <v>6747</v>
      </c>
      <c r="E155" s="27" t="s">
        <v>6324</v>
      </c>
      <c r="F155" s="27" t="s">
        <v>1053</v>
      </c>
      <c r="G155" s="34"/>
    </row>
    <row r="156" spans="2:16">
      <c r="B156" s="33"/>
      <c r="C156" s="45" t="s">
        <v>6323</v>
      </c>
      <c r="D156" s="63" t="s">
        <v>6748</v>
      </c>
      <c r="E156" s="27" t="s">
        <v>6324</v>
      </c>
      <c r="F156" s="27" t="s">
        <v>6574</v>
      </c>
      <c r="G156" s="34"/>
    </row>
    <row r="157" spans="2:16">
      <c r="B157" s="33"/>
      <c r="C157" s="45" t="s">
        <v>6323</v>
      </c>
      <c r="D157" s="63" t="s">
        <v>6749</v>
      </c>
      <c r="E157" s="27" t="s">
        <v>6324</v>
      </c>
      <c r="F157" s="27" t="s">
        <v>3999</v>
      </c>
      <c r="G157" s="34"/>
    </row>
    <row r="158" spans="2:16">
      <c r="B158" s="33"/>
      <c r="C158" s="45" t="s">
        <v>6323</v>
      </c>
      <c r="D158" s="63" t="s">
        <v>6758</v>
      </c>
      <c r="E158" s="27" t="s">
        <v>6324</v>
      </c>
      <c r="F158" s="27" t="s">
        <v>914</v>
      </c>
      <c r="G158" s="34"/>
    </row>
    <row r="159" spans="2:16">
      <c r="B159" s="33"/>
      <c r="C159" s="45" t="s">
        <v>6323</v>
      </c>
      <c r="D159" s="63" t="s">
        <v>6767</v>
      </c>
      <c r="E159" s="27" t="s">
        <v>6324</v>
      </c>
      <c r="F159" s="27" t="s">
        <v>6575</v>
      </c>
      <c r="G159" s="34"/>
    </row>
    <row r="160" spans="2:16">
      <c r="B160" s="33"/>
      <c r="C160" s="45" t="s">
        <v>6323</v>
      </c>
      <c r="D160" s="63" t="s">
        <v>6768</v>
      </c>
      <c r="E160" s="27" t="s">
        <v>6324</v>
      </c>
      <c r="F160" s="27" t="s">
        <v>6576</v>
      </c>
      <c r="G160" s="34"/>
    </row>
    <row r="161" spans="2:7">
      <c r="B161" s="33"/>
      <c r="C161" s="45" t="s">
        <v>6323</v>
      </c>
      <c r="D161" s="63" t="s">
        <v>6769</v>
      </c>
      <c r="E161" s="27" t="s">
        <v>6324</v>
      </c>
      <c r="F161" s="27" t="s">
        <v>6577</v>
      </c>
      <c r="G161" s="34"/>
    </row>
    <row r="162" spans="2:7">
      <c r="B162" s="33"/>
      <c r="C162" s="45" t="s">
        <v>6323</v>
      </c>
      <c r="D162" s="63" t="s">
        <v>6770</v>
      </c>
      <c r="E162" s="27" t="s">
        <v>6324</v>
      </c>
      <c r="F162" s="27" t="s">
        <v>2751</v>
      </c>
      <c r="G162" s="34"/>
    </row>
    <row r="163" spans="2:7">
      <c r="B163" s="33"/>
      <c r="C163" s="45" t="s">
        <v>6323</v>
      </c>
      <c r="D163" s="63" t="s">
        <v>6771</v>
      </c>
      <c r="E163" s="27" t="s">
        <v>6324</v>
      </c>
      <c r="F163" s="27" t="s">
        <v>6578</v>
      </c>
      <c r="G163" s="34"/>
    </row>
    <row r="164" spans="2:7">
      <c r="B164" s="33"/>
      <c r="C164" s="45" t="s">
        <v>6323</v>
      </c>
      <c r="D164" s="63" t="s">
        <v>6778</v>
      </c>
      <c r="E164" s="27" t="s">
        <v>6324</v>
      </c>
      <c r="F164" s="27" t="s">
        <v>6579</v>
      </c>
      <c r="G164" s="34"/>
    </row>
    <row r="165" spans="2:7">
      <c r="B165" s="33"/>
      <c r="C165" s="45" t="s">
        <v>6323</v>
      </c>
      <c r="D165" s="63" t="s">
        <v>6779</v>
      </c>
      <c r="E165" s="27" t="s">
        <v>6324</v>
      </c>
      <c r="F165" s="27" t="s">
        <v>6580</v>
      </c>
      <c r="G165" s="34"/>
    </row>
    <row r="166" spans="2:7">
      <c r="B166" s="33"/>
      <c r="C166" s="45" t="s">
        <v>6323</v>
      </c>
      <c r="D166" s="63" t="s">
        <v>6787</v>
      </c>
      <c r="E166" s="27" t="s">
        <v>6324</v>
      </c>
      <c r="F166" s="27" t="s">
        <v>6581</v>
      </c>
      <c r="G166" s="34"/>
    </row>
    <row r="167" spans="2:7">
      <c r="B167" s="33"/>
      <c r="C167" s="45" t="s">
        <v>6323</v>
      </c>
      <c r="D167" s="63" t="s">
        <v>6788</v>
      </c>
      <c r="E167" s="27" t="s">
        <v>6324</v>
      </c>
      <c r="F167" s="27" t="s">
        <v>6582</v>
      </c>
      <c r="G167" s="34"/>
    </row>
    <row r="168" spans="2:7">
      <c r="B168" s="33"/>
      <c r="C168" s="45" t="s">
        <v>6323</v>
      </c>
      <c r="D168" s="63" t="s">
        <v>6789</v>
      </c>
      <c r="E168" s="27" t="s">
        <v>6324</v>
      </c>
      <c r="F168" s="27" t="s">
        <v>6583</v>
      </c>
      <c r="G168" s="34"/>
    </row>
    <row r="169" spans="2:7">
      <c r="B169" s="33"/>
      <c r="C169" s="45" t="s">
        <v>6323</v>
      </c>
      <c r="D169" s="63" t="s">
        <v>6790</v>
      </c>
      <c r="E169" s="27" t="s">
        <v>6324</v>
      </c>
      <c r="F169" s="27" t="s">
        <v>6584</v>
      </c>
      <c r="G169" s="34"/>
    </row>
    <row r="170" spans="2:7">
      <c r="B170" s="33"/>
      <c r="C170" s="45" t="s">
        <v>6323</v>
      </c>
      <c r="D170" s="63" t="s">
        <v>6791</v>
      </c>
      <c r="E170" s="27" t="s">
        <v>6324</v>
      </c>
      <c r="F170" s="27" t="s">
        <v>6585</v>
      </c>
      <c r="G170" s="34"/>
    </row>
    <row r="171" spans="2:7">
      <c r="B171" s="33"/>
      <c r="C171" s="45" t="s">
        <v>6323</v>
      </c>
      <c r="D171" s="63" t="s">
        <v>6792</v>
      </c>
      <c r="E171" s="27" t="s">
        <v>6324</v>
      </c>
      <c r="F171" s="27" t="s">
        <v>6586</v>
      </c>
      <c r="G171" s="34"/>
    </row>
    <row r="172" spans="2:7">
      <c r="B172" s="33"/>
      <c r="C172" s="45" t="s">
        <v>6323</v>
      </c>
      <c r="D172" s="63" t="s">
        <v>6793</v>
      </c>
      <c r="E172" s="27" t="s">
        <v>6324</v>
      </c>
      <c r="F172" s="27" t="s">
        <v>6587</v>
      </c>
      <c r="G172" s="34"/>
    </row>
    <row r="173" spans="2:7">
      <c r="B173" s="33"/>
      <c r="C173" s="45" t="s">
        <v>6323</v>
      </c>
      <c r="D173" s="63" t="s">
        <v>6794</v>
      </c>
      <c r="E173" s="27" t="s">
        <v>6324</v>
      </c>
      <c r="F173" s="27" t="s">
        <v>6588</v>
      </c>
      <c r="G173" s="34"/>
    </row>
    <row r="174" spans="2:7" ht="12.75" thickBot="1">
      <c r="B174" s="35"/>
      <c r="C174" s="71" t="s">
        <v>6323</v>
      </c>
      <c r="D174" s="66" t="s">
        <v>6361</v>
      </c>
      <c r="E174" s="36" t="s">
        <v>6324</v>
      </c>
      <c r="F174" s="36"/>
      <c r="G174" s="37"/>
    </row>
    <row r="175" spans="2:7">
      <c r="B175" s="30" t="s">
        <v>6600</v>
      </c>
      <c r="C175" s="69" t="s">
        <v>6268</v>
      </c>
      <c r="D175" s="62" t="s">
        <v>6795</v>
      </c>
      <c r="E175" s="31" t="s">
        <v>6269</v>
      </c>
      <c r="F175" s="31" t="s">
        <v>6594</v>
      </c>
      <c r="G175" s="32"/>
    </row>
    <row r="176" spans="2:7">
      <c r="B176" s="33"/>
      <c r="C176" s="45" t="s">
        <v>6268</v>
      </c>
      <c r="D176" s="63" t="s">
        <v>6796</v>
      </c>
      <c r="E176" s="27" t="s">
        <v>6269</v>
      </c>
      <c r="F176" s="27" t="s">
        <v>1901</v>
      </c>
      <c r="G176" s="34"/>
    </row>
    <row r="177" spans="2:7">
      <c r="B177" s="33"/>
      <c r="C177" s="45" t="s">
        <v>6268</v>
      </c>
      <c r="D177" s="63" t="s">
        <v>6797</v>
      </c>
      <c r="E177" s="27" t="s">
        <v>6269</v>
      </c>
      <c r="F177" s="27" t="s">
        <v>6595</v>
      </c>
      <c r="G177" s="34"/>
    </row>
    <row r="178" spans="2:7">
      <c r="B178" s="33"/>
      <c r="C178" s="45" t="s">
        <v>6268</v>
      </c>
      <c r="D178" s="63" t="s">
        <v>6798</v>
      </c>
      <c r="E178" s="27" t="s">
        <v>6269</v>
      </c>
      <c r="F178" s="27" t="s">
        <v>6596</v>
      </c>
      <c r="G178" s="34"/>
    </row>
    <row r="179" spans="2:7">
      <c r="B179" s="33"/>
      <c r="C179" s="45" t="s">
        <v>6268</v>
      </c>
      <c r="D179" s="63" t="s">
        <v>6799</v>
      </c>
      <c r="E179" s="27" t="s">
        <v>6269</v>
      </c>
      <c r="F179" s="27" t="s">
        <v>6597</v>
      </c>
      <c r="G179" s="34"/>
    </row>
    <row r="180" spans="2:7">
      <c r="B180" s="33"/>
      <c r="C180" s="45" t="s">
        <v>6268</v>
      </c>
      <c r="D180" s="63" t="s">
        <v>6800</v>
      </c>
      <c r="E180" s="27" t="s">
        <v>6269</v>
      </c>
      <c r="F180" s="27" t="s">
        <v>6598</v>
      </c>
      <c r="G180" s="34"/>
    </row>
    <row r="181" spans="2:7">
      <c r="B181" s="33"/>
      <c r="C181" s="45" t="s">
        <v>6268</v>
      </c>
      <c r="D181" s="63" t="s">
        <v>6801</v>
      </c>
      <c r="E181" s="27" t="s">
        <v>6269</v>
      </c>
      <c r="F181" s="27" t="s">
        <v>6599</v>
      </c>
      <c r="G181" s="34"/>
    </row>
    <row r="182" spans="2:7" ht="12.75" thickBot="1">
      <c r="B182" s="35"/>
      <c r="C182" s="71" t="s">
        <v>6268</v>
      </c>
      <c r="D182" s="66" t="s">
        <v>6361</v>
      </c>
      <c r="E182" s="36" t="s">
        <v>6269</v>
      </c>
      <c r="F182" s="36"/>
      <c r="G182" s="37"/>
    </row>
    <row r="183" spans="2:7">
      <c r="B183" s="30" t="s">
        <v>6601</v>
      </c>
      <c r="C183" s="69" t="s">
        <v>6266</v>
      </c>
      <c r="D183" s="62" t="s">
        <v>6795</v>
      </c>
      <c r="E183" s="31" t="s">
        <v>6267</v>
      </c>
      <c r="F183" s="32" t="s">
        <v>6594</v>
      </c>
    </row>
    <row r="184" spans="2:7">
      <c r="B184" s="33"/>
      <c r="C184" s="45" t="s">
        <v>6266</v>
      </c>
      <c r="D184" s="63" t="s">
        <v>6802</v>
      </c>
      <c r="E184" s="27" t="s">
        <v>6267</v>
      </c>
      <c r="F184" s="34" t="s">
        <v>6602</v>
      </c>
    </row>
    <row r="185" spans="2:7">
      <c r="B185" s="33"/>
      <c r="C185" s="45" t="s">
        <v>6266</v>
      </c>
      <c r="D185" s="63" t="s">
        <v>6803</v>
      </c>
      <c r="E185" s="27" t="s">
        <v>6267</v>
      </c>
      <c r="F185" s="34" t="s">
        <v>6603</v>
      </c>
    </row>
    <row r="186" spans="2:7">
      <c r="B186" s="33"/>
      <c r="C186" s="45" t="s">
        <v>6266</v>
      </c>
      <c r="D186" s="63" t="s">
        <v>6804</v>
      </c>
      <c r="E186" s="27" t="s">
        <v>6267</v>
      </c>
      <c r="F186" s="34" t="s">
        <v>6604</v>
      </c>
    </row>
    <row r="187" spans="2:7">
      <c r="B187" s="33"/>
      <c r="C187" s="45" t="s">
        <v>6266</v>
      </c>
      <c r="D187" s="63" t="s">
        <v>6805</v>
      </c>
      <c r="E187" s="27" t="s">
        <v>6267</v>
      </c>
      <c r="F187" s="34" t="s">
        <v>6605</v>
      </c>
    </row>
    <row r="188" spans="2:7">
      <c r="B188" s="33"/>
      <c r="C188" s="45" t="s">
        <v>6266</v>
      </c>
      <c r="D188" s="63" t="s">
        <v>6806</v>
      </c>
      <c r="E188" s="27" t="s">
        <v>6267</v>
      </c>
      <c r="F188" s="34" t="s">
        <v>6606</v>
      </c>
    </row>
    <row r="189" spans="2:7">
      <c r="B189" s="33"/>
      <c r="C189" s="45" t="s">
        <v>6266</v>
      </c>
      <c r="D189" s="63" t="s">
        <v>6807</v>
      </c>
      <c r="E189" s="27" t="s">
        <v>6267</v>
      </c>
      <c r="F189" s="34" t="s">
        <v>6607</v>
      </c>
    </row>
    <row r="190" spans="2:7">
      <c r="B190" s="33"/>
      <c r="C190" s="45" t="s">
        <v>6266</v>
      </c>
      <c r="D190" s="63" t="s">
        <v>6808</v>
      </c>
      <c r="E190" s="27" t="s">
        <v>6267</v>
      </c>
      <c r="F190" s="34" t="s">
        <v>6608</v>
      </c>
    </row>
    <row r="191" spans="2:7">
      <c r="B191" s="33"/>
      <c r="C191" s="45" t="s">
        <v>6266</v>
      </c>
      <c r="D191" s="63" t="s">
        <v>6809</v>
      </c>
      <c r="E191" s="27" t="s">
        <v>6267</v>
      </c>
      <c r="F191" s="34" t="s">
        <v>2881</v>
      </c>
    </row>
    <row r="192" spans="2:7">
      <c r="B192" s="33"/>
      <c r="C192" s="45" t="s">
        <v>6266</v>
      </c>
      <c r="D192" s="63" t="s">
        <v>6810</v>
      </c>
      <c r="E192" s="27" t="s">
        <v>6267</v>
      </c>
      <c r="F192" s="34" t="s">
        <v>6609</v>
      </c>
    </row>
    <row r="193" spans="2:6">
      <c r="B193" s="33"/>
      <c r="C193" s="45" t="s">
        <v>6266</v>
      </c>
      <c r="D193" s="63" t="s">
        <v>6811</v>
      </c>
      <c r="E193" s="27" t="s">
        <v>6267</v>
      </c>
      <c r="F193" s="34" t="s">
        <v>6610</v>
      </c>
    </row>
    <row r="194" spans="2:6">
      <c r="B194" s="33"/>
      <c r="C194" s="45" t="s">
        <v>6266</v>
      </c>
      <c r="D194" s="63" t="s">
        <v>6812</v>
      </c>
      <c r="E194" s="27" t="s">
        <v>6267</v>
      </c>
      <c r="F194" s="34" t="s">
        <v>6611</v>
      </c>
    </row>
    <row r="195" spans="2:6">
      <c r="B195" s="33"/>
      <c r="C195" s="45" t="s">
        <v>6266</v>
      </c>
      <c r="D195" s="63" t="s">
        <v>6813</v>
      </c>
      <c r="E195" s="27" t="s">
        <v>6267</v>
      </c>
      <c r="F195" s="34" t="s">
        <v>6612</v>
      </c>
    </row>
    <row r="196" spans="2:6">
      <c r="B196" s="33"/>
      <c r="C196" s="45" t="s">
        <v>6266</v>
      </c>
      <c r="D196" s="63" t="s">
        <v>6814</v>
      </c>
      <c r="E196" s="27" t="s">
        <v>6267</v>
      </c>
      <c r="F196" s="34" t="s">
        <v>6613</v>
      </c>
    </row>
    <row r="197" spans="2:6">
      <c r="B197" s="33"/>
      <c r="C197" s="45" t="s">
        <v>6266</v>
      </c>
      <c r="D197" s="63" t="s">
        <v>6815</v>
      </c>
      <c r="E197" s="27" t="s">
        <v>6267</v>
      </c>
      <c r="F197" s="34" t="s">
        <v>6614</v>
      </c>
    </row>
    <row r="198" spans="2:6">
      <c r="B198" s="33"/>
      <c r="C198" s="45" t="s">
        <v>6266</v>
      </c>
      <c r="D198" s="63" t="s">
        <v>6816</v>
      </c>
      <c r="E198" s="27" t="s">
        <v>6267</v>
      </c>
      <c r="F198" s="34" t="s">
        <v>6615</v>
      </c>
    </row>
    <row r="199" spans="2:6">
      <c r="B199" s="33"/>
      <c r="C199" s="45" t="s">
        <v>6266</v>
      </c>
      <c r="D199" s="63" t="s">
        <v>6817</v>
      </c>
      <c r="E199" s="27" t="s">
        <v>6267</v>
      </c>
      <c r="F199" s="34" t="s">
        <v>6604</v>
      </c>
    </row>
    <row r="200" spans="2:6">
      <c r="B200" s="33"/>
      <c r="C200" s="45" t="s">
        <v>6266</v>
      </c>
      <c r="D200" s="63" t="s">
        <v>6818</v>
      </c>
      <c r="E200" s="27" t="s">
        <v>6267</v>
      </c>
      <c r="F200" s="34" t="s">
        <v>2881</v>
      </c>
    </row>
    <row r="201" spans="2:6">
      <c r="B201" s="33"/>
      <c r="C201" s="45" t="s">
        <v>6266</v>
      </c>
      <c r="D201" s="63" t="s">
        <v>6819</v>
      </c>
      <c r="E201" s="27" t="s">
        <v>6267</v>
      </c>
      <c r="F201" s="34" t="s">
        <v>6612</v>
      </c>
    </row>
    <row r="202" spans="2:6">
      <c r="B202" s="33"/>
      <c r="C202" s="45" t="s">
        <v>6266</v>
      </c>
      <c r="D202" s="63" t="s">
        <v>6820</v>
      </c>
      <c r="E202" s="27" t="s">
        <v>6267</v>
      </c>
      <c r="F202" s="34" t="s">
        <v>6614</v>
      </c>
    </row>
    <row r="203" spans="2:6">
      <c r="B203" s="33"/>
      <c r="C203" s="45" t="s">
        <v>6266</v>
      </c>
      <c r="D203" s="63" t="s">
        <v>6821</v>
      </c>
      <c r="E203" s="27" t="s">
        <v>6267</v>
      </c>
      <c r="F203" s="34" t="s">
        <v>6616</v>
      </c>
    </row>
    <row r="204" spans="2:6">
      <c r="B204" s="33"/>
      <c r="C204" s="45" t="s">
        <v>6266</v>
      </c>
      <c r="D204" s="63" t="s">
        <v>6822</v>
      </c>
      <c r="E204" s="27" t="s">
        <v>6267</v>
      </c>
      <c r="F204" s="34" t="s">
        <v>6617</v>
      </c>
    </row>
    <row r="205" spans="2:6">
      <c r="B205" s="33"/>
      <c r="C205" s="45" t="s">
        <v>6266</v>
      </c>
      <c r="D205" s="63" t="s">
        <v>6823</v>
      </c>
      <c r="E205" s="27" t="s">
        <v>6267</v>
      </c>
      <c r="F205" s="34" t="s">
        <v>6618</v>
      </c>
    </row>
    <row r="206" spans="2:6">
      <c r="B206" s="33"/>
      <c r="C206" s="45" t="s">
        <v>6266</v>
      </c>
      <c r="D206" s="63" t="s">
        <v>6824</v>
      </c>
      <c r="E206" s="27" t="s">
        <v>6267</v>
      </c>
      <c r="F206" s="34" t="s">
        <v>6619</v>
      </c>
    </row>
    <row r="207" spans="2:6">
      <c r="B207" s="33"/>
      <c r="C207" s="45" t="s">
        <v>6266</v>
      </c>
      <c r="D207" s="63" t="s">
        <v>6825</v>
      </c>
      <c r="E207" s="27" t="s">
        <v>6267</v>
      </c>
      <c r="F207" s="34" t="s">
        <v>1552</v>
      </c>
    </row>
    <row r="208" spans="2:6">
      <c r="B208" s="33"/>
      <c r="C208" s="45" t="s">
        <v>6266</v>
      </c>
      <c r="D208" s="63" t="s">
        <v>6826</v>
      </c>
      <c r="E208" s="27" t="s">
        <v>6267</v>
      </c>
      <c r="F208" s="34" t="s">
        <v>6620</v>
      </c>
    </row>
    <row r="209" spans="2:6">
      <c r="B209" s="33"/>
      <c r="C209" s="45" t="s">
        <v>6266</v>
      </c>
      <c r="D209" s="63" t="s">
        <v>6827</v>
      </c>
      <c r="E209" s="27" t="s">
        <v>6267</v>
      </c>
      <c r="F209" s="34" t="s">
        <v>6621</v>
      </c>
    </row>
    <row r="210" spans="2:6">
      <c r="B210" s="33"/>
      <c r="C210" s="45" t="s">
        <v>6266</v>
      </c>
      <c r="D210" s="63" t="s">
        <v>6828</v>
      </c>
      <c r="E210" s="27" t="s">
        <v>6267</v>
      </c>
      <c r="F210" s="34" t="s">
        <v>4939</v>
      </c>
    </row>
    <row r="211" spans="2:6">
      <c r="B211" s="33"/>
      <c r="C211" s="45" t="s">
        <v>6266</v>
      </c>
      <c r="D211" s="63" t="s">
        <v>6829</v>
      </c>
      <c r="E211" s="27" t="s">
        <v>6267</v>
      </c>
      <c r="F211" s="34" t="s">
        <v>6619</v>
      </c>
    </row>
    <row r="212" spans="2:6">
      <c r="B212" s="33"/>
      <c r="C212" s="45" t="s">
        <v>6266</v>
      </c>
      <c r="D212" s="63" t="s">
        <v>6830</v>
      </c>
      <c r="E212" s="27" t="s">
        <v>6267</v>
      </c>
      <c r="F212" s="34" t="s">
        <v>5649</v>
      </c>
    </row>
    <row r="213" spans="2:6">
      <c r="B213" s="33"/>
      <c r="C213" s="45" t="s">
        <v>6266</v>
      </c>
      <c r="D213" s="63" t="s">
        <v>6831</v>
      </c>
      <c r="E213" s="27" t="s">
        <v>6267</v>
      </c>
      <c r="F213" s="34" t="s">
        <v>6598</v>
      </c>
    </row>
    <row r="214" spans="2:6">
      <c r="B214" s="33"/>
      <c r="C214" s="45" t="s">
        <v>6266</v>
      </c>
      <c r="D214" s="63" t="s">
        <v>6832</v>
      </c>
      <c r="E214" s="27" t="s">
        <v>6267</v>
      </c>
      <c r="F214" s="34" t="s">
        <v>6622</v>
      </c>
    </row>
    <row r="215" spans="2:6">
      <c r="B215" s="33"/>
      <c r="C215" s="45" t="s">
        <v>6266</v>
      </c>
      <c r="D215" s="63" t="s">
        <v>6833</v>
      </c>
      <c r="E215" s="27" t="s">
        <v>6267</v>
      </c>
      <c r="F215" s="34" t="s">
        <v>6623</v>
      </c>
    </row>
    <row r="216" spans="2:6" ht="12.75" thickBot="1">
      <c r="B216" s="35"/>
      <c r="C216" s="71" t="s">
        <v>6266</v>
      </c>
      <c r="D216" s="66" t="s">
        <v>6361</v>
      </c>
      <c r="E216" s="36" t="s">
        <v>6267</v>
      </c>
      <c r="F216" s="37"/>
    </row>
    <row r="217" spans="2:6">
      <c r="B217" s="30" t="s">
        <v>6685</v>
      </c>
      <c r="C217" s="69" t="s">
        <v>6170</v>
      </c>
      <c r="D217" s="62" t="s">
        <v>6795</v>
      </c>
      <c r="E217" s="31" t="s">
        <v>6171</v>
      </c>
      <c r="F217" s="32" t="s">
        <v>874</v>
      </c>
    </row>
    <row r="218" spans="2:6">
      <c r="B218" s="33"/>
      <c r="C218" s="45" t="s">
        <v>6170</v>
      </c>
      <c r="D218" s="63" t="s">
        <v>6834</v>
      </c>
      <c r="E218" s="27" t="s">
        <v>6171</v>
      </c>
      <c r="F218" s="34" t="s">
        <v>2663</v>
      </c>
    </row>
    <row r="219" spans="2:6">
      <c r="B219" s="33"/>
      <c r="C219" s="45" t="s">
        <v>6170</v>
      </c>
      <c r="D219" s="63" t="s">
        <v>6835</v>
      </c>
      <c r="E219" s="27" t="s">
        <v>6171</v>
      </c>
      <c r="F219" s="34" t="s">
        <v>6625</v>
      </c>
    </row>
    <row r="220" spans="2:6">
      <c r="B220" s="33"/>
      <c r="C220" s="45" t="s">
        <v>6170</v>
      </c>
      <c r="D220" s="63" t="s">
        <v>6836</v>
      </c>
      <c r="E220" s="27" t="s">
        <v>6171</v>
      </c>
      <c r="F220" s="34" t="s">
        <v>6626</v>
      </c>
    </row>
    <row r="221" spans="2:6">
      <c r="B221" s="33"/>
      <c r="C221" s="45" t="s">
        <v>6170</v>
      </c>
      <c r="D221" s="63" t="s">
        <v>6837</v>
      </c>
      <c r="E221" s="27" t="s">
        <v>6171</v>
      </c>
      <c r="F221" s="34" t="s">
        <v>6627</v>
      </c>
    </row>
    <row r="222" spans="2:6">
      <c r="B222" s="33"/>
      <c r="C222" s="45" t="s">
        <v>6170</v>
      </c>
      <c r="D222" s="63" t="s">
        <v>6838</v>
      </c>
      <c r="E222" s="27" t="s">
        <v>6171</v>
      </c>
      <c r="F222" s="34" t="s">
        <v>1537</v>
      </c>
    </row>
    <row r="223" spans="2:6">
      <c r="B223" s="33"/>
      <c r="C223" s="45" t="s">
        <v>6170</v>
      </c>
      <c r="D223" s="63" t="s">
        <v>6839</v>
      </c>
      <c r="E223" s="27" t="s">
        <v>6171</v>
      </c>
      <c r="F223" s="34" t="s">
        <v>6628</v>
      </c>
    </row>
    <row r="224" spans="2:6">
      <c r="B224" s="33"/>
      <c r="C224" s="45" t="s">
        <v>6170</v>
      </c>
      <c r="D224" s="63" t="s">
        <v>6840</v>
      </c>
      <c r="E224" s="27" t="s">
        <v>6171</v>
      </c>
      <c r="F224" s="34" t="s">
        <v>6629</v>
      </c>
    </row>
    <row r="225" spans="2:6">
      <c r="B225" s="33"/>
      <c r="C225" s="45" t="s">
        <v>6170</v>
      </c>
      <c r="D225" s="63" t="s">
        <v>6841</v>
      </c>
      <c r="E225" s="27" t="s">
        <v>6171</v>
      </c>
      <c r="F225" s="34" t="s">
        <v>6630</v>
      </c>
    </row>
    <row r="226" spans="2:6">
      <c r="B226" s="33"/>
      <c r="C226" s="45" t="s">
        <v>6170</v>
      </c>
      <c r="D226" s="63" t="s">
        <v>6842</v>
      </c>
      <c r="E226" s="27" t="s">
        <v>6171</v>
      </c>
      <c r="F226" s="34" t="s">
        <v>6631</v>
      </c>
    </row>
    <row r="227" spans="2:6">
      <c r="B227" s="33"/>
      <c r="C227" s="45" t="s">
        <v>6170</v>
      </c>
      <c r="D227" s="63" t="s">
        <v>6843</v>
      </c>
      <c r="E227" s="27" t="s">
        <v>6171</v>
      </c>
      <c r="F227" s="34" t="s">
        <v>6632</v>
      </c>
    </row>
    <row r="228" spans="2:6">
      <c r="B228" s="33"/>
      <c r="C228" s="45" t="s">
        <v>6170</v>
      </c>
      <c r="D228" s="63" t="s">
        <v>6844</v>
      </c>
      <c r="E228" s="27" t="s">
        <v>6171</v>
      </c>
      <c r="F228" s="34" t="s">
        <v>6633</v>
      </c>
    </row>
    <row r="229" spans="2:6">
      <c r="B229" s="33"/>
      <c r="C229" s="45" t="s">
        <v>6170</v>
      </c>
      <c r="D229" s="63" t="s">
        <v>6845</v>
      </c>
      <c r="E229" s="27" t="s">
        <v>6171</v>
      </c>
      <c r="F229" s="34" t="s">
        <v>3678</v>
      </c>
    </row>
    <row r="230" spans="2:6">
      <c r="B230" s="33"/>
      <c r="C230" s="45" t="s">
        <v>6170</v>
      </c>
      <c r="D230" s="63" t="s">
        <v>6846</v>
      </c>
      <c r="E230" s="27" t="s">
        <v>6171</v>
      </c>
      <c r="F230" s="34" t="s">
        <v>1332</v>
      </c>
    </row>
    <row r="231" spans="2:6">
      <c r="B231" s="33"/>
      <c r="C231" s="45" t="s">
        <v>6170</v>
      </c>
      <c r="D231" s="63" t="s">
        <v>6847</v>
      </c>
      <c r="E231" s="27" t="s">
        <v>6171</v>
      </c>
      <c r="F231" s="34" t="s">
        <v>6634</v>
      </c>
    </row>
    <row r="232" spans="2:6">
      <c r="B232" s="33"/>
      <c r="C232" s="45" t="s">
        <v>6170</v>
      </c>
      <c r="D232" s="63" t="s">
        <v>6848</v>
      </c>
      <c r="E232" s="27" t="s">
        <v>6171</v>
      </c>
      <c r="F232" s="34" t="s">
        <v>6635</v>
      </c>
    </row>
    <row r="233" spans="2:6">
      <c r="B233" s="33"/>
      <c r="C233" s="45" t="s">
        <v>6170</v>
      </c>
      <c r="D233" s="63" t="s">
        <v>6849</v>
      </c>
      <c r="E233" s="27" t="s">
        <v>6171</v>
      </c>
      <c r="F233" s="34" t="s">
        <v>5296</v>
      </c>
    </row>
    <row r="234" spans="2:6">
      <c r="B234" s="33"/>
      <c r="C234" s="45" t="s">
        <v>6170</v>
      </c>
      <c r="D234" s="63" t="s">
        <v>6850</v>
      </c>
      <c r="E234" s="27" t="s">
        <v>6171</v>
      </c>
      <c r="F234" s="34" t="s">
        <v>1391</v>
      </c>
    </row>
    <row r="235" spans="2:6">
      <c r="B235" s="33"/>
      <c r="C235" s="45" t="s">
        <v>6170</v>
      </c>
      <c r="D235" s="63" t="s">
        <v>6851</v>
      </c>
      <c r="E235" s="27" t="s">
        <v>6171</v>
      </c>
      <c r="F235" s="34" t="s">
        <v>4923</v>
      </c>
    </row>
    <row r="236" spans="2:6">
      <c r="B236" s="33"/>
      <c r="C236" s="45" t="s">
        <v>6170</v>
      </c>
      <c r="D236" s="63" t="s">
        <v>6852</v>
      </c>
      <c r="E236" s="27" t="s">
        <v>6171</v>
      </c>
      <c r="F236" s="34" t="s">
        <v>6636</v>
      </c>
    </row>
    <row r="237" spans="2:6">
      <c r="B237" s="33"/>
      <c r="C237" s="45" t="s">
        <v>6170</v>
      </c>
      <c r="D237" s="63" t="s">
        <v>6853</v>
      </c>
      <c r="E237" s="27" t="s">
        <v>6171</v>
      </c>
      <c r="F237" s="34" t="s">
        <v>6637</v>
      </c>
    </row>
    <row r="238" spans="2:6">
      <c r="B238" s="33"/>
      <c r="C238" s="45" t="s">
        <v>6170</v>
      </c>
      <c r="D238" s="63" t="s">
        <v>6854</v>
      </c>
      <c r="E238" s="27" t="s">
        <v>6171</v>
      </c>
      <c r="F238" s="34" t="s">
        <v>6638</v>
      </c>
    </row>
    <row r="239" spans="2:6">
      <c r="B239" s="33"/>
      <c r="C239" s="45" t="s">
        <v>6170</v>
      </c>
      <c r="D239" s="63" t="s">
        <v>6855</v>
      </c>
      <c r="E239" s="27" t="s">
        <v>6171</v>
      </c>
      <c r="F239" s="34" t="s">
        <v>6639</v>
      </c>
    </row>
    <row r="240" spans="2:6">
      <c r="B240" s="33"/>
      <c r="C240" s="45" t="s">
        <v>6170</v>
      </c>
      <c r="D240" s="63" t="s">
        <v>6856</v>
      </c>
      <c r="E240" s="27" t="s">
        <v>6171</v>
      </c>
      <c r="F240" s="34" t="s">
        <v>6640</v>
      </c>
    </row>
    <row r="241" spans="2:6">
      <c r="B241" s="33"/>
      <c r="C241" s="45" t="s">
        <v>6170</v>
      </c>
      <c r="D241" s="63" t="s">
        <v>6857</v>
      </c>
      <c r="E241" s="27" t="s">
        <v>6171</v>
      </c>
      <c r="F241" s="34" t="s">
        <v>6641</v>
      </c>
    </row>
    <row r="242" spans="2:6">
      <c r="B242" s="33"/>
      <c r="C242" s="45" t="s">
        <v>6170</v>
      </c>
      <c r="D242" s="63" t="s">
        <v>6858</v>
      </c>
      <c r="E242" s="27" t="s">
        <v>6171</v>
      </c>
      <c r="F242" s="34" t="s">
        <v>6642</v>
      </c>
    </row>
    <row r="243" spans="2:6">
      <c r="B243" s="33"/>
      <c r="C243" s="45" t="s">
        <v>6170</v>
      </c>
      <c r="D243" s="63" t="s">
        <v>6859</v>
      </c>
      <c r="E243" s="27" t="s">
        <v>6171</v>
      </c>
      <c r="F243" s="34" t="s">
        <v>6643</v>
      </c>
    </row>
    <row r="244" spans="2:6">
      <c r="B244" s="33"/>
      <c r="C244" s="45" t="s">
        <v>6170</v>
      </c>
      <c r="D244" s="63" t="s">
        <v>6860</v>
      </c>
      <c r="E244" s="27" t="s">
        <v>6171</v>
      </c>
      <c r="F244" s="34" t="s">
        <v>198</v>
      </c>
    </row>
    <row r="245" spans="2:6">
      <c r="B245" s="33"/>
      <c r="C245" s="45" t="s">
        <v>6170</v>
      </c>
      <c r="D245" s="63" t="s">
        <v>6861</v>
      </c>
      <c r="E245" s="27" t="s">
        <v>6171</v>
      </c>
      <c r="F245" s="34" t="s">
        <v>6644</v>
      </c>
    </row>
    <row r="246" spans="2:6">
      <c r="B246" s="33"/>
      <c r="C246" s="45" t="s">
        <v>6170</v>
      </c>
      <c r="D246" s="63" t="s">
        <v>6862</v>
      </c>
      <c r="E246" s="27" t="s">
        <v>6171</v>
      </c>
      <c r="F246" s="34" t="s">
        <v>6645</v>
      </c>
    </row>
    <row r="247" spans="2:6">
      <c r="B247" s="33"/>
      <c r="C247" s="45" t="s">
        <v>6170</v>
      </c>
      <c r="D247" s="63" t="s">
        <v>6863</v>
      </c>
      <c r="E247" s="27" t="s">
        <v>6171</v>
      </c>
      <c r="F247" s="34" t="s">
        <v>6646</v>
      </c>
    </row>
    <row r="248" spans="2:6">
      <c r="B248" s="33"/>
      <c r="C248" s="45" t="s">
        <v>6170</v>
      </c>
      <c r="D248" s="63" t="s">
        <v>6864</v>
      </c>
      <c r="E248" s="27" t="s">
        <v>6171</v>
      </c>
      <c r="F248" s="34" t="s">
        <v>6647</v>
      </c>
    </row>
    <row r="249" spans="2:6">
      <c r="B249" s="33"/>
      <c r="C249" s="45" t="s">
        <v>6170</v>
      </c>
      <c r="D249" s="63" t="s">
        <v>6865</v>
      </c>
      <c r="E249" s="27" t="s">
        <v>6171</v>
      </c>
      <c r="F249" s="34" t="s">
        <v>6648</v>
      </c>
    </row>
    <row r="250" spans="2:6">
      <c r="B250" s="33"/>
      <c r="C250" s="45" t="s">
        <v>6170</v>
      </c>
      <c r="D250" s="63" t="s">
        <v>6866</v>
      </c>
      <c r="E250" s="27" t="s">
        <v>6171</v>
      </c>
      <c r="F250" s="34" t="s">
        <v>6649</v>
      </c>
    </row>
    <row r="251" spans="2:6">
      <c r="B251" s="33"/>
      <c r="C251" s="45" t="s">
        <v>6170</v>
      </c>
      <c r="D251" s="63" t="s">
        <v>6867</v>
      </c>
      <c r="E251" s="27" t="s">
        <v>6171</v>
      </c>
      <c r="F251" s="34" t="s">
        <v>6650</v>
      </c>
    </row>
    <row r="252" spans="2:6">
      <c r="B252" s="33"/>
      <c r="C252" s="45" t="s">
        <v>6170</v>
      </c>
      <c r="D252" s="63" t="s">
        <v>6868</v>
      </c>
      <c r="E252" s="27" t="s">
        <v>6171</v>
      </c>
      <c r="F252" s="34" t="s">
        <v>6651</v>
      </c>
    </row>
    <row r="253" spans="2:6">
      <c r="B253" s="33"/>
      <c r="C253" s="45" t="s">
        <v>6170</v>
      </c>
      <c r="D253" s="63" t="s">
        <v>6869</v>
      </c>
      <c r="E253" s="27" t="s">
        <v>6171</v>
      </c>
      <c r="F253" s="34" t="s">
        <v>6652</v>
      </c>
    </row>
    <row r="254" spans="2:6">
      <c r="B254" s="33"/>
      <c r="C254" s="45" t="s">
        <v>6170</v>
      </c>
      <c r="D254" s="63" t="s">
        <v>6804</v>
      </c>
      <c r="E254" s="27" t="s">
        <v>6171</v>
      </c>
      <c r="F254" s="34" t="s">
        <v>6653</v>
      </c>
    </row>
    <row r="255" spans="2:6">
      <c r="B255" s="33"/>
      <c r="C255" s="45" t="s">
        <v>6170</v>
      </c>
      <c r="D255" s="63" t="s">
        <v>6809</v>
      </c>
      <c r="E255" s="27" t="s">
        <v>6171</v>
      </c>
      <c r="F255" s="34" t="s">
        <v>6654</v>
      </c>
    </row>
    <row r="256" spans="2:6">
      <c r="B256" s="33"/>
      <c r="C256" s="45" t="s">
        <v>6170</v>
      </c>
      <c r="D256" s="63" t="s">
        <v>6813</v>
      </c>
      <c r="E256" s="27" t="s">
        <v>6171</v>
      </c>
      <c r="F256" s="34" t="s">
        <v>6655</v>
      </c>
    </row>
    <row r="257" spans="2:6">
      <c r="B257" s="33"/>
      <c r="C257" s="45" t="s">
        <v>6170</v>
      </c>
      <c r="D257" s="63" t="s">
        <v>6817</v>
      </c>
      <c r="E257" s="27" t="s">
        <v>6171</v>
      </c>
      <c r="F257" s="34" t="s">
        <v>6656</v>
      </c>
    </row>
    <row r="258" spans="2:6">
      <c r="B258" s="33"/>
      <c r="C258" s="45" t="s">
        <v>6170</v>
      </c>
      <c r="D258" s="63" t="s">
        <v>6818</v>
      </c>
      <c r="E258" s="27" t="s">
        <v>6171</v>
      </c>
      <c r="F258" s="34" t="s">
        <v>6657</v>
      </c>
    </row>
    <row r="259" spans="2:6">
      <c r="B259" s="33"/>
      <c r="C259" s="45" t="s">
        <v>6170</v>
      </c>
      <c r="D259" s="63" t="s">
        <v>6819</v>
      </c>
      <c r="E259" s="27" t="s">
        <v>6171</v>
      </c>
      <c r="F259" s="34" t="s">
        <v>6658</v>
      </c>
    </row>
    <row r="260" spans="2:6">
      <c r="B260" s="33"/>
      <c r="C260" s="45" t="s">
        <v>6170</v>
      </c>
      <c r="D260" s="63" t="s">
        <v>6820</v>
      </c>
      <c r="E260" s="27" t="s">
        <v>6171</v>
      </c>
      <c r="F260" s="34" t="s">
        <v>6659</v>
      </c>
    </row>
    <row r="261" spans="2:6">
      <c r="B261" s="33"/>
      <c r="C261" s="45" t="s">
        <v>6170</v>
      </c>
      <c r="D261" s="63" t="s">
        <v>6796</v>
      </c>
      <c r="E261" s="27" t="s">
        <v>6171</v>
      </c>
      <c r="F261" s="34" t="s">
        <v>4215</v>
      </c>
    </row>
    <row r="262" spans="2:6">
      <c r="B262" s="33"/>
      <c r="C262" s="45" t="s">
        <v>6170</v>
      </c>
      <c r="D262" s="63" t="s">
        <v>6870</v>
      </c>
      <c r="E262" s="27" t="s">
        <v>6171</v>
      </c>
      <c r="F262" s="34" t="s">
        <v>6660</v>
      </c>
    </row>
    <row r="263" spans="2:6">
      <c r="B263" s="33"/>
      <c r="C263" s="45" t="s">
        <v>6170</v>
      </c>
      <c r="D263" s="63" t="s">
        <v>6871</v>
      </c>
      <c r="E263" s="27" t="s">
        <v>6171</v>
      </c>
      <c r="F263" s="34" t="s">
        <v>750</v>
      </c>
    </row>
    <row r="264" spans="2:6">
      <c r="B264" s="33"/>
      <c r="C264" s="45" t="s">
        <v>6170</v>
      </c>
      <c r="D264" s="63" t="s">
        <v>6872</v>
      </c>
      <c r="E264" s="27" t="s">
        <v>6171</v>
      </c>
      <c r="F264" s="34" t="s">
        <v>6661</v>
      </c>
    </row>
    <row r="265" spans="2:6">
      <c r="B265" s="33"/>
      <c r="C265" s="45" t="s">
        <v>6170</v>
      </c>
      <c r="D265" s="63" t="s">
        <v>6873</v>
      </c>
      <c r="E265" s="27" t="s">
        <v>6171</v>
      </c>
      <c r="F265" s="34" t="s">
        <v>6662</v>
      </c>
    </row>
    <row r="266" spans="2:6">
      <c r="B266" s="33"/>
      <c r="C266" s="45" t="s">
        <v>6170</v>
      </c>
      <c r="D266" s="63" t="s">
        <v>6797</v>
      </c>
      <c r="E266" s="27" t="s">
        <v>6171</v>
      </c>
      <c r="F266" s="34" t="s">
        <v>6663</v>
      </c>
    </row>
    <row r="267" spans="2:6">
      <c r="B267" s="33"/>
      <c r="C267" s="45" t="s">
        <v>6170</v>
      </c>
      <c r="D267" s="63" t="s">
        <v>6874</v>
      </c>
      <c r="E267" s="27" t="s">
        <v>6171</v>
      </c>
      <c r="F267" s="34" t="s">
        <v>6664</v>
      </c>
    </row>
    <row r="268" spans="2:6">
      <c r="B268" s="33"/>
      <c r="C268" s="45" t="s">
        <v>6170</v>
      </c>
      <c r="D268" s="63" t="s">
        <v>6875</v>
      </c>
      <c r="E268" s="27" t="s">
        <v>6171</v>
      </c>
      <c r="F268" s="34" t="s">
        <v>6665</v>
      </c>
    </row>
    <row r="269" spans="2:6">
      <c r="B269" s="33"/>
      <c r="C269" s="45" t="s">
        <v>6170</v>
      </c>
      <c r="D269" s="63" t="s">
        <v>6876</v>
      </c>
      <c r="E269" s="27" t="s">
        <v>6171</v>
      </c>
      <c r="F269" s="34" t="s">
        <v>6666</v>
      </c>
    </row>
    <row r="270" spans="2:6">
      <c r="B270" s="33"/>
      <c r="C270" s="45" t="s">
        <v>6170</v>
      </c>
      <c r="D270" s="63" t="s">
        <v>6800</v>
      </c>
      <c r="E270" s="27" t="s">
        <v>6171</v>
      </c>
      <c r="F270" s="34" t="s">
        <v>6667</v>
      </c>
    </row>
    <row r="271" spans="2:6">
      <c r="B271" s="33"/>
      <c r="C271" s="45" t="s">
        <v>6170</v>
      </c>
      <c r="D271" s="63" t="s">
        <v>6877</v>
      </c>
      <c r="E271" s="27" t="s">
        <v>6171</v>
      </c>
      <c r="F271" s="34" t="s">
        <v>6668</v>
      </c>
    </row>
    <row r="272" spans="2:6">
      <c r="B272" s="33"/>
      <c r="C272" s="45" t="s">
        <v>6170</v>
      </c>
      <c r="D272" s="63" t="s">
        <v>6878</v>
      </c>
      <c r="E272" s="27" t="s">
        <v>6171</v>
      </c>
      <c r="F272" s="34" t="s">
        <v>6669</v>
      </c>
    </row>
    <row r="273" spans="2:6">
      <c r="B273" s="33"/>
      <c r="C273" s="45" t="s">
        <v>6170</v>
      </c>
      <c r="D273" s="63" t="s">
        <v>6879</v>
      </c>
      <c r="E273" s="27" t="s">
        <v>6171</v>
      </c>
      <c r="F273" s="34" t="s">
        <v>6670</v>
      </c>
    </row>
    <row r="274" spans="2:6">
      <c r="B274" s="33"/>
      <c r="C274" s="45" t="s">
        <v>6170</v>
      </c>
      <c r="D274" s="63" t="s">
        <v>6880</v>
      </c>
      <c r="E274" s="27" t="s">
        <v>6171</v>
      </c>
      <c r="F274" s="34" t="s">
        <v>6671</v>
      </c>
    </row>
    <row r="275" spans="2:6">
      <c r="B275" s="33"/>
      <c r="C275" s="45" t="s">
        <v>6170</v>
      </c>
      <c r="D275" s="63" t="s">
        <v>6801</v>
      </c>
      <c r="E275" s="27" t="s">
        <v>6171</v>
      </c>
      <c r="F275" s="34" t="s">
        <v>6672</v>
      </c>
    </row>
    <row r="276" spans="2:6">
      <c r="B276" s="33"/>
      <c r="C276" s="45" t="s">
        <v>6170</v>
      </c>
      <c r="D276" s="63" t="s">
        <v>6881</v>
      </c>
      <c r="E276" s="27" t="s">
        <v>6171</v>
      </c>
      <c r="F276" s="34" t="s">
        <v>6673</v>
      </c>
    </row>
    <row r="277" spans="2:6">
      <c r="B277" s="33"/>
      <c r="C277" s="45" t="s">
        <v>6170</v>
      </c>
      <c r="D277" s="63" t="s">
        <v>6882</v>
      </c>
      <c r="E277" s="27" t="s">
        <v>6171</v>
      </c>
      <c r="F277" s="34" t="s">
        <v>6674</v>
      </c>
    </row>
    <row r="278" spans="2:6">
      <c r="B278" s="33"/>
      <c r="C278" s="45" t="s">
        <v>6170</v>
      </c>
      <c r="D278" s="63" t="s">
        <v>6883</v>
      </c>
      <c r="E278" s="27" t="s">
        <v>6171</v>
      </c>
      <c r="F278" s="34" t="s">
        <v>6675</v>
      </c>
    </row>
    <row r="279" spans="2:6">
      <c r="B279" s="33"/>
      <c r="C279" s="45" t="s">
        <v>6170</v>
      </c>
      <c r="D279" s="63" t="s">
        <v>6884</v>
      </c>
      <c r="E279" s="27" t="s">
        <v>6171</v>
      </c>
      <c r="F279" s="34" t="s">
        <v>5673</v>
      </c>
    </row>
    <row r="280" spans="2:6">
      <c r="B280" s="33"/>
      <c r="C280" s="45" t="s">
        <v>6170</v>
      </c>
      <c r="D280" s="63" t="s">
        <v>6885</v>
      </c>
      <c r="E280" s="27" t="s">
        <v>6171</v>
      </c>
      <c r="F280" s="34" t="s">
        <v>6676</v>
      </c>
    </row>
    <row r="281" spans="2:6">
      <c r="B281" s="33"/>
      <c r="C281" s="45" t="s">
        <v>6170</v>
      </c>
      <c r="D281" s="63" t="s">
        <v>6886</v>
      </c>
      <c r="E281" s="27" t="s">
        <v>6171</v>
      </c>
      <c r="F281" s="34" t="s">
        <v>6677</v>
      </c>
    </row>
    <row r="282" spans="2:6">
      <c r="B282" s="33"/>
      <c r="C282" s="45" t="s">
        <v>6170</v>
      </c>
      <c r="D282" s="63" t="s">
        <v>6887</v>
      </c>
      <c r="E282" s="27" t="s">
        <v>6171</v>
      </c>
      <c r="F282" s="34" t="s">
        <v>6678</v>
      </c>
    </row>
    <row r="283" spans="2:6">
      <c r="B283" s="33"/>
      <c r="C283" s="45" t="s">
        <v>6170</v>
      </c>
      <c r="D283" s="63" t="s">
        <v>6888</v>
      </c>
      <c r="E283" s="27" t="s">
        <v>6171</v>
      </c>
      <c r="F283" s="34" t="s">
        <v>6679</v>
      </c>
    </row>
    <row r="284" spans="2:6">
      <c r="B284" s="33"/>
      <c r="C284" s="45" t="s">
        <v>6170</v>
      </c>
      <c r="D284" s="63" t="s">
        <v>6889</v>
      </c>
      <c r="E284" s="27" t="s">
        <v>6171</v>
      </c>
      <c r="F284" s="34" t="s">
        <v>6680</v>
      </c>
    </row>
    <row r="285" spans="2:6">
      <c r="B285" s="33"/>
      <c r="C285" s="45" t="s">
        <v>6170</v>
      </c>
      <c r="D285" s="63" t="s">
        <v>6890</v>
      </c>
      <c r="E285" s="27" t="s">
        <v>6171</v>
      </c>
      <c r="F285" s="34" t="s">
        <v>1670</v>
      </c>
    </row>
    <row r="286" spans="2:6">
      <c r="B286" s="33"/>
      <c r="C286" s="45" t="s">
        <v>6170</v>
      </c>
      <c r="D286" s="63" t="s">
        <v>6891</v>
      </c>
      <c r="E286" s="27" t="s">
        <v>6171</v>
      </c>
      <c r="F286" s="34" t="s">
        <v>6659</v>
      </c>
    </row>
    <row r="287" spans="2:6">
      <c r="B287" s="33"/>
      <c r="C287" s="45" t="s">
        <v>6170</v>
      </c>
      <c r="D287" s="63" t="s">
        <v>6892</v>
      </c>
      <c r="E287" s="27" t="s">
        <v>6171</v>
      </c>
      <c r="F287" s="34" t="s">
        <v>6681</v>
      </c>
    </row>
    <row r="288" spans="2:6">
      <c r="B288" s="33"/>
      <c r="C288" s="45" t="s">
        <v>6170</v>
      </c>
      <c r="D288" s="63" t="s">
        <v>6893</v>
      </c>
      <c r="E288" s="27" t="s">
        <v>6171</v>
      </c>
      <c r="F288" s="34" t="s">
        <v>6682</v>
      </c>
    </row>
    <row r="289" spans="2:6">
      <c r="B289" s="33"/>
      <c r="C289" s="45" t="s">
        <v>6170</v>
      </c>
      <c r="D289" s="63" t="s">
        <v>6894</v>
      </c>
      <c r="E289" s="27" t="s">
        <v>6171</v>
      </c>
      <c r="F289" s="34" t="s">
        <v>6683</v>
      </c>
    </row>
    <row r="290" spans="2:6">
      <c r="B290" s="33"/>
      <c r="C290" s="45" t="s">
        <v>6170</v>
      </c>
      <c r="D290" s="63" t="s">
        <v>6895</v>
      </c>
      <c r="E290" s="27" t="s">
        <v>6171</v>
      </c>
      <c r="F290" s="34" t="s">
        <v>3124</v>
      </c>
    </row>
    <row r="291" spans="2:6">
      <c r="B291" s="33"/>
      <c r="C291" s="45" t="s">
        <v>6170</v>
      </c>
      <c r="D291" s="63" t="s">
        <v>6896</v>
      </c>
      <c r="E291" s="27" t="s">
        <v>6171</v>
      </c>
      <c r="F291" s="34" t="s">
        <v>6684</v>
      </c>
    </row>
    <row r="292" spans="2:6" ht="12.75" thickBot="1">
      <c r="B292" s="35"/>
      <c r="C292" s="71" t="s">
        <v>6170</v>
      </c>
      <c r="D292" s="66" t="s">
        <v>6361</v>
      </c>
      <c r="E292" s="36" t="s">
        <v>6171</v>
      </c>
      <c r="F292" s="37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E30"/>
  <sheetViews>
    <sheetView topLeftCell="A4" workbookViewId="0">
      <selection activeCell="E21" sqref="E21"/>
    </sheetView>
  </sheetViews>
  <sheetFormatPr defaultRowHeight="16.5"/>
  <cols>
    <col min="4" max="4" width="15" style="95" bestFit="1" customWidth="1"/>
    <col min="5" max="5" width="12.5" bestFit="1" customWidth="1"/>
  </cols>
  <sheetData>
    <row r="1" spans="2:5">
      <c r="B1" s="93" t="s">
        <v>8364</v>
      </c>
      <c r="C1" s="93" t="s">
        <v>8363</v>
      </c>
      <c r="D1" s="93" t="s">
        <v>8365</v>
      </c>
      <c r="E1" s="93"/>
    </row>
    <row r="2" spans="2:5">
      <c r="B2" s="92">
        <v>1000</v>
      </c>
      <c r="C2" s="92">
        <v>1100</v>
      </c>
      <c r="D2" s="94" t="s">
        <v>874</v>
      </c>
      <c r="E2" s="92" t="s">
        <v>8315</v>
      </c>
    </row>
    <row r="3" spans="2:5">
      <c r="B3" s="92">
        <v>1000</v>
      </c>
      <c r="C3" s="92">
        <v>1120</v>
      </c>
      <c r="D3" s="94" t="s">
        <v>2663</v>
      </c>
      <c r="E3" s="92" t="s">
        <v>8316</v>
      </c>
    </row>
    <row r="4" spans="2:5">
      <c r="B4" s="92">
        <v>1000</v>
      </c>
      <c r="C4" s="92">
        <v>1130</v>
      </c>
      <c r="D4" s="94" t="s">
        <v>1537</v>
      </c>
      <c r="E4" s="92" t="s">
        <v>8317</v>
      </c>
    </row>
    <row r="5" spans="2:5">
      <c r="B5" s="92">
        <v>1500</v>
      </c>
      <c r="C5" s="92">
        <v>1260</v>
      </c>
      <c r="D5" s="94" t="s">
        <v>6633</v>
      </c>
      <c r="E5" s="92" t="s">
        <v>8318</v>
      </c>
    </row>
    <row r="6" spans="2:5">
      <c r="B6" s="92">
        <v>1500</v>
      </c>
      <c r="C6" s="92">
        <v>1285</v>
      </c>
      <c r="D6" s="94" t="s">
        <v>6602</v>
      </c>
      <c r="E6" s="92" t="s">
        <v>8319</v>
      </c>
    </row>
    <row r="7" spans="2:5">
      <c r="B7" s="92">
        <v>1500</v>
      </c>
      <c r="C7" s="92">
        <v>1290</v>
      </c>
      <c r="D7" s="94" t="s">
        <v>6603</v>
      </c>
      <c r="E7" s="92" t="s">
        <v>8320</v>
      </c>
    </row>
    <row r="8" spans="2:5">
      <c r="B8" s="92">
        <v>1500</v>
      </c>
      <c r="C8" s="92">
        <v>1295</v>
      </c>
      <c r="D8" s="94" t="s">
        <v>8321</v>
      </c>
      <c r="E8" s="92" t="s">
        <v>8322</v>
      </c>
    </row>
    <row r="9" spans="2:5">
      <c r="B9" s="92">
        <v>1500</v>
      </c>
      <c r="C9" s="92">
        <v>1296</v>
      </c>
      <c r="D9" s="94" t="s">
        <v>8323</v>
      </c>
      <c r="E9" s="92" t="s">
        <v>8324</v>
      </c>
    </row>
    <row r="10" spans="2:5">
      <c r="B10" s="92">
        <v>2000</v>
      </c>
      <c r="C10" s="92">
        <v>1310</v>
      </c>
      <c r="D10" s="94" t="s">
        <v>8325</v>
      </c>
      <c r="E10" s="92" t="s">
        <v>8326</v>
      </c>
    </row>
    <row r="11" spans="2:5">
      <c r="B11" s="92">
        <v>2000</v>
      </c>
      <c r="C11" s="92">
        <v>1320</v>
      </c>
      <c r="D11" s="94" t="s">
        <v>8327</v>
      </c>
      <c r="E11" s="92" t="s">
        <v>8328</v>
      </c>
    </row>
    <row r="12" spans="2:5">
      <c r="B12" s="92">
        <v>2000</v>
      </c>
      <c r="C12" s="92">
        <v>1330</v>
      </c>
      <c r="D12" s="94" t="s">
        <v>8329</v>
      </c>
      <c r="E12" s="92" t="s">
        <v>8330</v>
      </c>
    </row>
    <row r="13" spans="2:5">
      <c r="B13" s="92">
        <v>2000</v>
      </c>
      <c r="C13" s="92">
        <v>1340</v>
      </c>
      <c r="D13" s="94" t="s">
        <v>8331</v>
      </c>
      <c r="E13" s="92" t="s">
        <v>8332</v>
      </c>
    </row>
    <row r="14" spans="2:5">
      <c r="B14" s="92">
        <v>2000</v>
      </c>
      <c r="C14" s="92">
        <v>1350</v>
      </c>
      <c r="D14" s="94" t="s">
        <v>8333</v>
      </c>
      <c r="E14" s="92" t="s">
        <v>8334</v>
      </c>
    </row>
    <row r="15" spans="2:5">
      <c r="B15" s="92">
        <v>2000</v>
      </c>
      <c r="C15" s="92">
        <v>1360</v>
      </c>
      <c r="D15" s="94" t="s">
        <v>8335</v>
      </c>
      <c r="E15" s="92" t="s">
        <v>8336</v>
      </c>
    </row>
    <row r="16" spans="2:5">
      <c r="B16" s="92">
        <v>4000</v>
      </c>
      <c r="C16" s="92">
        <v>1720</v>
      </c>
      <c r="D16" s="94" t="s">
        <v>6652</v>
      </c>
      <c r="E16" s="92" t="s">
        <v>8337</v>
      </c>
    </row>
    <row r="17" spans="2:5">
      <c r="B17" s="92">
        <v>4000</v>
      </c>
      <c r="C17" s="92">
        <v>1730</v>
      </c>
      <c r="D17" s="94" t="s">
        <v>6653</v>
      </c>
      <c r="E17" s="92" t="s">
        <v>8338</v>
      </c>
    </row>
    <row r="18" spans="2:5">
      <c r="B18" s="92">
        <v>4000</v>
      </c>
      <c r="C18" s="92">
        <v>1740</v>
      </c>
      <c r="D18" s="94" t="s">
        <v>6654</v>
      </c>
      <c r="E18" s="92" t="s">
        <v>8339</v>
      </c>
    </row>
    <row r="19" spans="2:5">
      <c r="B19" s="92">
        <v>4000</v>
      </c>
      <c r="C19" s="92">
        <v>1750</v>
      </c>
      <c r="D19" s="94" t="s">
        <v>6655</v>
      </c>
      <c r="E19" s="92" t="s">
        <v>8340</v>
      </c>
    </row>
    <row r="20" spans="2:5">
      <c r="B20" s="92">
        <v>4500</v>
      </c>
      <c r="C20" s="92">
        <v>1850</v>
      </c>
      <c r="D20" s="94" t="s">
        <v>8341</v>
      </c>
      <c r="E20" s="92" t="s">
        <v>8342</v>
      </c>
    </row>
    <row r="21" spans="2:5">
      <c r="B21" s="92">
        <v>4500</v>
      </c>
      <c r="C21" s="92">
        <v>1860</v>
      </c>
      <c r="D21" s="94" t="s">
        <v>8343</v>
      </c>
      <c r="E21" s="92" t="s">
        <v>8344</v>
      </c>
    </row>
    <row r="22" spans="2:5">
      <c r="B22" s="92">
        <v>4500</v>
      </c>
      <c r="C22" s="92">
        <v>1870</v>
      </c>
      <c r="D22" s="94" t="s">
        <v>8345</v>
      </c>
      <c r="E22" s="92" t="s">
        <v>8346</v>
      </c>
    </row>
    <row r="23" spans="2:5">
      <c r="B23" s="92">
        <v>4500</v>
      </c>
      <c r="C23" s="92">
        <v>1880</v>
      </c>
      <c r="D23" s="94" t="s">
        <v>8347</v>
      </c>
      <c r="E23" s="92" t="s">
        <v>8348</v>
      </c>
    </row>
    <row r="24" spans="2:5">
      <c r="B24" s="92">
        <v>8000</v>
      </c>
      <c r="C24" s="92">
        <v>1370</v>
      </c>
      <c r="D24" s="94" t="s">
        <v>8349</v>
      </c>
      <c r="E24" s="92" t="s">
        <v>8350</v>
      </c>
    </row>
    <row r="25" spans="2:5">
      <c r="B25" s="92">
        <v>8500</v>
      </c>
      <c r="C25" s="92">
        <v>5010</v>
      </c>
      <c r="D25" s="94" t="s">
        <v>8351</v>
      </c>
      <c r="E25" s="92" t="s">
        <v>8352</v>
      </c>
    </row>
    <row r="26" spans="2:5">
      <c r="B26" s="92">
        <v>8500</v>
      </c>
      <c r="C26" s="92">
        <v>5020</v>
      </c>
      <c r="D26" s="94" t="s">
        <v>8353</v>
      </c>
      <c r="E26" s="92" t="s">
        <v>8354</v>
      </c>
    </row>
    <row r="27" spans="2:5">
      <c r="B27" s="92">
        <v>8500</v>
      </c>
      <c r="C27" s="92">
        <v>5030</v>
      </c>
      <c r="D27" s="94" t="s">
        <v>8355</v>
      </c>
      <c r="E27" s="92" t="s">
        <v>8356</v>
      </c>
    </row>
    <row r="28" spans="2:5">
      <c r="B28" s="92">
        <v>8500</v>
      </c>
      <c r="C28" s="92">
        <v>5040</v>
      </c>
      <c r="D28" s="94" t="s">
        <v>8357</v>
      </c>
      <c r="E28" s="92" t="s">
        <v>8358</v>
      </c>
    </row>
    <row r="29" spans="2:5">
      <c r="B29" s="92">
        <v>8500</v>
      </c>
      <c r="C29" s="92">
        <v>5050</v>
      </c>
      <c r="D29" s="94" t="s">
        <v>8359</v>
      </c>
      <c r="E29" s="92" t="s">
        <v>8360</v>
      </c>
    </row>
    <row r="30" spans="2:5">
      <c r="B30" s="92">
        <v>9000</v>
      </c>
      <c r="C30" s="92">
        <v>9000</v>
      </c>
      <c r="D30" s="94" t="s">
        <v>8361</v>
      </c>
      <c r="E30" s="92" t="s">
        <v>8362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50"/>
  <sheetViews>
    <sheetView workbookViewId="0">
      <selection activeCell="H15" sqref="H15"/>
    </sheetView>
  </sheetViews>
  <sheetFormatPr defaultRowHeight="16.5"/>
  <cols>
    <col min="2" max="2" width="15.75" customWidth="1"/>
    <col min="8" max="8" width="21.375" bestFit="1" customWidth="1"/>
  </cols>
  <sheetData>
    <row r="1" spans="1:13" ht="27.75" thickBot="1">
      <c r="A1" s="104" t="s">
        <v>8440</v>
      </c>
      <c r="B1" s="105" t="s">
        <v>8441</v>
      </c>
      <c r="C1" s="106" t="s">
        <v>8442</v>
      </c>
      <c r="E1" t="s">
        <v>8507</v>
      </c>
      <c r="F1" t="s">
        <v>8508</v>
      </c>
      <c r="G1" t="s">
        <v>8509</v>
      </c>
      <c r="H1" t="s">
        <v>8510</v>
      </c>
      <c r="K1" t="s">
        <v>8511</v>
      </c>
    </row>
    <row r="2" spans="1:13">
      <c r="A2" s="107" t="s">
        <v>8443</v>
      </c>
      <c r="B2" s="108" t="s">
        <v>8444</v>
      </c>
      <c r="C2" s="109" t="s">
        <v>8445</v>
      </c>
      <c r="E2" s="111" t="s">
        <v>6729</v>
      </c>
      <c r="F2" s="49">
        <v>0</v>
      </c>
      <c r="G2" s="49">
        <v>10</v>
      </c>
      <c r="H2" s="49" t="s">
        <v>1720</v>
      </c>
      <c r="I2" s="49">
        <v>10</v>
      </c>
      <c r="K2" s="49" t="s">
        <v>8464</v>
      </c>
      <c r="L2" s="49">
        <v>12</v>
      </c>
      <c r="M2" s="49">
        <v>120</v>
      </c>
    </row>
    <row r="3" spans="1:13" ht="36">
      <c r="A3" s="110" t="s">
        <v>8446</v>
      </c>
      <c r="B3" s="108" t="s">
        <v>8444</v>
      </c>
      <c r="C3" s="109" t="s">
        <v>8445</v>
      </c>
      <c r="E3" s="111" t="s">
        <v>8493</v>
      </c>
      <c r="F3" s="49">
        <v>0</v>
      </c>
      <c r="G3" s="49">
        <v>20</v>
      </c>
      <c r="H3" s="49" t="s">
        <v>4418</v>
      </c>
      <c r="I3" s="49">
        <v>20</v>
      </c>
      <c r="K3" s="49" t="s">
        <v>8465</v>
      </c>
      <c r="L3" s="49">
        <v>13</v>
      </c>
      <c r="M3" s="49">
        <v>130</v>
      </c>
    </row>
    <row r="4" spans="1:13">
      <c r="A4" s="110"/>
      <c r="B4" s="109"/>
      <c r="C4" s="109"/>
      <c r="E4" s="111" t="s">
        <v>6730</v>
      </c>
      <c r="F4" s="49">
        <v>0</v>
      </c>
      <c r="G4" s="49">
        <v>30</v>
      </c>
      <c r="H4" s="49" t="s">
        <v>8447</v>
      </c>
      <c r="I4" s="49">
        <v>30</v>
      </c>
      <c r="K4" s="49" t="s">
        <v>8466</v>
      </c>
      <c r="L4" s="49">
        <v>14</v>
      </c>
      <c r="M4" s="49">
        <v>140</v>
      </c>
    </row>
    <row r="5" spans="1:13">
      <c r="E5" s="111" t="s">
        <v>8494</v>
      </c>
      <c r="F5" s="49">
        <v>0</v>
      </c>
      <c r="G5" s="49">
        <v>35</v>
      </c>
      <c r="H5" s="49" t="s">
        <v>8448</v>
      </c>
      <c r="I5" s="49">
        <v>35</v>
      </c>
      <c r="K5" s="49" t="s">
        <v>8467</v>
      </c>
      <c r="L5" s="49">
        <v>15</v>
      </c>
      <c r="M5" s="49">
        <v>150</v>
      </c>
    </row>
    <row r="6" spans="1:13">
      <c r="E6" s="111" t="s">
        <v>6731</v>
      </c>
      <c r="F6" s="49">
        <v>0</v>
      </c>
      <c r="G6" s="49">
        <v>40</v>
      </c>
      <c r="H6" s="49" t="s">
        <v>8449</v>
      </c>
      <c r="I6" s="49">
        <v>40</v>
      </c>
      <c r="K6" s="49" t="s">
        <v>8477</v>
      </c>
      <c r="L6" s="49">
        <v>55</v>
      </c>
      <c r="M6" s="49">
        <v>550</v>
      </c>
    </row>
    <row r="7" spans="1:13">
      <c r="E7" s="111" t="s">
        <v>6732</v>
      </c>
      <c r="F7" s="49">
        <v>0</v>
      </c>
      <c r="G7" s="49">
        <v>50</v>
      </c>
      <c r="H7" s="49" t="s">
        <v>8450</v>
      </c>
      <c r="I7" s="49">
        <v>50</v>
      </c>
      <c r="K7" s="49" t="s">
        <v>8481</v>
      </c>
      <c r="L7" s="49">
        <v>59</v>
      </c>
      <c r="M7" s="49">
        <v>590</v>
      </c>
    </row>
    <row r="8" spans="1:13">
      <c r="E8" s="111" t="s">
        <v>6733</v>
      </c>
      <c r="F8" s="49">
        <v>0</v>
      </c>
      <c r="G8" s="49">
        <v>60</v>
      </c>
      <c r="H8" s="49" t="s">
        <v>8451</v>
      </c>
      <c r="I8" s="49">
        <v>60</v>
      </c>
      <c r="K8" s="49" t="s">
        <v>8484</v>
      </c>
      <c r="L8" s="49">
        <v>62</v>
      </c>
      <c r="M8" s="49">
        <v>620</v>
      </c>
    </row>
    <row r="9" spans="1:13">
      <c r="E9" s="111" t="s">
        <v>6734</v>
      </c>
      <c r="F9" s="49">
        <v>0</v>
      </c>
      <c r="G9" s="49">
        <v>70</v>
      </c>
      <c r="H9" s="49" t="s">
        <v>8452</v>
      </c>
      <c r="I9" s="49">
        <v>70</v>
      </c>
      <c r="K9" s="49" t="s">
        <v>8485</v>
      </c>
      <c r="L9" s="49">
        <v>63</v>
      </c>
      <c r="M9" s="49">
        <v>630</v>
      </c>
    </row>
    <row r="10" spans="1:13">
      <c r="E10" s="111" t="s">
        <v>6735</v>
      </c>
      <c r="F10" s="49">
        <v>0</v>
      </c>
      <c r="G10" s="49">
        <v>80</v>
      </c>
      <c r="H10" s="49" t="s">
        <v>8453</v>
      </c>
      <c r="I10" s="49">
        <v>80</v>
      </c>
      <c r="K10" s="49" t="s">
        <v>8486</v>
      </c>
      <c r="L10" s="49">
        <v>64</v>
      </c>
      <c r="M10" s="49">
        <v>640</v>
      </c>
    </row>
    <row r="11" spans="1:13">
      <c r="E11" s="111" t="s">
        <v>6736</v>
      </c>
      <c r="F11" s="49">
        <v>0</v>
      </c>
      <c r="G11" s="49">
        <v>90</v>
      </c>
      <c r="H11" s="49" t="s">
        <v>8454</v>
      </c>
      <c r="I11" s="49">
        <v>90</v>
      </c>
      <c r="K11" s="49" t="s">
        <v>8487</v>
      </c>
      <c r="L11" s="49">
        <v>65</v>
      </c>
      <c r="M11" s="49">
        <v>650</v>
      </c>
    </row>
    <row r="12" spans="1:13">
      <c r="E12" s="111" t="s">
        <v>8495</v>
      </c>
      <c r="F12" s="49">
        <v>0</v>
      </c>
      <c r="G12" s="49">
        <v>91</v>
      </c>
      <c r="H12" s="49" t="s">
        <v>8455</v>
      </c>
      <c r="I12" s="49">
        <v>91</v>
      </c>
      <c r="K12" s="49" t="s">
        <v>8488</v>
      </c>
      <c r="L12" s="49">
        <v>66</v>
      </c>
      <c r="M12" s="49">
        <v>660</v>
      </c>
    </row>
    <row r="13" spans="1:13">
      <c r="E13" s="111" t="s">
        <v>6789</v>
      </c>
      <c r="F13" s="49">
        <v>0</v>
      </c>
      <c r="G13" s="49">
        <v>92</v>
      </c>
      <c r="H13" s="49" t="s">
        <v>8456</v>
      </c>
      <c r="I13" s="49">
        <v>92</v>
      </c>
      <c r="K13" s="49" t="s">
        <v>8448</v>
      </c>
      <c r="L13" s="49">
        <v>80</v>
      </c>
      <c r="M13" s="49">
        <v>35</v>
      </c>
    </row>
    <row r="14" spans="1:13">
      <c r="E14" s="111" t="s">
        <v>6790</v>
      </c>
      <c r="F14" s="49">
        <v>0</v>
      </c>
      <c r="G14" s="49">
        <v>93</v>
      </c>
      <c r="H14" s="49" t="s">
        <v>8457</v>
      </c>
      <c r="I14" s="49">
        <v>93</v>
      </c>
      <c r="K14" s="49" t="s">
        <v>8489</v>
      </c>
      <c r="L14" s="49">
        <v>82</v>
      </c>
      <c r="M14" s="49">
        <v>661</v>
      </c>
    </row>
    <row r="15" spans="1:13">
      <c r="E15" s="111" t="s">
        <v>8496</v>
      </c>
      <c r="F15" s="49">
        <v>0</v>
      </c>
      <c r="G15" s="49">
        <v>94</v>
      </c>
      <c r="H15" s="49" t="s">
        <v>8458</v>
      </c>
      <c r="I15" s="49">
        <v>94</v>
      </c>
      <c r="K15" s="49" t="s">
        <v>8490</v>
      </c>
      <c r="L15" s="49">
        <v>83</v>
      </c>
      <c r="M15" s="49">
        <v>662</v>
      </c>
    </row>
    <row r="16" spans="1:13">
      <c r="E16" s="111" t="s">
        <v>8497</v>
      </c>
      <c r="F16" s="49">
        <v>0</v>
      </c>
      <c r="G16" s="49">
        <v>95</v>
      </c>
      <c r="H16" s="49" t="s">
        <v>8459</v>
      </c>
      <c r="I16" s="49">
        <v>95</v>
      </c>
    </row>
    <row r="17" spans="5:9">
      <c r="E17" s="111" t="s">
        <v>8498</v>
      </c>
      <c r="F17" s="49">
        <v>0</v>
      </c>
      <c r="G17" s="49">
        <v>96</v>
      </c>
      <c r="H17" s="49" t="s">
        <v>8460</v>
      </c>
      <c r="I17" s="49">
        <v>96</v>
      </c>
    </row>
    <row r="18" spans="5:9">
      <c r="E18" s="111" t="s">
        <v>8499</v>
      </c>
      <c r="F18" s="49">
        <v>0</v>
      </c>
      <c r="G18" s="49">
        <v>99</v>
      </c>
      <c r="H18" s="49" t="s">
        <v>8461</v>
      </c>
      <c r="I18" s="49">
        <v>99</v>
      </c>
    </row>
    <row r="19" spans="5:9">
      <c r="E19" s="111" t="s">
        <v>6737</v>
      </c>
      <c r="F19" s="49">
        <v>0</v>
      </c>
      <c r="G19" s="49">
        <v>100</v>
      </c>
      <c r="H19" s="49" t="s">
        <v>8462</v>
      </c>
      <c r="I19" s="49">
        <v>100</v>
      </c>
    </row>
    <row r="20" spans="5:9">
      <c r="E20" s="111" t="s">
        <v>6738</v>
      </c>
      <c r="F20" s="49">
        <v>0</v>
      </c>
      <c r="G20" s="49">
        <v>110</v>
      </c>
      <c r="H20" s="49" t="s">
        <v>8463</v>
      </c>
      <c r="I20" s="49">
        <v>110</v>
      </c>
    </row>
    <row r="21" spans="5:9">
      <c r="E21" s="111" t="s">
        <v>8500</v>
      </c>
      <c r="F21" s="49">
        <v>0</v>
      </c>
      <c r="G21" s="49">
        <v>115</v>
      </c>
      <c r="H21" s="49" t="s">
        <v>1134</v>
      </c>
      <c r="I21" s="49">
        <v>115</v>
      </c>
    </row>
    <row r="22" spans="5:9">
      <c r="E22" s="111" t="s">
        <v>6739</v>
      </c>
      <c r="F22" s="49">
        <v>0</v>
      </c>
      <c r="G22" s="49">
        <v>120</v>
      </c>
      <c r="H22" s="49" t="s">
        <v>8464</v>
      </c>
      <c r="I22" s="49">
        <v>120</v>
      </c>
    </row>
    <row r="23" spans="5:9">
      <c r="E23" s="111" t="s">
        <v>6740</v>
      </c>
      <c r="F23" s="49">
        <v>0</v>
      </c>
      <c r="G23" s="49">
        <v>130</v>
      </c>
      <c r="H23" s="49" t="s">
        <v>8465</v>
      </c>
      <c r="I23" s="49">
        <v>130</v>
      </c>
    </row>
    <row r="24" spans="5:9">
      <c r="E24" s="111" t="s">
        <v>6741</v>
      </c>
      <c r="F24" s="49">
        <v>0</v>
      </c>
      <c r="G24" s="49">
        <v>140</v>
      </c>
      <c r="H24" s="49" t="s">
        <v>8466</v>
      </c>
      <c r="I24" s="49">
        <v>140</v>
      </c>
    </row>
    <row r="25" spans="5:9">
      <c r="E25" s="111" t="s">
        <v>6742</v>
      </c>
      <c r="F25" s="49">
        <v>0</v>
      </c>
      <c r="G25" s="49">
        <v>150</v>
      </c>
      <c r="H25" s="49" t="s">
        <v>8467</v>
      </c>
      <c r="I25" s="49">
        <v>150</v>
      </c>
    </row>
    <row r="26" spans="5:9">
      <c r="E26" s="111" t="s">
        <v>6743</v>
      </c>
      <c r="F26" s="49">
        <v>0</v>
      </c>
      <c r="G26" s="49">
        <v>160</v>
      </c>
      <c r="H26" s="49" t="s">
        <v>8468</v>
      </c>
      <c r="I26" s="49">
        <v>160</v>
      </c>
    </row>
    <row r="27" spans="5:9">
      <c r="E27" s="111" t="s">
        <v>6744</v>
      </c>
      <c r="F27" s="49">
        <v>0</v>
      </c>
      <c r="G27" s="49">
        <v>170</v>
      </c>
      <c r="H27" s="49" t="s">
        <v>8469</v>
      </c>
      <c r="I27" s="49">
        <v>170</v>
      </c>
    </row>
    <row r="28" spans="5:9">
      <c r="E28" s="111" t="s">
        <v>6745</v>
      </c>
      <c r="F28" s="49">
        <v>0</v>
      </c>
      <c r="G28" s="49">
        <v>180</v>
      </c>
      <c r="H28" s="49" t="s">
        <v>8470</v>
      </c>
      <c r="I28" s="49">
        <v>180</v>
      </c>
    </row>
    <row r="29" spans="5:9">
      <c r="E29" s="111" t="s">
        <v>6746</v>
      </c>
      <c r="F29" s="49">
        <v>0</v>
      </c>
      <c r="G29" s="49">
        <v>190</v>
      </c>
      <c r="H29" s="49" t="s">
        <v>8471</v>
      </c>
      <c r="I29" s="49">
        <v>190</v>
      </c>
    </row>
    <row r="30" spans="5:9">
      <c r="E30" s="111" t="s">
        <v>6791</v>
      </c>
      <c r="F30" s="49">
        <v>0</v>
      </c>
      <c r="G30" s="49">
        <v>191</v>
      </c>
      <c r="H30" s="49" t="s">
        <v>8472</v>
      </c>
      <c r="I30" s="49">
        <v>191</v>
      </c>
    </row>
    <row r="31" spans="5:9">
      <c r="E31" s="111" t="s">
        <v>6777</v>
      </c>
      <c r="F31" s="49">
        <v>0</v>
      </c>
      <c r="G31" s="49">
        <v>500</v>
      </c>
      <c r="H31" s="49" t="s">
        <v>8473</v>
      </c>
      <c r="I31" s="49">
        <v>500</v>
      </c>
    </row>
    <row r="32" spans="5:9">
      <c r="E32" s="111" t="s">
        <v>6778</v>
      </c>
      <c r="F32" s="49">
        <v>0</v>
      </c>
      <c r="G32" s="49">
        <v>510</v>
      </c>
      <c r="H32" s="49" t="s">
        <v>8474</v>
      </c>
      <c r="I32" s="49">
        <v>510</v>
      </c>
    </row>
    <row r="33" spans="5:9">
      <c r="E33" s="111" t="s">
        <v>6779</v>
      </c>
      <c r="F33" s="49">
        <v>0</v>
      </c>
      <c r="G33" s="49">
        <v>520</v>
      </c>
      <c r="H33" s="49" t="s">
        <v>8475</v>
      </c>
      <c r="I33" s="49">
        <v>520</v>
      </c>
    </row>
    <row r="34" spans="5:9">
      <c r="E34" s="111" t="s">
        <v>6781</v>
      </c>
      <c r="F34" s="49">
        <v>0</v>
      </c>
      <c r="G34" s="49">
        <v>540</v>
      </c>
      <c r="H34" s="49" t="s">
        <v>8476</v>
      </c>
      <c r="I34" s="49">
        <v>540</v>
      </c>
    </row>
    <row r="35" spans="5:9">
      <c r="E35" s="111" t="s">
        <v>6782</v>
      </c>
      <c r="F35" s="49">
        <v>0</v>
      </c>
      <c r="G35" s="49">
        <v>550</v>
      </c>
      <c r="H35" s="49" t="s">
        <v>8477</v>
      </c>
      <c r="I35" s="49">
        <v>550</v>
      </c>
    </row>
    <row r="36" spans="5:9">
      <c r="E36" s="111" t="s">
        <v>6783</v>
      </c>
      <c r="F36" s="49">
        <v>0</v>
      </c>
      <c r="G36" s="49">
        <v>560</v>
      </c>
      <c r="H36" s="49" t="s">
        <v>8478</v>
      </c>
      <c r="I36" s="49">
        <v>560</v>
      </c>
    </row>
    <row r="37" spans="5:9">
      <c r="E37" s="111" t="s">
        <v>6784</v>
      </c>
      <c r="F37" s="49">
        <v>0</v>
      </c>
      <c r="G37" s="49">
        <v>570</v>
      </c>
      <c r="H37" s="49" t="s">
        <v>8479</v>
      </c>
      <c r="I37" s="49">
        <v>570</v>
      </c>
    </row>
    <row r="38" spans="5:9">
      <c r="E38" s="111" t="s">
        <v>6785</v>
      </c>
      <c r="F38" s="49">
        <v>0</v>
      </c>
      <c r="G38" s="49">
        <v>580</v>
      </c>
      <c r="H38" s="49" t="s">
        <v>8480</v>
      </c>
      <c r="I38" s="49">
        <v>580</v>
      </c>
    </row>
    <row r="39" spans="5:9">
      <c r="E39" s="111" t="s">
        <v>6786</v>
      </c>
      <c r="F39" s="49">
        <v>0</v>
      </c>
      <c r="G39" s="49">
        <v>590</v>
      </c>
      <c r="H39" s="49" t="s">
        <v>8481</v>
      </c>
      <c r="I39" s="49">
        <v>590</v>
      </c>
    </row>
    <row r="40" spans="5:9">
      <c r="E40" s="111" t="s">
        <v>8501</v>
      </c>
      <c r="F40" s="49">
        <v>0</v>
      </c>
      <c r="G40" s="49">
        <v>600</v>
      </c>
      <c r="H40" s="49" t="s">
        <v>8482</v>
      </c>
      <c r="I40" s="49">
        <v>600</v>
      </c>
    </row>
    <row r="41" spans="5:9">
      <c r="E41" s="111" t="s">
        <v>6787</v>
      </c>
      <c r="F41" s="49">
        <v>0</v>
      </c>
      <c r="G41" s="49">
        <v>610</v>
      </c>
      <c r="H41" s="49" t="s">
        <v>8483</v>
      </c>
      <c r="I41" s="49">
        <v>610</v>
      </c>
    </row>
    <row r="42" spans="5:9">
      <c r="E42" s="111" t="s">
        <v>6788</v>
      </c>
      <c r="F42" s="49">
        <v>0</v>
      </c>
      <c r="G42" s="49">
        <v>620</v>
      </c>
      <c r="H42" s="49" t="s">
        <v>8484</v>
      </c>
      <c r="I42" s="49">
        <v>620</v>
      </c>
    </row>
    <row r="43" spans="5:9">
      <c r="E43" s="111" t="s">
        <v>8502</v>
      </c>
      <c r="F43" s="49">
        <v>0</v>
      </c>
      <c r="G43" s="49">
        <v>630</v>
      </c>
      <c r="H43" s="49" t="s">
        <v>8485</v>
      </c>
      <c r="I43" s="49">
        <v>630</v>
      </c>
    </row>
    <row r="44" spans="5:9">
      <c r="E44" s="111" t="s">
        <v>8503</v>
      </c>
      <c r="F44" s="49">
        <v>0</v>
      </c>
      <c r="G44" s="49">
        <v>640</v>
      </c>
      <c r="H44" s="49" t="s">
        <v>8486</v>
      </c>
      <c r="I44" s="49">
        <v>640</v>
      </c>
    </row>
    <row r="45" spans="5:9">
      <c r="E45" s="111" t="s">
        <v>8504</v>
      </c>
      <c r="F45" s="49">
        <v>0</v>
      </c>
      <c r="G45" s="49">
        <v>650</v>
      </c>
      <c r="H45" s="49" t="s">
        <v>8487</v>
      </c>
      <c r="I45" s="49">
        <v>650</v>
      </c>
    </row>
    <row r="46" spans="5:9">
      <c r="E46" s="111" t="s">
        <v>8505</v>
      </c>
      <c r="F46" s="49">
        <v>0</v>
      </c>
      <c r="G46" s="49">
        <v>660</v>
      </c>
      <c r="H46" s="49" t="s">
        <v>8488</v>
      </c>
      <c r="I46" s="49">
        <v>660</v>
      </c>
    </row>
    <row r="47" spans="5:9">
      <c r="E47" s="111" t="s">
        <v>6792</v>
      </c>
      <c r="F47" s="49">
        <v>0</v>
      </c>
      <c r="G47" s="49">
        <v>661</v>
      </c>
      <c r="H47" s="49" t="s">
        <v>8489</v>
      </c>
      <c r="I47" s="49">
        <v>661</v>
      </c>
    </row>
    <row r="48" spans="5:9">
      <c r="E48" s="111" t="s">
        <v>6793</v>
      </c>
      <c r="F48" s="49">
        <v>0</v>
      </c>
      <c r="G48" s="49">
        <v>662</v>
      </c>
      <c r="H48" s="49" t="s">
        <v>8490</v>
      </c>
      <c r="I48" s="49">
        <v>662</v>
      </c>
    </row>
    <row r="49" spans="5:9">
      <c r="E49" s="111" t="s">
        <v>6794</v>
      </c>
      <c r="F49" s="49">
        <v>0</v>
      </c>
      <c r="G49" s="49">
        <v>663</v>
      </c>
      <c r="H49" s="49" t="s">
        <v>8491</v>
      </c>
      <c r="I49" s="49">
        <v>663</v>
      </c>
    </row>
    <row r="50" spans="5:9">
      <c r="E50" s="111" t="s">
        <v>8506</v>
      </c>
      <c r="F50" s="49">
        <v>0</v>
      </c>
      <c r="G50" s="49">
        <v>664</v>
      </c>
      <c r="H50" s="49" t="s">
        <v>8492</v>
      </c>
      <c r="I50" s="49">
        <v>664</v>
      </c>
    </row>
  </sheetData>
  <dataConsolidate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7</xdr:col>
                <xdr:colOff>504825</xdr:colOff>
                <xdr:row>0</xdr:row>
                <xdr:rowOff>9525</xdr:rowOff>
              </from>
              <to>
                <xdr:col>7</xdr:col>
                <xdr:colOff>1381125</xdr:colOff>
                <xdr:row>1</xdr:row>
                <xdr:rowOff>28575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H83"/>
  <sheetViews>
    <sheetView workbookViewId="0">
      <selection activeCell="E10" sqref="E10"/>
    </sheetView>
  </sheetViews>
  <sheetFormatPr defaultRowHeight="16.5"/>
  <cols>
    <col min="2" max="2" width="5.5" style="369" bestFit="1" customWidth="1"/>
    <col min="3" max="3" width="10.125" style="186" bestFit="1" customWidth="1"/>
    <col min="4" max="4" width="24" style="175" bestFit="1" customWidth="1"/>
    <col min="5" max="5" width="4.75" style="186" bestFit="1" customWidth="1"/>
    <col min="6" max="6" width="24" style="175" bestFit="1" customWidth="1"/>
  </cols>
  <sheetData>
    <row r="1" spans="2:8" ht="10.5" customHeight="1"/>
    <row r="2" spans="2:8">
      <c r="B2" s="371" t="s">
        <v>14913</v>
      </c>
      <c r="C2" s="370" t="s">
        <v>14915</v>
      </c>
      <c r="D2" s="370" t="s">
        <v>14914</v>
      </c>
      <c r="E2" s="370" t="s">
        <v>14916</v>
      </c>
      <c r="F2" s="370" t="s">
        <v>14917</v>
      </c>
      <c r="H2" t="s">
        <v>14920</v>
      </c>
    </row>
    <row r="3" spans="2:8">
      <c r="B3" s="372">
        <v>1</v>
      </c>
      <c r="C3" s="191" t="s">
        <v>5949</v>
      </c>
      <c r="D3" s="366" t="s">
        <v>5969</v>
      </c>
      <c r="E3" s="188" t="s">
        <v>14918</v>
      </c>
      <c r="F3" s="366"/>
      <c r="H3" t="s">
        <v>14919</v>
      </c>
    </row>
    <row r="4" spans="2:8">
      <c r="B4" s="372">
        <f>B3+1</f>
        <v>2</v>
      </c>
      <c r="C4" s="191" t="s">
        <v>6027</v>
      </c>
      <c r="D4" s="366" t="s">
        <v>6033</v>
      </c>
      <c r="E4" s="188" t="s">
        <v>8595</v>
      </c>
      <c r="F4" s="366" t="s">
        <v>6014</v>
      </c>
      <c r="H4" s="373" t="s">
        <v>14922</v>
      </c>
    </row>
    <row r="5" spans="2:8">
      <c r="B5" s="372">
        <f t="shared" ref="B5:B39" si="0">B4+1</f>
        <v>3</v>
      </c>
      <c r="C5" s="191" t="s">
        <v>6026</v>
      </c>
      <c r="D5" s="366" t="s">
        <v>6032</v>
      </c>
      <c r="E5" s="188" t="s">
        <v>8595</v>
      </c>
      <c r="F5" s="366" t="s">
        <v>14923</v>
      </c>
    </row>
    <row r="6" spans="2:8">
      <c r="B6" s="372">
        <f t="shared" si="0"/>
        <v>4</v>
      </c>
      <c r="C6" s="191" t="s">
        <v>6025</v>
      </c>
      <c r="D6" s="366" t="s">
        <v>6031</v>
      </c>
      <c r="E6" s="188" t="s">
        <v>8595</v>
      </c>
      <c r="F6" s="366" t="s">
        <v>6014</v>
      </c>
    </row>
    <row r="7" spans="2:8">
      <c r="B7" s="372">
        <f t="shared" si="0"/>
        <v>5</v>
      </c>
      <c r="C7" s="191" t="s">
        <v>6024</v>
      </c>
      <c r="D7" s="366" t="s">
        <v>6030</v>
      </c>
      <c r="E7" s="188" t="s">
        <v>8595</v>
      </c>
      <c r="F7" s="366" t="s">
        <v>14923</v>
      </c>
    </row>
    <row r="8" spans="2:8">
      <c r="B8" s="372">
        <f t="shared" si="0"/>
        <v>6</v>
      </c>
      <c r="C8" s="191" t="s">
        <v>6023</v>
      </c>
      <c r="D8" s="366" t="s">
        <v>6029</v>
      </c>
      <c r="E8" s="188" t="s">
        <v>8595</v>
      </c>
      <c r="F8" s="366" t="s">
        <v>6014</v>
      </c>
    </row>
    <row r="9" spans="2:8">
      <c r="B9" s="372">
        <f t="shared" si="0"/>
        <v>7</v>
      </c>
      <c r="C9" s="191" t="s">
        <v>6022</v>
      </c>
      <c r="D9" s="366" t="s">
        <v>6028</v>
      </c>
      <c r="E9" s="188" t="s">
        <v>8595</v>
      </c>
      <c r="F9" s="366" t="s">
        <v>6014</v>
      </c>
    </row>
    <row r="10" spans="2:8">
      <c r="B10" s="372">
        <f t="shared" si="0"/>
        <v>8</v>
      </c>
      <c r="C10" s="191" t="s">
        <v>6021</v>
      </c>
      <c r="D10" s="366" t="s">
        <v>14924</v>
      </c>
      <c r="E10" s="188" t="s">
        <v>8595</v>
      </c>
      <c r="F10" s="366" t="s">
        <v>6014</v>
      </c>
    </row>
    <row r="11" spans="2:8">
      <c r="B11" s="372">
        <f t="shared" si="0"/>
        <v>9</v>
      </c>
      <c r="C11" s="191" t="s">
        <v>6020</v>
      </c>
      <c r="D11" s="366" t="s">
        <v>14925</v>
      </c>
      <c r="E11" s="188" t="s">
        <v>8595</v>
      </c>
      <c r="F11" s="366" t="s">
        <v>6014</v>
      </c>
    </row>
    <row r="12" spans="2:8">
      <c r="B12" s="372">
        <f t="shared" si="0"/>
        <v>10</v>
      </c>
      <c r="C12" s="191" t="s">
        <v>6019</v>
      </c>
      <c r="D12" s="366" t="s">
        <v>14926</v>
      </c>
      <c r="E12" s="188" t="s">
        <v>8595</v>
      </c>
      <c r="F12" s="366" t="s">
        <v>6014</v>
      </c>
    </row>
    <row r="13" spans="2:8">
      <c r="B13" s="372">
        <f t="shared" si="0"/>
        <v>11</v>
      </c>
      <c r="C13" s="191" t="s">
        <v>6018</v>
      </c>
      <c r="D13" s="366" t="s">
        <v>14927</v>
      </c>
      <c r="E13" s="188" t="s">
        <v>8595</v>
      </c>
      <c r="F13" s="366" t="s">
        <v>6014</v>
      </c>
    </row>
    <row r="14" spans="2:8">
      <c r="B14" s="372">
        <f t="shared" si="0"/>
        <v>12</v>
      </c>
      <c r="C14" s="191" t="s">
        <v>6015</v>
      </c>
      <c r="D14" s="366" t="s">
        <v>14928</v>
      </c>
      <c r="E14" s="188" t="s">
        <v>8595</v>
      </c>
      <c r="F14" s="366" t="s">
        <v>6014</v>
      </c>
    </row>
    <row r="15" spans="2:8">
      <c r="B15" s="372">
        <f t="shared" si="0"/>
        <v>13</v>
      </c>
      <c r="C15" s="191" t="s">
        <v>6017</v>
      </c>
      <c r="D15" s="366" t="s">
        <v>14929</v>
      </c>
      <c r="E15" s="188" t="s">
        <v>8595</v>
      </c>
      <c r="F15" s="366" t="s">
        <v>6014</v>
      </c>
    </row>
    <row r="16" spans="2:8" ht="27">
      <c r="B16" s="372">
        <f t="shared" si="0"/>
        <v>14</v>
      </c>
      <c r="C16" s="368" t="s">
        <v>8404</v>
      </c>
      <c r="D16" s="363" t="s">
        <v>8405</v>
      </c>
      <c r="E16" s="188" t="s">
        <v>8595</v>
      </c>
      <c r="F16" s="366" t="s">
        <v>14923</v>
      </c>
    </row>
    <row r="17" spans="2:6">
      <c r="B17" s="372">
        <f t="shared" si="0"/>
        <v>15</v>
      </c>
      <c r="C17" s="191" t="s">
        <v>8394</v>
      </c>
      <c r="D17" s="366" t="s">
        <v>8395</v>
      </c>
      <c r="E17" s="188" t="s">
        <v>8595</v>
      </c>
      <c r="F17" s="366" t="s">
        <v>14931</v>
      </c>
    </row>
    <row r="18" spans="2:6">
      <c r="B18" s="372">
        <f t="shared" si="0"/>
        <v>16</v>
      </c>
      <c r="C18" s="191" t="s">
        <v>7612</v>
      </c>
      <c r="D18" s="366" t="s">
        <v>7613</v>
      </c>
      <c r="E18" s="188" t="s">
        <v>8595</v>
      </c>
      <c r="F18" s="366"/>
    </row>
    <row r="19" spans="2:6">
      <c r="B19" s="372">
        <f t="shared" si="0"/>
        <v>17</v>
      </c>
      <c r="C19" s="191" t="s">
        <v>8591</v>
      </c>
      <c r="D19" s="366" t="s">
        <v>8590</v>
      </c>
      <c r="E19" s="188" t="s">
        <v>8595</v>
      </c>
      <c r="F19" s="366"/>
    </row>
    <row r="20" spans="2:6">
      <c r="B20" s="372">
        <f t="shared" si="0"/>
        <v>18</v>
      </c>
      <c r="C20" s="191" t="s">
        <v>7627</v>
      </c>
      <c r="D20" s="366" t="s">
        <v>7628</v>
      </c>
      <c r="E20" s="188" t="s">
        <v>8595</v>
      </c>
      <c r="F20" s="366"/>
    </row>
    <row r="21" spans="2:6">
      <c r="B21" s="372">
        <f t="shared" si="0"/>
        <v>19</v>
      </c>
      <c r="C21" s="191" t="s">
        <v>8592</v>
      </c>
      <c r="D21" s="366" t="s">
        <v>8589</v>
      </c>
      <c r="E21" s="188" t="s">
        <v>8595</v>
      </c>
      <c r="F21" s="366"/>
    </row>
    <row r="22" spans="2:6">
      <c r="B22" s="372">
        <f t="shared" si="0"/>
        <v>20</v>
      </c>
      <c r="C22" s="191" t="s">
        <v>8601</v>
      </c>
      <c r="D22" s="366" t="s">
        <v>8531</v>
      </c>
      <c r="E22" s="188" t="s">
        <v>8595</v>
      </c>
      <c r="F22" s="366"/>
    </row>
    <row r="23" spans="2:6">
      <c r="B23" s="372">
        <f t="shared" si="0"/>
        <v>21</v>
      </c>
      <c r="C23" s="191" t="s">
        <v>8588</v>
      </c>
      <c r="D23" s="366" t="s">
        <v>8593</v>
      </c>
      <c r="E23" s="188" t="s">
        <v>8595</v>
      </c>
      <c r="F23" s="366"/>
    </row>
    <row r="24" spans="2:6">
      <c r="B24" s="372">
        <f t="shared" si="0"/>
        <v>22</v>
      </c>
      <c r="C24" s="191" t="s">
        <v>7631</v>
      </c>
      <c r="D24" s="366" t="s">
        <v>7632</v>
      </c>
      <c r="E24" s="188" t="s">
        <v>8595</v>
      </c>
      <c r="F24" s="366"/>
    </row>
    <row r="25" spans="2:6">
      <c r="B25" s="372">
        <f t="shared" si="0"/>
        <v>23</v>
      </c>
      <c r="C25" s="191" t="s">
        <v>8547</v>
      </c>
      <c r="D25" s="366" t="s">
        <v>8548</v>
      </c>
      <c r="E25" s="188" t="s">
        <v>8595</v>
      </c>
      <c r="F25" s="366"/>
    </row>
    <row r="26" spans="2:6">
      <c r="B26" s="372">
        <f t="shared" si="0"/>
        <v>24</v>
      </c>
      <c r="C26" s="248" t="s">
        <v>7635</v>
      </c>
      <c r="D26" s="365" t="s">
        <v>7636</v>
      </c>
      <c r="E26" s="188" t="s">
        <v>8595</v>
      </c>
      <c r="F26" s="365"/>
    </row>
    <row r="27" spans="2:6">
      <c r="B27" s="372">
        <f t="shared" si="0"/>
        <v>25</v>
      </c>
      <c r="C27" s="248" t="s">
        <v>8609</v>
      </c>
      <c r="D27" s="365" t="s">
        <v>8772</v>
      </c>
      <c r="E27" s="188" t="s">
        <v>8595</v>
      </c>
      <c r="F27" s="365"/>
    </row>
    <row r="28" spans="2:6">
      <c r="B28" s="372">
        <f t="shared" si="0"/>
        <v>26</v>
      </c>
      <c r="C28" s="248" t="s">
        <v>7647</v>
      </c>
      <c r="D28" s="365" t="s">
        <v>8608</v>
      </c>
      <c r="E28" s="188" t="s">
        <v>8595</v>
      </c>
      <c r="F28" s="365"/>
    </row>
    <row r="29" spans="2:6" ht="27">
      <c r="B29" s="372">
        <f t="shared" si="0"/>
        <v>27</v>
      </c>
      <c r="C29" s="248" t="s">
        <v>8795</v>
      </c>
      <c r="D29" s="365" t="s">
        <v>8796</v>
      </c>
      <c r="E29" s="188" t="s">
        <v>8595</v>
      </c>
      <c r="F29" s="365"/>
    </row>
    <row r="30" spans="2:6">
      <c r="B30" s="372">
        <f t="shared" si="0"/>
        <v>28</v>
      </c>
      <c r="C30" s="261" t="s">
        <v>7618</v>
      </c>
      <c r="D30" s="364" t="s">
        <v>6383</v>
      </c>
      <c r="E30" s="188" t="s">
        <v>8595</v>
      </c>
      <c r="F30" s="364"/>
    </row>
    <row r="31" spans="2:6">
      <c r="B31" s="372">
        <f t="shared" si="0"/>
        <v>29</v>
      </c>
      <c r="C31" s="367" t="s">
        <v>8794</v>
      </c>
      <c r="D31" s="362" t="s">
        <v>8906</v>
      </c>
      <c r="E31" s="188" t="s">
        <v>8595</v>
      </c>
      <c r="F31" s="362"/>
    </row>
    <row r="32" spans="2:6">
      <c r="B32" s="372">
        <f t="shared" si="0"/>
        <v>30</v>
      </c>
      <c r="C32" s="367" t="s">
        <v>8814</v>
      </c>
      <c r="D32" s="362" t="s">
        <v>8815</v>
      </c>
      <c r="E32" s="188" t="s">
        <v>8595</v>
      </c>
      <c r="F32" s="362"/>
    </row>
    <row r="33" spans="2:6">
      <c r="B33" s="372">
        <f t="shared" si="0"/>
        <v>31</v>
      </c>
      <c r="C33" s="367" t="s">
        <v>8932</v>
      </c>
      <c r="D33" s="362" t="s">
        <v>8933</v>
      </c>
      <c r="E33" s="188" t="s">
        <v>8595</v>
      </c>
      <c r="F33" s="362"/>
    </row>
    <row r="34" spans="2:6">
      <c r="B34" s="372">
        <f t="shared" si="0"/>
        <v>32</v>
      </c>
      <c r="C34" s="367" t="s">
        <v>8911</v>
      </c>
      <c r="D34" s="362" t="s">
        <v>9033</v>
      </c>
      <c r="E34" s="188" t="s">
        <v>8595</v>
      </c>
      <c r="F34" s="362"/>
    </row>
    <row r="35" spans="2:6">
      <c r="B35" s="372">
        <f t="shared" si="0"/>
        <v>33</v>
      </c>
      <c r="C35" s="367" t="s">
        <v>8911</v>
      </c>
      <c r="D35" s="362" t="s">
        <v>8912</v>
      </c>
      <c r="E35" s="188" t="s">
        <v>8595</v>
      </c>
      <c r="F35" s="362"/>
    </row>
    <row r="36" spans="2:6">
      <c r="B36" s="372">
        <f t="shared" si="0"/>
        <v>34</v>
      </c>
      <c r="C36" s="367" t="s">
        <v>8911</v>
      </c>
      <c r="D36" s="362" t="s">
        <v>9877</v>
      </c>
      <c r="E36" s="188" t="s">
        <v>8595</v>
      </c>
      <c r="F36" s="362"/>
    </row>
    <row r="37" spans="2:6">
      <c r="B37" s="372">
        <f t="shared" si="0"/>
        <v>35</v>
      </c>
      <c r="C37" s="367" t="s">
        <v>8911</v>
      </c>
      <c r="D37" s="362" t="s">
        <v>9034</v>
      </c>
      <c r="E37" s="188" t="s">
        <v>8595</v>
      </c>
      <c r="F37" s="362"/>
    </row>
    <row r="38" spans="2:6">
      <c r="B38" s="372">
        <f t="shared" si="0"/>
        <v>36</v>
      </c>
      <c r="C38" s="367" t="s">
        <v>14892</v>
      </c>
      <c r="D38" s="362" t="s">
        <v>9877</v>
      </c>
      <c r="E38" s="188" t="s">
        <v>8595</v>
      </c>
      <c r="F38" s="362"/>
    </row>
    <row r="39" spans="2:6">
      <c r="B39" s="372">
        <f t="shared" si="0"/>
        <v>37</v>
      </c>
      <c r="C39" s="367" t="s">
        <v>14906</v>
      </c>
      <c r="D39" s="362" t="s">
        <v>14907</v>
      </c>
      <c r="E39" s="188" t="s">
        <v>8595</v>
      </c>
      <c r="F39" s="362"/>
    </row>
    <row r="40" spans="2:6">
      <c r="C40" s="369"/>
      <c r="D40"/>
      <c r="E40" s="369"/>
      <c r="F40"/>
    </row>
    <row r="41" spans="2:6">
      <c r="C41" s="369"/>
      <c r="D41"/>
      <c r="E41" s="369"/>
      <c r="F41"/>
    </row>
    <row r="42" spans="2:6">
      <c r="C42" s="369"/>
      <c r="D42"/>
      <c r="E42" s="369"/>
      <c r="F42"/>
    </row>
    <row r="43" spans="2:6">
      <c r="C43" s="369"/>
      <c r="D43"/>
      <c r="E43" s="369"/>
      <c r="F43"/>
    </row>
    <row r="44" spans="2:6">
      <c r="C44" s="369"/>
      <c r="D44"/>
      <c r="E44" s="369"/>
      <c r="F44"/>
    </row>
    <row r="45" spans="2:6">
      <c r="C45" s="369"/>
      <c r="D45"/>
      <c r="E45" s="369"/>
      <c r="F45"/>
    </row>
    <row r="46" spans="2:6">
      <c r="C46" s="369"/>
      <c r="D46"/>
      <c r="E46" s="369"/>
      <c r="F46"/>
    </row>
    <row r="47" spans="2:6">
      <c r="C47" s="369"/>
      <c r="D47"/>
      <c r="E47" s="369"/>
      <c r="F47"/>
    </row>
    <row r="48" spans="2:6">
      <c r="C48" s="369"/>
      <c r="D48"/>
      <c r="E48" s="369"/>
      <c r="F48"/>
    </row>
    <row r="49" spans="3:6">
      <c r="C49" s="369"/>
      <c r="D49"/>
      <c r="E49" s="369"/>
      <c r="F49"/>
    </row>
    <row r="50" spans="3:6">
      <c r="C50" s="369"/>
      <c r="D50"/>
      <c r="E50" s="369"/>
      <c r="F50"/>
    </row>
    <row r="51" spans="3:6">
      <c r="C51" s="369"/>
      <c r="D51"/>
      <c r="E51" s="369"/>
      <c r="F51"/>
    </row>
    <row r="52" spans="3:6">
      <c r="C52" s="369"/>
      <c r="D52"/>
      <c r="E52" s="369"/>
      <c r="F52"/>
    </row>
    <row r="53" spans="3:6">
      <c r="C53" s="369"/>
      <c r="D53"/>
      <c r="E53" s="369"/>
      <c r="F53"/>
    </row>
    <row r="54" spans="3:6">
      <c r="C54" s="369"/>
      <c r="D54"/>
      <c r="E54" s="369"/>
      <c r="F54"/>
    </row>
    <row r="55" spans="3:6">
      <c r="C55" s="369"/>
      <c r="D55"/>
      <c r="E55" s="369"/>
      <c r="F55"/>
    </row>
    <row r="56" spans="3:6">
      <c r="C56" s="369"/>
      <c r="D56"/>
      <c r="E56" s="369"/>
      <c r="F56"/>
    </row>
    <row r="57" spans="3:6">
      <c r="C57" s="369"/>
      <c r="D57"/>
      <c r="E57" s="369"/>
      <c r="F57"/>
    </row>
    <row r="58" spans="3:6">
      <c r="C58" s="369"/>
      <c r="D58"/>
      <c r="E58" s="369"/>
      <c r="F58"/>
    </row>
    <row r="59" spans="3:6">
      <c r="C59" s="369"/>
      <c r="D59"/>
      <c r="E59" s="369"/>
      <c r="F59"/>
    </row>
    <row r="60" spans="3:6">
      <c r="C60" s="369"/>
      <c r="D60"/>
      <c r="E60" s="369"/>
      <c r="F60"/>
    </row>
    <row r="61" spans="3:6">
      <c r="C61" s="369"/>
      <c r="D61"/>
      <c r="E61" s="369"/>
      <c r="F61"/>
    </row>
    <row r="62" spans="3:6">
      <c r="C62" s="369"/>
      <c r="D62"/>
      <c r="E62" s="369"/>
      <c r="F62"/>
    </row>
    <row r="63" spans="3:6">
      <c r="C63" s="369"/>
      <c r="D63"/>
      <c r="E63" s="369"/>
      <c r="F63"/>
    </row>
    <row r="64" spans="3:6">
      <c r="C64" s="369"/>
      <c r="D64"/>
      <c r="E64" s="369"/>
      <c r="F64"/>
    </row>
    <row r="65" spans="3:6">
      <c r="C65" s="369"/>
      <c r="D65"/>
      <c r="E65" s="369"/>
      <c r="F65"/>
    </row>
    <row r="66" spans="3:6">
      <c r="C66" s="369"/>
      <c r="D66"/>
      <c r="E66" s="369"/>
      <c r="F66"/>
    </row>
    <row r="67" spans="3:6">
      <c r="C67" s="369"/>
      <c r="D67"/>
      <c r="E67" s="369"/>
      <c r="F67"/>
    </row>
    <row r="68" spans="3:6">
      <c r="C68" s="369"/>
      <c r="D68"/>
      <c r="E68" s="369"/>
      <c r="F68"/>
    </row>
    <row r="69" spans="3:6">
      <c r="C69" s="369"/>
      <c r="D69"/>
      <c r="E69" s="369"/>
      <c r="F69"/>
    </row>
    <row r="70" spans="3:6">
      <c r="C70" s="369"/>
      <c r="D70"/>
      <c r="E70" s="369"/>
      <c r="F70"/>
    </row>
    <row r="71" spans="3:6">
      <c r="C71" s="369"/>
      <c r="D71"/>
      <c r="E71" s="369"/>
      <c r="F71"/>
    </row>
    <row r="72" spans="3:6">
      <c r="C72" s="369"/>
      <c r="D72"/>
      <c r="E72" s="369"/>
      <c r="F72"/>
    </row>
    <row r="73" spans="3:6">
      <c r="C73" s="369"/>
      <c r="D73"/>
      <c r="E73" s="369"/>
      <c r="F73"/>
    </row>
    <row r="74" spans="3:6">
      <c r="C74" s="369"/>
      <c r="D74"/>
      <c r="E74" s="369"/>
      <c r="F74"/>
    </row>
    <row r="75" spans="3:6">
      <c r="C75" s="369"/>
      <c r="D75"/>
      <c r="E75" s="369"/>
      <c r="F75"/>
    </row>
    <row r="76" spans="3:6">
      <c r="C76" s="369"/>
      <c r="D76"/>
      <c r="E76" s="369"/>
      <c r="F76"/>
    </row>
    <row r="77" spans="3:6">
      <c r="C77" s="369"/>
      <c r="D77"/>
      <c r="E77" s="369"/>
      <c r="F77"/>
    </row>
    <row r="78" spans="3:6">
      <c r="C78" s="369"/>
      <c r="D78"/>
      <c r="E78" s="369"/>
      <c r="F78"/>
    </row>
    <row r="79" spans="3:6">
      <c r="C79" s="369"/>
      <c r="D79"/>
      <c r="E79" s="369"/>
      <c r="F79"/>
    </row>
    <row r="80" spans="3:6">
      <c r="C80" s="369"/>
      <c r="D80"/>
      <c r="E80" s="369"/>
      <c r="F80"/>
    </row>
    <row r="81" spans="3:6">
      <c r="C81" s="369"/>
      <c r="D81"/>
      <c r="E81" s="369"/>
      <c r="F81"/>
    </row>
    <row r="82" spans="3:6">
      <c r="C82" s="369"/>
      <c r="D82"/>
      <c r="E82" s="369"/>
      <c r="F82"/>
    </row>
    <row r="83" spans="3:6">
      <c r="C83" s="369"/>
      <c r="D83"/>
      <c r="E83" s="369"/>
      <c r="F83"/>
    </row>
  </sheetData>
  <phoneticPr fontId="1" type="noConversion"/>
  <conditionalFormatting sqref="D23">
    <cfRule type="colorScale" priority="9">
      <colorScale>
        <cfvo type="formula" val="#REF!"/>
        <cfvo type="formula" val="#REF!"/>
        <cfvo type="formula" val="#REF!"/>
        <color rgb="FFF8696B"/>
        <color rgb="FFFFEB84"/>
        <color rgb="FF63BE7B"/>
      </colorScale>
    </cfRule>
  </conditionalFormatting>
  <conditionalFormatting sqref="D24">
    <cfRule type="colorScale" priority="8">
      <colorScale>
        <cfvo type="formula" val="#REF!"/>
        <cfvo type="formula" val="#REF!"/>
        <cfvo type="formula" val="#REF!"/>
        <color rgb="FFF8696B"/>
        <color rgb="FFFFEB84"/>
        <color rgb="FF63BE7B"/>
      </colorScale>
    </cfRule>
  </conditionalFormatting>
  <conditionalFormatting sqref="D25">
    <cfRule type="colorScale" priority="7">
      <colorScale>
        <cfvo type="formula" val="#REF!"/>
        <cfvo type="formula" val="#REF!"/>
        <cfvo type="formula" val="#REF!"/>
        <color rgb="FFF8696B"/>
        <color rgb="FFFFEB84"/>
        <color rgb="FF63BE7B"/>
      </colorScale>
    </cfRule>
  </conditionalFormatting>
  <conditionalFormatting sqref="F23">
    <cfRule type="colorScale" priority="3">
      <colorScale>
        <cfvo type="formula" val="#REF!"/>
        <cfvo type="formula" val="#REF!"/>
        <cfvo type="formula" val="#REF!"/>
        <color rgb="FFF8696B"/>
        <color rgb="FFFFEB84"/>
        <color rgb="FF63BE7B"/>
      </colorScale>
    </cfRule>
  </conditionalFormatting>
  <conditionalFormatting sqref="F24">
    <cfRule type="colorScale" priority="2">
      <colorScale>
        <cfvo type="formula" val="#REF!"/>
        <cfvo type="formula" val="#REF!"/>
        <cfvo type="formula" val="#REF!"/>
        <color rgb="FFF8696B"/>
        <color rgb="FFFFEB84"/>
        <color rgb="FF63BE7B"/>
      </colorScale>
    </cfRule>
  </conditionalFormatting>
  <conditionalFormatting sqref="F25">
    <cfRule type="colorScale" priority="1">
      <colorScale>
        <cfvo type="formula" val="#REF!"/>
        <cfvo type="formula" val="#REF!"/>
        <cfvo type="formula" val="#REF!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E3:E39">
      <formula1>$H$2:$H$4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C4"/>
  <sheetViews>
    <sheetView workbookViewId="0">
      <selection activeCell="F3" sqref="F3:H3"/>
    </sheetView>
  </sheetViews>
  <sheetFormatPr defaultRowHeight="16.5"/>
  <cols>
    <col min="2" max="2" width="11.125" bestFit="1" customWidth="1"/>
  </cols>
  <sheetData>
    <row r="1" spans="2:3">
      <c r="B1" t="s">
        <v>7352</v>
      </c>
      <c r="C1" t="s">
        <v>7353</v>
      </c>
    </row>
    <row r="2" spans="2:3">
      <c r="B2" s="83">
        <v>41504</v>
      </c>
      <c r="C2" t="s">
        <v>7354</v>
      </c>
    </row>
    <row r="3" spans="2:3">
      <c r="B3" s="83">
        <v>41505</v>
      </c>
      <c r="C3" t="s">
        <v>7354</v>
      </c>
    </row>
    <row r="4" spans="2:3">
      <c r="B4" s="83">
        <v>41506</v>
      </c>
      <c r="C4" t="s">
        <v>7354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217"/>
  <sheetViews>
    <sheetView workbookViewId="0">
      <selection activeCell="C13" sqref="C13"/>
    </sheetView>
  </sheetViews>
  <sheetFormatPr defaultRowHeight="16.5"/>
  <cols>
    <col min="1" max="1" width="14.75" style="4" customWidth="1"/>
    <col min="2" max="2" width="30.25" style="4" customWidth="1"/>
    <col min="3" max="3" width="36" style="4" bestFit="1" customWidth="1"/>
    <col min="4" max="256" width="9" style="4"/>
    <col min="257" max="257" width="14.75" style="4" customWidth="1"/>
    <col min="258" max="258" width="30.25" style="4" customWidth="1"/>
    <col min="259" max="259" width="36" style="4" bestFit="1" customWidth="1"/>
    <col min="260" max="512" width="9" style="4"/>
    <col min="513" max="513" width="14.75" style="4" customWidth="1"/>
    <col min="514" max="514" width="30.25" style="4" customWidth="1"/>
    <col min="515" max="515" width="36" style="4" bestFit="1" customWidth="1"/>
    <col min="516" max="768" width="9" style="4"/>
    <col min="769" max="769" width="14.75" style="4" customWidth="1"/>
    <col min="770" max="770" width="30.25" style="4" customWidth="1"/>
    <col min="771" max="771" width="36" style="4" bestFit="1" customWidth="1"/>
    <col min="772" max="1024" width="9" style="4"/>
    <col min="1025" max="1025" width="14.75" style="4" customWidth="1"/>
    <col min="1026" max="1026" width="30.25" style="4" customWidth="1"/>
    <col min="1027" max="1027" width="36" style="4" bestFit="1" customWidth="1"/>
    <col min="1028" max="1280" width="9" style="4"/>
    <col min="1281" max="1281" width="14.75" style="4" customWidth="1"/>
    <col min="1282" max="1282" width="30.25" style="4" customWidth="1"/>
    <col min="1283" max="1283" width="36" style="4" bestFit="1" customWidth="1"/>
    <col min="1284" max="1536" width="9" style="4"/>
    <col min="1537" max="1537" width="14.75" style="4" customWidth="1"/>
    <col min="1538" max="1538" width="30.25" style="4" customWidth="1"/>
    <col min="1539" max="1539" width="36" style="4" bestFit="1" customWidth="1"/>
    <col min="1540" max="1792" width="9" style="4"/>
    <col min="1793" max="1793" width="14.75" style="4" customWidth="1"/>
    <col min="1794" max="1794" width="30.25" style="4" customWidth="1"/>
    <col min="1795" max="1795" width="36" style="4" bestFit="1" customWidth="1"/>
    <col min="1796" max="2048" width="9" style="4"/>
    <col min="2049" max="2049" width="14.75" style="4" customWidth="1"/>
    <col min="2050" max="2050" width="30.25" style="4" customWidth="1"/>
    <col min="2051" max="2051" width="36" style="4" bestFit="1" customWidth="1"/>
    <col min="2052" max="2304" width="9" style="4"/>
    <col min="2305" max="2305" width="14.75" style="4" customWidth="1"/>
    <col min="2306" max="2306" width="30.25" style="4" customWidth="1"/>
    <col min="2307" max="2307" width="36" style="4" bestFit="1" customWidth="1"/>
    <col min="2308" max="2560" width="9" style="4"/>
    <col min="2561" max="2561" width="14.75" style="4" customWidth="1"/>
    <col min="2562" max="2562" width="30.25" style="4" customWidth="1"/>
    <col min="2563" max="2563" width="36" style="4" bestFit="1" customWidth="1"/>
    <col min="2564" max="2816" width="9" style="4"/>
    <col min="2817" max="2817" width="14.75" style="4" customWidth="1"/>
    <col min="2818" max="2818" width="30.25" style="4" customWidth="1"/>
    <col min="2819" max="2819" width="36" style="4" bestFit="1" customWidth="1"/>
    <col min="2820" max="3072" width="9" style="4"/>
    <col min="3073" max="3073" width="14.75" style="4" customWidth="1"/>
    <col min="3074" max="3074" width="30.25" style="4" customWidth="1"/>
    <col min="3075" max="3075" width="36" style="4" bestFit="1" customWidth="1"/>
    <col min="3076" max="3328" width="9" style="4"/>
    <col min="3329" max="3329" width="14.75" style="4" customWidth="1"/>
    <col min="3330" max="3330" width="30.25" style="4" customWidth="1"/>
    <col min="3331" max="3331" width="36" style="4" bestFit="1" customWidth="1"/>
    <col min="3332" max="3584" width="9" style="4"/>
    <col min="3585" max="3585" width="14.75" style="4" customWidth="1"/>
    <col min="3586" max="3586" width="30.25" style="4" customWidth="1"/>
    <col min="3587" max="3587" width="36" style="4" bestFit="1" customWidth="1"/>
    <col min="3588" max="3840" width="9" style="4"/>
    <col min="3841" max="3841" width="14.75" style="4" customWidth="1"/>
    <col min="3842" max="3842" width="30.25" style="4" customWidth="1"/>
    <col min="3843" max="3843" width="36" style="4" bestFit="1" customWidth="1"/>
    <col min="3844" max="4096" width="9" style="4"/>
    <col min="4097" max="4097" width="14.75" style="4" customWidth="1"/>
    <col min="4098" max="4098" width="30.25" style="4" customWidth="1"/>
    <col min="4099" max="4099" width="36" style="4" bestFit="1" customWidth="1"/>
    <col min="4100" max="4352" width="9" style="4"/>
    <col min="4353" max="4353" width="14.75" style="4" customWidth="1"/>
    <col min="4354" max="4354" width="30.25" style="4" customWidth="1"/>
    <col min="4355" max="4355" width="36" style="4" bestFit="1" customWidth="1"/>
    <col min="4356" max="4608" width="9" style="4"/>
    <col min="4609" max="4609" width="14.75" style="4" customWidth="1"/>
    <col min="4610" max="4610" width="30.25" style="4" customWidth="1"/>
    <col min="4611" max="4611" width="36" style="4" bestFit="1" customWidth="1"/>
    <col min="4612" max="4864" width="9" style="4"/>
    <col min="4865" max="4865" width="14.75" style="4" customWidth="1"/>
    <col min="4866" max="4866" width="30.25" style="4" customWidth="1"/>
    <col min="4867" max="4867" width="36" style="4" bestFit="1" customWidth="1"/>
    <col min="4868" max="5120" width="9" style="4"/>
    <col min="5121" max="5121" width="14.75" style="4" customWidth="1"/>
    <col min="5122" max="5122" width="30.25" style="4" customWidth="1"/>
    <col min="5123" max="5123" width="36" style="4" bestFit="1" customWidth="1"/>
    <col min="5124" max="5376" width="9" style="4"/>
    <col min="5377" max="5377" width="14.75" style="4" customWidth="1"/>
    <col min="5378" max="5378" width="30.25" style="4" customWidth="1"/>
    <col min="5379" max="5379" width="36" style="4" bestFit="1" customWidth="1"/>
    <col min="5380" max="5632" width="9" style="4"/>
    <col min="5633" max="5633" width="14.75" style="4" customWidth="1"/>
    <col min="5634" max="5634" width="30.25" style="4" customWidth="1"/>
    <col min="5635" max="5635" width="36" style="4" bestFit="1" customWidth="1"/>
    <col min="5636" max="5888" width="9" style="4"/>
    <col min="5889" max="5889" width="14.75" style="4" customWidth="1"/>
    <col min="5890" max="5890" width="30.25" style="4" customWidth="1"/>
    <col min="5891" max="5891" width="36" style="4" bestFit="1" customWidth="1"/>
    <col min="5892" max="6144" width="9" style="4"/>
    <col min="6145" max="6145" width="14.75" style="4" customWidth="1"/>
    <col min="6146" max="6146" width="30.25" style="4" customWidth="1"/>
    <col min="6147" max="6147" width="36" style="4" bestFit="1" customWidth="1"/>
    <col min="6148" max="6400" width="9" style="4"/>
    <col min="6401" max="6401" width="14.75" style="4" customWidth="1"/>
    <col min="6402" max="6402" width="30.25" style="4" customWidth="1"/>
    <col min="6403" max="6403" width="36" style="4" bestFit="1" customWidth="1"/>
    <col min="6404" max="6656" width="9" style="4"/>
    <col min="6657" max="6657" width="14.75" style="4" customWidth="1"/>
    <col min="6658" max="6658" width="30.25" style="4" customWidth="1"/>
    <col min="6659" max="6659" width="36" style="4" bestFit="1" customWidth="1"/>
    <col min="6660" max="6912" width="9" style="4"/>
    <col min="6913" max="6913" width="14.75" style="4" customWidth="1"/>
    <col min="6914" max="6914" width="30.25" style="4" customWidth="1"/>
    <col min="6915" max="6915" width="36" style="4" bestFit="1" customWidth="1"/>
    <col min="6916" max="7168" width="9" style="4"/>
    <col min="7169" max="7169" width="14.75" style="4" customWidth="1"/>
    <col min="7170" max="7170" width="30.25" style="4" customWidth="1"/>
    <col min="7171" max="7171" width="36" style="4" bestFit="1" customWidth="1"/>
    <col min="7172" max="7424" width="9" style="4"/>
    <col min="7425" max="7425" width="14.75" style="4" customWidth="1"/>
    <col min="7426" max="7426" width="30.25" style="4" customWidth="1"/>
    <col min="7427" max="7427" width="36" style="4" bestFit="1" customWidth="1"/>
    <col min="7428" max="7680" width="9" style="4"/>
    <col min="7681" max="7681" width="14.75" style="4" customWidth="1"/>
    <col min="7682" max="7682" width="30.25" style="4" customWidth="1"/>
    <col min="7683" max="7683" width="36" style="4" bestFit="1" customWidth="1"/>
    <col min="7684" max="7936" width="9" style="4"/>
    <col min="7937" max="7937" width="14.75" style="4" customWidth="1"/>
    <col min="7938" max="7938" width="30.25" style="4" customWidth="1"/>
    <col min="7939" max="7939" width="36" style="4" bestFit="1" customWidth="1"/>
    <col min="7940" max="8192" width="9" style="4"/>
    <col min="8193" max="8193" width="14.75" style="4" customWidth="1"/>
    <col min="8194" max="8194" width="30.25" style="4" customWidth="1"/>
    <col min="8195" max="8195" width="36" style="4" bestFit="1" customWidth="1"/>
    <col min="8196" max="8448" width="9" style="4"/>
    <col min="8449" max="8449" width="14.75" style="4" customWidth="1"/>
    <col min="8450" max="8450" width="30.25" style="4" customWidth="1"/>
    <col min="8451" max="8451" width="36" style="4" bestFit="1" customWidth="1"/>
    <col min="8452" max="8704" width="9" style="4"/>
    <col min="8705" max="8705" width="14.75" style="4" customWidth="1"/>
    <col min="8706" max="8706" width="30.25" style="4" customWidth="1"/>
    <col min="8707" max="8707" width="36" style="4" bestFit="1" customWidth="1"/>
    <col min="8708" max="8960" width="9" style="4"/>
    <col min="8961" max="8961" width="14.75" style="4" customWidth="1"/>
    <col min="8962" max="8962" width="30.25" style="4" customWidth="1"/>
    <col min="8963" max="8963" width="36" style="4" bestFit="1" customWidth="1"/>
    <col min="8964" max="9216" width="9" style="4"/>
    <col min="9217" max="9217" width="14.75" style="4" customWidth="1"/>
    <col min="9218" max="9218" width="30.25" style="4" customWidth="1"/>
    <col min="9219" max="9219" width="36" style="4" bestFit="1" customWidth="1"/>
    <col min="9220" max="9472" width="9" style="4"/>
    <col min="9473" max="9473" width="14.75" style="4" customWidth="1"/>
    <col min="9474" max="9474" width="30.25" style="4" customWidth="1"/>
    <col min="9475" max="9475" width="36" style="4" bestFit="1" customWidth="1"/>
    <col min="9476" max="9728" width="9" style="4"/>
    <col min="9729" max="9729" width="14.75" style="4" customWidth="1"/>
    <col min="9730" max="9730" width="30.25" style="4" customWidth="1"/>
    <col min="9731" max="9731" width="36" style="4" bestFit="1" customWidth="1"/>
    <col min="9732" max="9984" width="9" style="4"/>
    <col min="9985" max="9985" width="14.75" style="4" customWidth="1"/>
    <col min="9986" max="9986" width="30.25" style="4" customWidth="1"/>
    <col min="9987" max="9987" width="36" style="4" bestFit="1" customWidth="1"/>
    <col min="9988" max="10240" width="9" style="4"/>
    <col min="10241" max="10241" width="14.75" style="4" customWidth="1"/>
    <col min="10242" max="10242" width="30.25" style="4" customWidth="1"/>
    <col min="10243" max="10243" width="36" style="4" bestFit="1" customWidth="1"/>
    <col min="10244" max="10496" width="9" style="4"/>
    <col min="10497" max="10497" width="14.75" style="4" customWidth="1"/>
    <col min="10498" max="10498" width="30.25" style="4" customWidth="1"/>
    <col min="10499" max="10499" width="36" style="4" bestFit="1" customWidth="1"/>
    <col min="10500" max="10752" width="9" style="4"/>
    <col min="10753" max="10753" width="14.75" style="4" customWidth="1"/>
    <col min="10754" max="10754" width="30.25" style="4" customWidth="1"/>
    <col min="10755" max="10755" width="36" style="4" bestFit="1" customWidth="1"/>
    <col min="10756" max="11008" width="9" style="4"/>
    <col min="11009" max="11009" width="14.75" style="4" customWidth="1"/>
    <col min="11010" max="11010" width="30.25" style="4" customWidth="1"/>
    <col min="11011" max="11011" width="36" style="4" bestFit="1" customWidth="1"/>
    <col min="11012" max="11264" width="9" style="4"/>
    <col min="11265" max="11265" width="14.75" style="4" customWidth="1"/>
    <col min="11266" max="11266" width="30.25" style="4" customWidth="1"/>
    <col min="11267" max="11267" width="36" style="4" bestFit="1" customWidth="1"/>
    <col min="11268" max="11520" width="9" style="4"/>
    <col min="11521" max="11521" width="14.75" style="4" customWidth="1"/>
    <col min="11522" max="11522" width="30.25" style="4" customWidth="1"/>
    <col min="11523" max="11523" width="36" style="4" bestFit="1" customWidth="1"/>
    <col min="11524" max="11776" width="9" style="4"/>
    <col min="11777" max="11777" width="14.75" style="4" customWidth="1"/>
    <col min="11778" max="11778" width="30.25" style="4" customWidth="1"/>
    <col min="11779" max="11779" width="36" style="4" bestFit="1" customWidth="1"/>
    <col min="11780" max="12032" width="9" style="4"/>
    <col min="12033" max="12033" width="14.75" style="4" customWidth="1"/>
    <col min="12034" max="12034" width="30.25" style="4" customWidth="1"/>
    <col min="12035" max="12035" width="36" style="4" bestFit="1" customWidth="1"/>
    <col min="12036" max="12288" width="9" style="4"/>
    <col min="12289" max="12289" width="14.75" style="4" customWidth="1"/>
    <col min="12290" max="12290" width="30.25" style="4" customWidth="1"/>
    <col min="12291" max="12291" width="36" style="4" bestFit="1" customWidth="1"/>
    <col min="12292" max="12544" width="9" style="4"/>
    <col min="12545" max="12545" width="14.75" style="4" customWidth="1"/>
    <col min="12546" max="12546" width="30.25" style="4" customWidth="1"/>
    <col min="12547" max="12547" width="36" style="4" bestFit="1" customWidth="1"/>
    <col min="12548" max="12800" width="9" style="4"/>
    <col min="12801" max="12801" width="14.75" style="4" customWidth="1"/>
    <col min="12802" max="12802" width="30.25" style="4" customWidth="1"/>
    <col min="12803" max="12803" width="36" style="4" bestFit="1" customWidth="1"/>
    <col min="12804" max="13056" width="9" style="4"/>
    <col min="13057" max="13057" width="14.75" style="4" customWidth="1"/>
    <col min="13058" max="13058" width="30.25" style="4" customWidth="1"/>
    <col min="13059" max="13059" width="36" style="4" bestFit="1" customWidth="1"/>
    <col min="13060" max="13312" width="9" style="4"/>
    <col min="13313" max="13313" width="14.75" style="4" customWidth="1"/>
    <col min="13314" max="13314" width="30.25" style="4" customWidth="1"/>
    <col min="13315" max="13315" width="36" style="4" bestFit="1" customWidth="1"/>
    <col min="13316" max="13568" width="9" style="4"/>
    <col min="13569" max="13569" width="14.75" style="4" customWidth="1"/>
    <col min="13570" max="13570" width="30.25" style="4" customWidth="1"/>
    <col min="13571" max="13571" width="36" style="4" bestFit="1" customWidth="1"/>
    <col min="13572" max="13824" width="9" style="4"/>
    <col min="13825" max="13825" width="14.75" style="4" customWidth="1"/>
    <col min="13826" max="13826" width="30.25" style="4" customWidth="1"/>
    <col min="13827" max="13827" width="36" style="4" bestFit="1" customWidth="1"/>
    <col min="13828" max="14080" width="9" style="4"/>
    <col min="14081" max="14081" width="14.75" style="4" customWidth="1"/>
    <col min="14082" max="14082" width="30.25" style="4" customWidth="1"/>
    <col min="14083" max="14083" width="36" style="4" bestFit="1" customWidth="1"/>
    <col min="14084" max="14336" width="9" style="4"/>
    <col min="14337" max="14337" width="14.75" style="4" customWidth="1"/>
    <col min="14338" max="14338" width="30.25" style="4" customWidth="1"/>
    <col min="14339" max="14339" width="36" style="4" bestFit="1" customWidth="1"/>
    <col min="14340" max="14592" width="9" style="4"/>
    <col min="14593" max="14593" width="14.75" style="4" customWidth="1"/>
    <col min="14594" max="14594" width="30.25" style="4" customWidth="1"/>
    <col min="14595" max="14595" width="36" style="4" bestFit="1" customWidth="1"/>
    <col min="14596" max="14848" width="9" style="4"/>
    <col min="14849" max="14849" width="14.75" style="4" customWidth="1"/>
    <col min="14850" max="14850" width="30.25" style="4" customWidth="1"/>
    <col min="14851" max="14851" width="36" style="4" bestFit="1" customWidth="1"/>
    <col min="14852" max="15104" width="9" style="4"/>
    <col min="15105" max="15105" width="14.75" style="4" customWidth="1"/>
    <col min="15106" max="15106" width="30.25" style="4" customWidth="1"/>
    <col min="15107" max="15107" width="36" style="4" bestFit="1" customWidth="1"/>
    <col min="15108" max="15360" width="9" style="4"/>
    <col min="15361" max="15361" width="14.75" style="4" customWidth="1"/>
    <col min="15362" max="15362" width="30.25" style="4" customWidth="1"/>
    <col min="15363" max="15363" width="36" style="4" bestFit="1" customWidth="1"/>
    <col min="15364" max="15616" width="9" style="4"/>
    <col min="15617" max="15617" width="14.75" style="4" customWidth="1"/>
    <col min="15618" max="15618" width="30.25" style="4" customWidth="1"/>
    <col min="15619" max="15619" width="36" style="4" bestFit="1" customWidth="1"/>
    <col min="15620" max="15872" width="9" style="4"/>
    <col min="15873" max="15873" width="14.75" style="4" customWidth="1"/>
    <col min="15874" max="15874" width="30.25" style="4" customWidth="1"/>
    <col min="15875" max="15875" width="36" style="4" bestFit="1" customWidth="1"/>
    <col min="15876" max="16128" width="9" style="4"/>
    <col min="16129" max="16129" width="14.75" style="4" customWidth="1"/>
    <col min="16130" max="16130" width="30.25" style="4" customWidth="1"/>
    <col min="16131" max="16131" width="36" style="4" bestFit="1" customWidth="1"/>
    <col min="16132" max="16384" width="9" style="4"/>
  </cols>
  <sheetData>
    <row r="1" spans="1:3" ht="17.25" thickBot="1">
      <c r="A1" s="1" t="s">
        <v>5776</v>
      </c>
      <c r="B1" s="2" t="s">
        <v>5777</v>
      </c>
      <c r="C1" s="3" t="s">
        <v>5778</v>
      </c>
    </row>
    <row r="2" spans="1:3" s="22" customFormat="1" ht="13.5">
      <c r="A2" s="20" t="s">
        <v>5904</v>
      </c>
      <c r="B2" s="21" t="s">
        <v>5905</v>
      </c>
      <c r="C2" s="21" t="s">
        <v>5905</v>
      </c>
    </row>
    <row r="3" spans="1:3">
      <c r="A3" s="5" t="s">
        <v>3293</v>
      </c>
      <c r="B3" s="6" t="s">
        <v>3294</v>
      </c>
      <c r="C3" s="7" t="s">
        <v>3295</v>
      </c>
    </row>
    <row r="4" spans="1:3">
      <c r="A4" s="8" t="s">
        <v>5759</v>
      </c>
      <c r="B4" s="9" t="s">
        <v>5760</v>
      </c>
      <c r="C4" s="10" t="s">
        <v>5761</v>
      </c>
    </row>
    <row r="5" spans="1:3">
      <c r="A5" s="8" t="s">
        <v>3810</v>
      </c>
      <c r="B5" s="9" t="s">
        <v>3811</v>
      </c>
      <c r="C5" s="10" t="s">
        <v>3812</v>
      </c>
    </row>
    <row r="6" spans="1:3">
      <c r="A6" s="8" t="s">
        <v>835</v>
      </c>
      <c r="B6" s="9" t="s">
        <v>836</v>
      </c>
      <c r="C6" s="10" t="s">
        <v>837</v>
      </c>
    </row>
    <row r="7" spans="1:3">
      <c r="A7" s="8" t="s">
        <v>3296</v>
      </c>
      <c r="B7" s="9" t="s">
        <v>3297</v>
      </c>
      <c r="C7" s="10" t="s">
        <v>3298</v>
      </c>
    </row>
    <row r="8" spans="1:3">
      <c r="A8" s="8" t="s">
        <v>2881</v>
      </c>
      <c r="B8" s="9" t="s">
        <v>2882</v>
      </c>
      <c r="C8" s="10" t="s">
        <v>2883</v>
      </c>
    </row>
    <row r="9" spans="1:3">
      <c r="A9" s="8" t="s">
        <v>2855</v>
      </c>
      <c r="B9" s="9" t="s">
        <v>2856</v>
      </c>
      <c r="C9" s="10" t="s">
        <v>2857</v>
      </c>
    </row>
    <row r="10" spans="1:3">
      <c r="A10" s="8" t="s">
        <v>838</v>
      </c>
      <c r="B10" s="9" t="s">
        <v>839</v>
      </c>
      <c r="C10" s="10" t="s">
        <v>5779</v>
      </c>
    </row>
    <row r="11" spans="1:3">
      <c r="A11" s="8" t="s">
        <v>3299</v>
      </c>
      <c r="B11" s="9" t="s">
        <v>3300</v>
      </c>
      <c r="C11" s="10" t="s">
        <v>3301</v>
      </c>
    </row>
    <row r="12" spans="1:3">
      <c r="A12" s="8" t="s">
        <v>2469</v>
      </c>
      <c r="B12" s="9" t="s">
        <v>2470</v>
      </c>
      <c r="C12" s="10" t="s">
        <v>2471</v>
      </c>
    </row>
    <row r="13" spans="1:3">
      <c r="A13" s="8" t="s">
        <v>2743</v>
      </c>
      <c r="B13" s="9" t="s">
        <v>2744</v>
      </c>
      <c r="C13" s="10" t="s">
        <v>5780</v>
      </c>
    </row>
    <row r="14" spans="1:3">
      <c r="A14" s="8" t="s">
        <v>2745</v>
      </c>
      <c r="B14" s="9" t="s">
        <v>2746</v>
      </c>
      <c r="C14" s="10" t="s">
        <v>2747</v>
      </c>
    </row>
    <row r="15" spans="1:3">
      <c r="A15" s="8" t="s">
        <v>2748</v>
      </c>
      <c r="B15" s="9" t="s">
        <v>2749</v>
      </c>
      <c r="C15" s="10" t="s">
        <v>2750</v>
      </c>
    </row>
    <row r="16" spans="1:3">
      <c r="A16" s="8" t="s">
        <v>2129</v>
      </c>
      <c r="B16" s="9" t="s">
        <v>2130</v>
      </c>
      <c r="C16" s="10" t="s">
        <v>2130</v>
      </c>
    </row>
    <row r="17" spans="1:3">
      <c r="A17" s="8" t="s">
        <v>106</v>
      </c>
      <c r="B17" s="9" t="s">
        <v>107</v>
      </c>
      <c r="C17" s="10" t="s">
        <v>108</v>
      </c>
    </row>
    <row r="18" spans="1:3">
      <c r="A18" s="8" t="s">
        <v>4115</v>
      </c>
      <c r="B18" s="9" t="s">
        <v>4116</v>
      </c>
      <c r="C18" s="10" t="s">
        <v>5781</v>
      </c>
    </row>
    <row r="19" spans="1:3">
      <c r="A19" s="8" t="s">
        <v>3832</v>
      </c>
      <c r="B19" s="9" t="s">
        <v>3833</v>
      </c>
      <c r="C19" s="10" t="s">
        <v>3834</v>
      </c>
    </row>
    <row r="20" spans="1:3">
      <c r="A20" s="8" t="s">
        <v>4106</v>
      </c>
      <c r="B20" s="9" t="s">
        <v>4107</v>
      </c>
      <c r="C20" s="10" t="s">
        <v>4108</v>
      </c>
    </row>
    <row r="21" spans="1:3">
      <c r="A21" s="8" t="s">
        <v>4091</v>
      </c>
      <c r="B21" s="9" t="s">
        <v>4092</v>
      </c>
      <c r="C21" s="10" t="s">
        <v>4093</v>
      </c>
    </row>
    <row r="22" spans="1:3">
      <c r="A22" s="8" t="s">
        <v>2067</v>
      </c>
      <c r="B22" s="9" t="s">
        <v>2068</v>
      </c>
      <c r="C22" s="10" t="s">
        <v>2069</v>
      </c>
    </row>
    <row r="23" spans="1:3">
      <c r="A23" s="8" t="s">
        <v>4170</v>
      </c>
      <c r="B23" s="9" t="s">
        <v>4171</v>
      </c>
      <c r="C23" s="10" t="s">
        <v>4172</v>
      </c>
    </row>
    <row r="24" spans="1:3">
      <c r="A24" s="8" t="s">
        <v>4173</v>
      </c>
      <c r="B24" s="9" t="s">
        <v>4171</v>
      </c>
      <c r="C24" s="10" t="s">
        <v>4172</v>
      </c>
    </row>
    <row r="25" spans="1:3">
      <c r="A25" s="8" t="s">
        <v>4163</v>
      </c>
      <c r="B25" s="9" t="s">
        <v>4164</v>
      </c>
      <c r="C25" s="10" t="s">
        <v>4165</v>
      </c>
    </row>
    <row r="26" spans="1:3">
      <c r="A26" s="8" t="s">
        <v>382</v>
      </c>
      <c r="B26" s="9" t="s">
        <v>383</v>
      </c>
      <c r="C26" s="10" t="s">
        <v>384</v>
      </c>
    </row>
    <row r="27" spans="1:3">
      <c r="A27" s="8" t="s">
        <v>1299</v>
      </c>
      <c r="B27" s="9" t="s">
        <v>1300</v>
      </c>
      <c r="C27" s="10" t="s">
        <v>1301</v>
      </c>
    </row>
    <row r="28" spans="1:3">
      <c r="A28" s="8" t="s">
        <v>1219</v>
      </c>
      <c r="B28" s="9" t="s">
        <v>1220</v>
      </c>
      <c r="C28" s="10" t="s">
        <v>1221</v>
      </c>
    </row>
    <row r="29" spans="1:3">
      <c r="A29" s="8" t="s">
        <v>92</v>
      </c>
      <c r="B29" s="9" t="s">
        <v>93</v>
      </c>
      <c r="C29" s="10" t="s">
        <v>94</v>
      </c>
    </row>
    <row r="30" spans="1:3">
      <c r="A30" s="8" t="s">
        <v>89</v>
      </c>
      <c r="B30" s="9" t="s">
        <v>90</v>
      </c>
      <c r="C30" s="10" t="s">
        <v>91</v>
      </c>
    </row>
    <row r="31" spans="1:3">
      <c r="A31" s="8" t="s">
        <v>1477</v>
      </c>
      <c r="B31" s="9" t="s">
        <v>1478</v>
      </c>
      <c r="C31" s="10" t="s">
        <v>1479</v>
      </c>
    </row>
    <row r="32" spans="1:3">
      <c r="A32" s="8" t="s">
        <v>1480</v>
      </c>
      <c r="B32" s="9" t="s">
        <v>1478</v>
      </c>
      <c r="C32" s="10" t="s">
        <v>1479</v>
      </c>
    </row>
    <row r="33" spans="1:3">
      <c r="A33" s="8" t="s">
        <v>2221</v>
      </c>
      <c r="B33" s="9" t="s">
        <v>2222</v>
      </c>
      <c r="C33" s="10" t="s">
        <v>2223</v>
      </c>
    </row>
    <row r="34" spans="1:3">
      <c r="A34" s="8" t="s">
        <v>204</v>
      </c>
      <c r="B34" s="9" t="s">
        <v>205</v>
      </c>
      <c r="C34" s="10" t="s">
        <v>5782</v>
      </c>
    </row>
    <row r="35" spans="1:3">
      <c r="A35" s="8" t="s">
        <v>1712</v>
      </c>
      <c r="B35" s="9" t="s">
        <v>1713</v>
      </c>
      <c r="C35" s="10" t="s">
        <v>1714</v>
      </c>
    </row>
    <row r="36" spans="1:3">
      <c r="A36" s="8" t="s">
        <v>1715</v>
      </c>
      <c r="B36" s="9" t="s">
        <v>1713</v>
      </c>
      <c r="C36" s="10" t="s">
        <v>1714</v>
      </c>
    </row>
    <row r="37" spans="1:3">
      <c r="A37" s="8" t="s">
        <v>274</v>
      </c>
      <c r="B37" s="9" t="s">
        <v>275</v>
      </c>
      <c r="C37" s="10" t="s">
        <v>276</v>
      </c>
    </row>
    <row r="38" spans="1:3">
      <c r="A38" s="8" t="s">
        <v>1994</v>
      </c>
      <c r="B38" s="9" t="s">
        <v>1995</v>
      </c>
      <c r="C38" s="10" t="s">
        <v>1996</v>
      </c>
    </row>
    <row r="39" spans="1:3">
      <c r="A39" s="8" t="s">
        <v>385</v>
      </c>
      <c r="B39" s="9" t="s">
        <v>383</v>
      </c>
      <c r="C39" s="10" t="s">
        <v>384</v>
      </c>
    </row>
    <row r="40" spans="1:3">
      <c r="A40" s="8" t="s">
        <v>1525</v>
      </c>
      <c r="B40" s="9" t="s">
        <v>1526</v>
      </c>
      <c r="C40" s="10" t="s">
        <v>1527</v>
      </c>
    </row>
    <row r="41" spans="1:3">
      <c r="A41" s="8" t="s">
        <v>1496</v>
      </c>
      <c r="B41" s="9" t="s">
        <v>1497</v>
      </c>
      <c r="C41" s="10" t="s">
        <v>1498</v>
      </c>
    </row>
    <row r="42" spans="1:3">
      <c r="A42" s="8" t="s">
        <v>5574</v>
      </c>
      <c r="B42" s="9" t="s">
        <v>5575</v>
      </c>
      <c r="C42" s="10" t="s">
        <v>5783</v>
      </c>
    </row>
    <row r="43" spans="1:3">
      <c r="A43" s="8" t="s">
        <v>2179</v>
      </c>
      <c r="B43" s="9" t="s">
        <v>2180</v>
      </c>
      <c r="C43" s="10" t="s">
        <v>2181</v>
      </c>
    </row>
    <row r="44" spans="1:3">
      <c r="A44" s="8" t="s">
        <v>1650</v>
      </c>
      <c r="B44" s="9" t="s">
        <v>1651</v>
      </c>
      <c r="C44" s="10" t="s">
        <v>1652</v>
      </c>
    </row>
    <row r="45" spans="1:3">
      <c r="A45" s="8" t="s">
        <v>1815</v>
      </c>
      <c r="B45" s="9" t="s">
        <v>1816</v>
      </c>
      <c r="C45" s="10" t="s">
        <v>1817</v>
      </c>
    </row>
    <row r="46" spans="1:3">
      <c r="A46" s="8" t="s">
        <v>3863</v>
      </c>
      <c r="B46" s="9" t="s">
        <v>3864</v>
      </c>
      <c r="C46" s="10" t="s">
        <v>3865</v>
      </c>
    </row>
    <row r="47" spans="1:3">
      <c r="A47" s="8" t="s">
        <v>3866</v>
      </c>
      <c r="B47" s="9" t="s">
        <v>3867</v>
      </c>
      <c r="C47" s="10" t="s">
        <v>3868</v>
      </c>
    </row>
    <row r="48" spans="1:3">
      <c r="A48" s="8" t="s">
        <v>2141</v>
      </c>
      <c r="B48" s="9" t="s">
        <v>2142</v>
      </c>
      <c r="C48" s="10" t="s">
        <v>2143</v>
      </c>
    </row>
    <row r="49" spans="1:3">
      <c r="A49" s="8" t="s">
        <v>1278</v>
      </c>
      <c r="B49" s="9" t="s">
        <v>1279</v>
      </c>
      <c r="C49" s="10" t="s">
        <v>1280</v>
      </c>
    </row>
    <row r="50" spans="1:3">
      <c r="A50" s="8" t="s">
        <v>1508</v>
      </c>
      <c r="B50" s="9" t="s">
        <v>1509</v>
      </c>
      <c r="C50" s="10" t="s">
        <v>1340</v>
      </c>
    </row>
    <row r="51" spans="1:3">
      <c r="A51" s="8" t="s">
        <v>1453</v>
      </c>
      <c r="B51" s="9" t="s">
        <v>1454</v>
      </c>
      <c r="C51" s="10" t="s">
        <v>5784</v>
      </c>
    </row>
    <row r="52" spans="1:3">
      <c r="A52" s="8" t="s">
        <v>1426</v>
      </c>
      <c r="B52" s="9" t="s">
        <v>1427</v>
      </c>
      <c r="C52" s="10" t="s">
        <v>5785</v>
      </c>
    </row>
    <row r="53" spans="1:3">
      <c r="A53" s="8" t="s">
        <v>4365</v>
      </c>
      <c r="B53" s="9" t="s">
        <v>4366</v>
      </c>
      <c r="C53" s="10" t="s">
        <v>4367</v>
      </c>
    </row>
    <row r="54" spans="1:3">
      <c r="A54" s="8" t="s">
        <v>4368</v>
      </c>
      <c r="B54" s="9" t="s">
        <v>4369</v>
      </c>
      <c r="C54" s="10" t="s">
        <v>4370</v>
      </c>
    </row>
    <row r="55" spans="1:3">
      <c r="A55" s="8" t="s">
        <v>2663</v>
      </c>
      <c r="B55" s="9" t="s">
        <v>2664</v>
      </c>
      <c r="C55" s="10" t="s">
        <v>2618</v>
      </c>
    </row>
    <row r="56" spans="1:3">
      <c r="A56" s="8" t="s">
        <v>2680</v>
      </c>
      <c r="B56" s="9" t="s">
        <v>2681</v>
      </c>
      <c r="C56" s="10" t="s">
        <v>2618</v>
      </c>
    </row>
    <row r="57" spans="1:3">
      <c r="A57" s="8" t="s">
        <v>1281</v>
      </c>
      <c r="B57" s="9" t="s">
        <v>1279</v>
      </c>
      <c r="C57" s="10" t="s">
        <v>1282</v>
      </c>
    </row>
    <row r="58" spans="1:3">
      <c r="A58" s="8" t="s">
        <v>1276</v>
      </c>
      <c r="B58" s="9" t="s">
        <v>1277</v>
      </c>
      <c r="C58" s="10" t="s">
        <v>5786</v>
      </c>
    </row>
    <row r="59" spans="1:3">
      <c r="A59" s="8" t="s">
        <v>126</v>
      </c>
      <c r="B59" s="9" t="s">
        <v>127</v>
      </c>
      <c r="C59" s="10" t="s">
        <v>128</v>
      </c>
    </row>
    <row r="60" spans="1:3">
      <c r="A60" s="8" t="s">
        <v>4362</v>
      </c>
      <c r="B60" s="9" t="s">
        <v>4363</v>
      </c>
      <c r="C60" s="10" t="s">
        <v>4364</v>
      </c>
    </row>
    <row r="61" spans="1:3">
      <c r="A61" s="8" t="s">
        <v>4376</v>
      </c>
      <c r="B61" s="9" t="s">
        <v>4377</v>
      </c>
      <c r="C61" s="10" t="s">
        <v>4378</v>
      </c>
    </row>
    <row r="62" spans="1:3">
      <c r="A62" s="8" t="s">
        <v>4549</v>
      </c>
      <c r="B62" s="9" t="s">
        <v>4550</v>
      </c>
      <c r="C62" s="10" t="s">
        <v>4551</v>
      </c>
    </row>
    <row r="63" spans="1:3">
      <c r="A63" s="8" t="s">
        <v>2864</v>
      </c>
      <c r="B63" s="9" t="s">
        <v>2865</v>
      </c>
      <c r="C63" s="10" t="s">
        <v>2769</v>
      </c>
    </row>
    <row r="64" spans="1:3">
      <c r="A64" s="8" t="s">
        <v>2866</v>
      </c>
      <c r="B64" s="9" t="s">
        <v>2867</v>
      </c>
      <c r="C64" s="10" t="s">
        <v>2868</v>
      </c>
    </row>
    <row r="65" spans="1:3">
      <c r="A65" s="8" t="s">
        <v>2131</v>
      </c>
      <c r="B65" s="9" t="s">
        <v>2132</v>
      </c>
      <c r="C65" s="10" t="s">
        <v>2132</v>
      </c>
    </row>
    <row r="66" spans="1:3">
      <c r="A66" s="8" t="s">
        <v>5576</v>
      </c>
      <c r="B66" s="9" t="s">
        <v>5575</v>
      </c>
      <c r="C66" s="10" t="s">
        <v>5783</v>
      </c>
    </row>
    <row r="67" spans="1:3">
      <c r="A67" s="8" t="s">
        <v>2056</v>
      </c>
      <c r="B67" s="9" t="s">
        <v>2057</v>
      </c>
      <c r="C67" s="10" t="s">
        <v>2058</v>
      </c>
    </row>
    <row r="68" spans="1:3">
      <c r="A68" s="8" t="s">
        <v>1565</v>
      </c>
      <c r="B68" s="9" t="s">
        <v>1566</v>
      </c>
      <c r="C68" s="10" t="s">
        <v>1567</v>
      </c>
    </row>
    <row r="69" spans="1:3">
      <c r="A69" s="8" t="s">
        <v>1556</v>
      </c>
      <c r="B69" s="9" t="s">
        <v>1557</v>
      </c>
      <c r="C69" s="10" t="s">
        <v>1558</v>
      </c>
    </row>
    <row r="70" spans="1:3">
      <c r="A70" s="8" t="s">
        <v>2525</v>
      </c>
      <c r="B70" s="9" t="s">
        <v>2526</v>
      </c>
      <c r="C70" s="10" t="s">
        <v>2527</v>
      </c>
    </row>
    <row r="71" spans="1:3">
      <c r="A71" s="8" t="s">
        <v>3740</v>
      </c>
      <c r="B71" s="9" t="s">
        <v>3741</v>
      </c>
      <c r="C71" s="10" t="s">
        <v>3742</v>
      </c>
    </row>
    <row r="72" spans="1:3">
      <c r="A72" s="8" t="s">
        <v>3606</v>
      </c>
      <c r="B72" s="9" t="s">
        <v>3607</v>
      </c>
      <c r="C72" s="10" t="s">
        <v>3608</v>
      </c>
    </row>
    <row r="73" spans="1:3">
      <c r="A73" s="8" t="s">
        <v>5079</v>
      </c>
      <c r="B73" s="9" t="s">
        <v>5080</v>
      </c>
      <c r="C73" s="10" t="s">
        <v>5081</v>
      </c>
    </row>
    <row r="74" spans="1:3">
      <c r="A74" s="8" t="s">
        <v>2184</v>
      </c>
      <c r="B74" s="9" t="s">
        <v>2185</v>
      </c>
      <c r="C74" s="10" t="s">
        <v>2186</v>
      </c>
    </row>
    <row r="75" spans="1:3">
      <c r="A75" s="8" t="s">
        <v>3788</v>
      </c>
      <c r="B75" s="9" t="s">
        <v>3789</v>
      </c>
      <c r="C75" s="10" t="s">
        <v>3790</v>
      </c>
    </row>
    <row r="76" spans="1:3">
      <c r="A76" s="8" t="s">
        <v>3981</v>
      </c>
      <c r="B76" s="9" t="s">
        <v>3982</v>
      </c>
      <c r="C76" s="10" t="s">
        <v>3983</v>
      </c>
    </row>
    <row r="77" spans="1:3">
      <c r="A77" s="8" t="s">
        <v>3984</v>
      </c>
      <c r="B77" s="9" t="s">
        <v>3982</v>
      </c>
      <c r="C77" s="10" t="s">
        <v>3983</v>
      </c>
    </row>
    <row r="78" spans="1:3">
      <c r="A78" s="8" t="s">
        <v>3918</v>
      </c>
      <c r="B78" s="9" t="s">
        <v>3919</v>
      </c>
      <c r="C78" s="10" t="s">
        <v>3920</v>
      </c>
    </row>
    <row r="79" spans="1:3">
      <c r="A79" s="8" t="s">
        <v>3728</v>
      </c>
      <c r="B79" s="9" t="s">
        <v>3729</v>
      </c>
      <c r="C79" s="10" t="s">
        <v>3730</v>
      </c>
    </row>
    <row r="80" spans="1:3">
      <c r="A80" s="8" t="s">
        <v>4659</v>
      </c>
      <c r="B80" s="9" t="s">
        <v>4660</v>
      </c>
      <c r="C80" s="10" t="s">
        <v>4661</v>
      </c>
    </row>
    <row r="81" spans="1:3">
      <c r="A81" s="8" t="s">
        <v>3743</v>
      </c>
      <c r="B81" s="9" t="s">
        <v>3741</v>
      </c>
      <c r="C81" s="10" t="s">
        <v>3742</v>
      </c>
    </row>
    <row r="82" spans="1:3">
      <c r="A82" s="8" t="s">
        <v>3750</v>
      </c>
      <c r="B82" s="9" t="s">
        <v>3751</v>
      </c>
      <c r="C82" s="10" t="s">
        <v>3752</v>
      </c>
    </row>
    <row r="83" spans="1:3">
      <c r="A83" s="8" t="s">
        <v>3632</v>
      </c>
      <c r="B83" s="9" t="s">
        <v>3633</v>
      </c>
      <c r="C83" s="10" t="s">
        <v>7</v>
      </c>
    </row>
    <row r="84" spans="1:3">
      <c r="A84" s="8" t="s">
        <v>3609</v>
      </c>
      <c r="B84" s="9" t="s">
        <v>3607</v>
      </c>
      <c r="C84" s="10" t="s">
        <v>3608</v>
      </c>
    </row>
    <row r="85" spans="1:3">
      <c r="A85" s="8" t="s">
        <v>4518</v>
      </c>
      <c r="B85" s="9" t="s">
        <v>4519</v>
      </c>
      <c r="C85" s="10" t="s">
        <v>4520</v>
      </c>
    </row>
    <row r="86" spans="1:3">
      <c r="A86" s="8" t="s">
        <v>5381</v>
      </c>
      <c r="B86" s="9" t="s">
        <v>5382</v>
      </c>
      <c r="C86" s="10" t="s">
        <v>5383</v>
      </c>
    </row>
    <row r="87" spans="1:3">
      <c r="A87" s="8" t="s">
        <v>5358</v>
      </c>
      <c r="B87" s="9" t="s">
        <v>5359</v>
      </c>
      <c r="C87" s="10" t="s">
        <v>5360</v>
      </c>
    </row>
    <row r="88" spans="1:3">
      <c r="A88" s="8" t="s">
        <v>5604</v>
      </c>
      <c r="B88" s="9" t="s">
        <v>5605</v>
      </c>
      <c r="C88" s="10" t="s">
        <v>5590</v>
      </c>
    </row>
    <row r="89" spans="1:3">
      <c r="A89" s="8" t="s">
        <v>5588</v>
      </c>
      <c r="B89" s="9" t="s">
        <v>5589</v>
      </c>
      <c r="C89" s="10" t="s">
        <v>5590</v>
      </c>
    </row>
    <row r="90" spans="1:3">
      <c r="A90" s="8" t="s">
        <v>1520</v>
      </c>
      <c r="B90" s="9" t="s">
        <v>1521</v>
      </c>
      <c r="C90" s="10" t="s">
        <v>1522</v>
      </c>
    </row>
    <row r="91" spans="1:3">
      <c r="A91" s="8" t="s">
        <v>4584</v>
      </c>
      <c r="B91" s="9" t="s">
        <v>4585</v>
      </c>
      <c r="C91" s="10" t="s">
        <v>4411</v>
      </c>
    </row>
    <row r="92" spans="1:3">
      <c r="A92" s="8" t="s">
        <v>4463</v>
      </c>
      <c r="B92" s="9" t="s">
        <v>4464</v>
      </c>
      <c r="C92" s="10" t="s">
        <v>4465</v>
      </c>
    </row>
    <row r="93" spans="1:3">
      <c r="A93" s="8" t="s">
        <v>4586</v>
      </c>
      <c r="B93" s="9" t="s">
        <v>4585</v>
      </c>
      <c r="C93" s="10" t="s">
        <v>4411</v>
      </c>
    </row>
    <row r="94" spans="1:3">
      <c r="A94" s="8" t="s">
        <v>4382</v>
      </c>
      <c r="B94" s="9" t="s">
        <v>4383</v>
      </c>
      <c r="C94" s="10" t="s">
        <v>4384</v>
      </c>
    </row>
    <row r="95" spans="1:3">
      <c r="A95" s="8" t="s">
        <v>4597</v>
      </c>
      <c r="B95" s="9" t="s">
        <v>4598</v>
      </c>
      <c r="C95" s="10" t="s">
        <v>4599</v>
      </c>
    </row>
    <row r="96" spans="1:3">
      <c r="A96" s="8" t="s">
        <v>4587</v>
      </c>
      <c r="B96" s="9" t="s">
        <v>4588</v>
      </c>
      <c r="C96" s="10" t="s">
        <v>4589</v>
      </c>
    </row>
    <row r="97" spans="1:3">
      <c r="A97" s="8" t="s">
        <v>2148</v>
      </c>
      <c r="B97" s="9" t="s">
        <v>2149</v>
      </c>
      <c r="C97" s="10" t="s">
        <v>5787</v>
      </c>
    </row>
    <row r="98" spans="1:3">
      <c r="A98" s="8" t="s">
        <v>2287</v>
      </c>
      <c r="B98" s="9" t="s">
        <v>2288</v>
      </c>
      <c r="C98" s="10" t="s">
        <v>2288</v>
      </c>
    </row>
    <row r="99" spans="1:3">
      <c r="A99" s="8" t="s">
        <v>2400</v>
      </c>
      <c r="B99" s="9" t="s">
        <v>2401</v>
      </c>
      <c r="C99" s="10" t="s">
        <v>2402</v>
      </c>
    </row>
    <row r="100" spans="1:3">
      <c r="A100" s="8" t="s">
        <v>2289</v>
      </c>
      <c r="B100" s="9" t="s">
        <v>2288</v>
      </c>
      <c r="C100" s="10" t="s">
        <v>2288</v>
      </c>
    </row>
    <row r="101" spans="1:3">
      <c r="A101" s="8" t="s">
        <v>535</v>
      </c>
      <c r="B101" s="9" t="s">
        <v>536</v>
      </c>
      <c r="C101" s="10" t="s">
        <v>537</v>
      </c>
    </row>
    <row r="102" spans="1:3">
      <c r="A102" s="8" t="s">
        <v>2290</v>
      </c>
      <c r="B102" s="9" t="s">
        <v>2288</v>
      </c>
      <c r="C102" s="10" t="s">
        <v>2288</v>
      </c>
    </row>
    <row r="103" spans="1:3">
      <c r="A103" s="8" t="s">
        <v>1123</v>
      </c>
      <c r="B103" s="9" t="s">
        <v>1124</v>
      </c>
      <c r="C103" s="10" t="s">
        <v>1115</v>
      </c>
    </row>
    <row r="104" spans="1:3">
      <c r="A104" s="8" t="s">
        <v>1113</v>
      </c>
      <c r="B104" s="9" t="s">
        <v>1114</v>
      </c>
      <c r="C104" s="10" t="s">
        <v>1115</v>
      </c>
    </row>
    <row r="105" spans="1:3">
      <c r="A105" s="8" t="s">
        <v>1004</v>
      </c>
      <c r="B105" s="9" t="s">
        <v>1005</v>
      </c>
      <c r="C105" s="10" t="s">
        <v>5788</v>
      </c>
    </row>
    <row r="106" spans="1:3">
      <c r="A106" s="8" t="s">
        <v>4071</v>
      </c>
      <c r="B106" s="9" t="s">
        <v>4072</v>
      </c>
      <c r="C106" s="10" t="s">
        <v>4073</v>
      </c>
    </row>
    <row r="107" spans="1:3">
      <c r="A107" s="8" t="s">
        <v>2156</v>
      </c>
      <c r="B107" s="9" t="s">
        <v>2157</v>
      </c>
      <c r="C107" s="10" t="s">
        <v>2158</v>
      </c>
    </row>
    <row r="108" spans="1:3">
      <c r="A108" s="8" t="s">
        <v>2153</v>
      </c>
      <c r="B108" s="9" t="s">
        <v>2154</v>
      </c>
      <c r="C108" s="10" t="s">
        <v>2155</v>
      </c>
    </row>
    <row r="109" spans="1:3">
      <c r="A109" s="8" t="s">
        <v>546</v>
      </c>
      <c r="B109" s="9" t="s">
        <v>547</v>
      </c>
      <c r="C109" s="10" t="s">
        <v>548</v>
      </c>
    </row>
    <row r="110" spans="1:3">
      <c r="A110" s="8" t="s">
        <v>5399</v>
      </c>
      <c r="B110" s="9" t="s">
        <v>5400</v>
      </c>
      <c r="C110" s="10" t="s">
        <v>5401</v>
      </c>
    </row>
    <row r="111" spans="1:3">
      <c r="A111" s="8" t="s">
        <v>4385</v>
      </c>
      <c r="B111" s="9" t="s">
        <v>4386</v>
      </c>
      <c r="C111" s="10" t="s">
        <v>4387</v>
      </c>
    </row>
    <row r="112" spans="1:3">
      <c r="A112" s="8" t="s">
        <v>4420</v>
      </c>
      <c r="B112" s="9" t="s">
        <v>4421</v>
      </c>
      <c r="C112" s="10" t="s">
        <v>4422</v>
      </c>
    </row>
    <row r="113" spans="1:3">
      <c r="A113" s="8" t="s">
        <v>5257</v>
      </c>
      <c r="B113" s="9" t="s">
        <v>5258</v>
      </c>
      <c r="C113" s="10" t="s">
        <v>5259</v>
      </c>
    </row>
    <row r="114" spans="1:3">
      <c r="A114" s="8" t="s">
        <v>5413</v>
      </c>
      <c r="B114" s="9" t="s">
        <v>5414</v>
      </c>
      <c r="C114" s="10" t="s">
        <v>5789</v>
      </c>
    </row>
    <row r="115" spans="1:3">
      <c r="A115" s="8" t="s">
        <v>5601</v>
      </c>
      <c r="B115" s="9" t="s">
        <v>5602</v>
      </c>
      <c r="C115" s="10" t="s">
        <v>5603</v>
      </c>
    </row>
    <row r="116" spans="1:3">
      <c r="A116" s="8" t="s">
        <v>5408</v>
      </c>
      <c r="B116" s="9" t="s">
        <v>5409</v>
      </c>
      <c r="C116" s="10" t="s">
        <v>5790</v>
      </c>
    </row>
    <row r="117" spans="1:3">
      <c r="A117" s="8" t="s">
        <v>5405</v>
      </c>
      <c r="B117" s="9" t="s">
        <v>5406</v>
      </c>
      <c r="C117" s="10" t="s">
        <v>5407</v>
      </c>
    </row>
    <row r="118" spans="1:3">
      <c r="A118" s="8" t="s">
        <v>1517</v>
      </c>
      <c r="B118" s="9" t="s">
        <v>1518</v>
      </c>
      <c r="C118" s="10" t="s">
        <v>1519</v>
      </c>
    </row>
    <row r="119" spans="1:3">
      <c r="A119" s="8" t="s">
        <v>1492</v>
      </c>
      <c r="B119" s="9" t="s">
        <v>1493</v>
      </c>
      <c r="C119" s="10" t="s">
        <v>1494</v>
      </c>
    </row>
    <row r="120" spans="1:3">
      <c r="A120" s="8" t="s">
        <v>3547</v>
      </c>
      <c r="B120" s="9" t="s">
        <v>3548</v>
      </c>
      <c r="C120" s="10" t="s">
        <v>3549</v>
      </c>
    </row>
    <row r="121" spans="1:3">
      <c r="A121" s="8" t="s">
        <v>529</v>
      </c>
      <c r="B121" s="9" t="s">
        <v>530</v>
      </c>
      <c r="C121" s="10" t="s">
        <v>531</v>
      </c>
    </row>
    <row r="122" spans="1:3">
      <c r="A122" s="8" t="s">
        <v>4929</v>
      </c>
      <c r="B122" s="9" t="s">
        <v>4930</v>
      </c>
      <c r="C122" s="10" t="s">
        <v>4931</v>
      </c>
    </row>
    <row r="123" spans="1:3">
      <c r="A123" s="8" t="s">
        <v>1785</v>
      </c>
      <c r="B123" s="9" t="s">
        <v>1786</v>
      </c>
      <c r="C123" s="10" t="s">
        <v>1787</v>
      </c>
    </row>
    <row r="124" spans="1:3">
      <c r="A124" s="8" t="s">
        <v>4615</v>
      </c>
      <c r="B124" s="9" t="s">
        <v>4616</v>
      </c>
      <c r="C124" s="10" t="s">
        <v>4617</v>
      </c>
    </row>
    <row r="125" spans="1:3">
      <c r="A125" s="8" t="s">
        <v>5043</v>
      </c>
      <c r="B125" s="9" t="s">
        <v>5044</v>
      </c>
      <c r="C125" s="10" t="s">
        <v>5791</v>
      </c>
    </row>
    <row r="126" spans="1:3">
      <c r="A126" s="8" t="s">
        <v>1267</v>
      </c>
      <c r="B126" s="9" t="s">
        <v>1268</v>
      </c>
      <c r="C126" s="10" t="s">
        <v>1269</v>
      </c>
    </row>
    <row r="127" spans="1:3">
      <c r="A127" s="8" t="s">
        <v>1270</v>
      </c>
      <c r="B127" s="9" t="s">
        <v>1268</v>
      </c>
      <c r="C127" s="10" t="s">
        <v>1269</v>
      </c>
    </row>
    <row r="128" spans="1:3">
      <c r="A128" s="8" t="s">
        <v>286</v>
      </c>
      <c r="B128" s="9" t="s">
        <v>287</v>
      </c>
      <c r="C128" s="10" t="s">
        <v>288</v>
      </c>
    </row>
    <row r="129" spans="1:3">
      <c r="A129" s="8" t="s">
        <v>377</v>
      </c>
      <c r="B129" s="9" t="s">
        <v>378</v>
      </c>
      <c r="C129" s="10" t="s">
        <v>379</v>
      </c>
    </row>
    <row r="130" spans="1:3">
      <c r="A130" s="8" t="s">
        <v>259</v>
      </c>
      <c r="B130" s="9" t="s">
        <v>260</v>
      </c>
      <c r="C130" s="10" t="s">
        <v>261</v>
      </c>
    </row>
    <row r="131" spans="1:3">
      <c r="A131" s="8" t="s">
        <v>386</v>
      </c>
      <c r="B131" s="9" t="s">
        <v>387</v>
      </c>
      <c r="C131" s="10" t="s">
        <v>388</v>
      </c>
    </row>
    <row r="132" spans="1:3">
      <c r="A132" s="8" t="s">
        <v>1247</v>
      </c>
      <c r="B132" s="9" t="s">
        <v>1248</v>
      </c>
      <c r="C132" s="10" t="s">
        <v>1249</v>
      </c>
    </row>
    <row r="133" spans="1:3">
      <c r="A133" s="8" t="s">
        <v>1250</v>
      </c>
      <c r="B133" s="9" t="s">
        <v>1248</v>
      </c>
      <c r="C133" s="10" t="s">
        <v>1249</v>
      </c>
    </row>
    <row r="134" spans="1:3">
      <c r="A134" s="8" t="s">
        <v>5069</v>
      </c>
      <c r="B134" s="9" t="s">
        <v>5070</v>
      </c>
      <c r="C134" s="10" t="s">
        <v>5071</v>
      </c>
    </row>
    <row r="135" spans="1:3">
      <c r="A135" s="8" t="s">
        <v>3378</v>
      </c>
      <c r="B135" s="9" t="s">
        <v>3379</v>
      </c>
      <c r="C135" s="10" t="s">
        <v>3380</v>
      </c>
    </row>
    <row r="136" spans="1:3">
      <c r="A136" s="8" t="s">
        <v>4109</v>
      </c>
      <c r="B136" s="9" t="s">
        <v>4107</v>
      </c>
      <c r="C136" s="10" t="s">
        <v>4108</v>
      </c>
    </row>
    <row r="137" spans="1:3">
      <c r="A137" s="8" t="s">
        <v>796</v>
      </c>
      <c r="B137" s="9" t="s">
        <v>797</v>
      </c>
      <c r="C137" s="10" t="s">
        <v>798</v>
      </c>
    </row>
    <row r="138" spans="1:3">
      <c r="A138" s="8" t="s">
        <v>389</v>
      </c>
      <c r="B138" s="9" t="s">
        <v>390</v>
      </c>
      <c r="C138" s="10" t="s">
        <v>391</v>
      </c>
    </row>
    <row r="139" spans="1:3">
      <c r="A139" s="8" t="s">
        <v>392</v>
      </c>
      <c r="B139" s="9" t="s">
        <v>393</v>
      </c>
      <c r="C139" s="10" t="s">
        <v>394</v>
      </c>
    </row>
    <row r="140" spans="1:3">
      <c r="A140" s="8" t="s">
        <v>1094</v>
      </c>
      <c r="B140" s="9" t="s">
        <v>1095</v>
      </c>
      <c r="C140" s="10" t="s">
        <v>1096</v>
      </c>
    </row>
    <row r="141" spans="1:3">
      <c r="A141" s="8" t="s">
        <v>4590</v>
      </c>
      <c r="B141" s="9" t="s">
        <v>4591</v>
      </c>
      <c r="C141" s="10" t="s">
        <v>4592</v>
      </c>
    </row>
    <row r="142" spans="1:3">
      <c r="A142" s="8" t="s">
        <v>46</v>
      </c>
      <c r="B142" s="9" t="s">
        <v>47</v>
      </c>
      <c r="C142" s="10" t="s">
        <v>48</v>
      </c>
    </row>
    <row r="143" spans="1:3">
      <c r="A143" s="8" t="s">
        <v>368</v>
      </c>
      <c r="B143" s="9" t="s">
        <v>369</v>
      </c>
      <c r="C143" s="10" t="s">
        <v>370</v>
      </c>
    </row>
    <row r="144" spans="1:3">
      <c r="A144" s="8" t="s">
        <v>1945</v>
      </c>
      <c r="B144" s="9" t="s">
        <v>1946</v>
      </c>
      <c r="C144" s="10" t="s">
        <v>1946</v>
      </c>
    </row>
    <row r="145" spans="1:3">
      <c r="A145" s="8" t="s">
        <v>2942</v>
      </c>
      <c r="B145" s="9" t="s">
        <v>2943</v>
      </c>
      <c r="C145" s="10" t="s">
        <v>2944</v>
      </c>
    </row>
    <row r="146" spans="1:3">
      <c r="A146" s="8" t="s">
        <v>2604</v>
      </c>
      <c r="B146" s="9" t="s">
        <v>2605</v>
      </c>
      <c r="C146" s="10" t="s">
        <v>2606</v>
      </c>
    </row>
    <row r="147" spans="1:3">
      <c r="A147" s="8" t="s">
        <v>4104</v>
      </c>
      <c r="B147" s="9" t="s">
        <v>4105</v>
      </c>
      <c r="C147" s="10" t="s">
        <v>3938</v>
      </c>
    </row>
    <row r="148" spans="1:3">
      <c r="A148" s="8" t="s">
        <v>3686</v>
      </c>
      <c r="B148" s="9" t="s">
        <v>3687</v>
      </c>
      <c r="C148" s="10" t="s">
        <v>3688</v>
      </c>
    </row>
    <row r="149" spans="1:3">
      <c r="A149" s="8" t="s">
        <v>3336</v>
      </c>
      <c r="B149" s="9" t="s">
        <v>3337</v>
      </c>
      <c r="C149" s="10" t="s">
        <v>3338</v>
      </c>
    </row>
    <row r="150" spans="1:3">
      <c r="A150" s="8" t="s">
        <v>3333</v>
      </c>
      <c r="B150" s="9" t="s">
        <v>3334</v>
      </c>
      <c r="C150" s="10" t="s">
        <v>3335</v>
      </c>
    </row>
    <row r="151" spans="1:3">
      <c r="A151" s="8" t="s">
        <v>3823</v>
      </c>
      <c r="B151" s="9" t="s">
        <v>3824</v>
      </c>
      <c r="C151" s="10" t="s">
        <v>3825</v>
      </c>
    </row>
    <row r="152" spans="1:3">
      <c r="A152" s="8" t="s">
        <v>5596</v>
      </c>
      <c r="B152" s="9" t="s">
        <v>5597</v>
      </c>
      <c r="C152" s="10" t="s">
        <v>5792</v>
      </c>
    </row>
    <row r="153" spans="1:3">
      <c r="A153" s="8" t="s">
        <v>2120</v>
      </c>
      <c r="B153" s="9" t="s">
        <v>2121</v>
      </c>
      <c r="C153" s="10" t="s">
        <v>2122</v>
      </c>
    </row>
    <row r="154" spans="1:3">
      <c r="A154" s="8" t="s">
        <v>891</v>
      </c>
      <c r="B154" s="9" t="s">
        <v>892</v>
      </c>
      <c r="C154" s="10" t="s">
        <v>893</v>
      </c>
    </row>
    <row r="155" spans="1:3">
      <c r="A155" s="8" t="s">
        <v>1608</v>
      </c>
      <c r="B155" s="9" t="s">
        <v>1609</v>
      </c>
      <c r="C155" s="10" t="s">
        <v>1610</v>
      </c>
    </row>
    <row r="156" spans="1:3">
      <c r="A156" s="8" t="s">
        <v>2321</v>
      </c>
      <c r="B156" s="9" t="s">
        <v>2322</v>
      </c>
      <c r="C156" s="10" t="s">
        <v>2323</v>
      </c>
    </row>
    <row r="157" spans="1:3">
      <c r="A157" s="8" t="s">
        <v>684</v>
      </c>
      <c r="B157" s="9" t="s">
        <v>685</v>
      </c>
      <c r="C157" s="10" t="s">
        <v>686</v>
      </c>
    </row>
    <row r="158" spans="1:3">
      <c r="A158" s="8" t="s">
        <v>826</v>
      </c>
      <c r="B158" s="9" t="s">
        <v>827</v>
      </c>
      <c r="C158" s="10" t="s">
        <v>828</v>
      </c>
    </row>
    <row r="159" spans="1:3">
      <c r="A159" s="8" t="s">
        <v>2936</v>
      </c>
      <c r="B159" s="9" t="s">
        <v>2937</v>
      </c>
      <c r="C159" s="10" t="s">
        <v>2938</v>
      </c>
    </row>
    <row r="160" spans="1:3">
      <c r="A160" s="8" t="s">
        <v>206</v>
      </c>
      <c r="B160" s="9" t="s">
        <v>205</v>
      </c>
      <c r="C160" s="10" t="s">
        <v>5782</v>
      </c>
    </row>
    <row r="161" spans="1:3">
      <c r="A161" s="8" t="s">
        <v>49</v>
      </c>
      <c r="B161" s="9" t="s">
        <v>47</v>
      </c>
      <c r="C161" s="10" t="s">
        <v>48</v>
      </c>
    </row>
    <row r="162" spans="1:3">
      <c r="A162" s="8" t="s">
        <v>756</v>
      </c>
      <c r="B162" s="9" t="s">
        <v>757</v>
      </c>
      <c r="C162" s="10" t="s">
        <v>758</v>
      </c>
    </row>
    <row r="163" spans="1:3">
      <c r="A163" s="8" t="s">
        <v>765</v>
      </c>
      <c r="B163" s="9" t="s">
        <v>766</v>
      </c>
      <c r="C163" s="10" t="s">
        <v>5793</v>
      </c>
    </row>
    <row r="164" spans="1:3">
      <c r="A164" s="8" t="s">
        <v>2133</v>
      </c>
      <c r="B164" s="9" t="s">
        <v>2134</v>
      </c>
      <c r="C164" s="9" t="s">
        <v>2134</v>
      </c>
    </row>
    <row r="165" spans="1:3">
      <c r="A165" s="8" t="s">
        <v>896</v>
      </c>
      <c r="B165" s="9" t="s">
        <v>897</v>
      </c>
      <c r="C165" s="10" t="s">
        <v>898</v>
      </c>
    </row>
    <row r="166" spans="1:3">
      <c r="A166" s="8" t="s">
        <v>1006</v>
      </c>
      <c r="B166" s="9" t="s">
        <v>1005</v>
      </c>
      <c r="C166" s="10" t="s">
        <v>5788</v>
      </c>
    </row>
    <row r="167" spans="1:3">
      <c r="A167" s="8" t="s">
        <v>1160</v>
      </c>
      <c r="B167" s="9" t="s">
        <v>1161</v>
      </c>
      <c r="C167" s="10" t="s">
        <v>1162</v>
      </c>
    </row>
    <row r="168" spans="1:3">
      <c r="A168" s="8" t="s">
        <v>1139</v>
      </c>
      <c r="B168" s="9" t="s">
        <v>1140</v>
      </c>
      <c r="C168" s="10" t="s">
        <v>1141</v>
      </c>
    </row>
    <row r="169" spans="1:3">
      <c r="A169" s="8" t="s">
        <v>1156</v>
      </c>
      <c r="B169" s="9" t="s">
        <v>1157</v>
      </c>
      <c r="C169" s="10" t="s">
        <v>1158</v>
      </c>
    </row>
    <row r="170" spans="1:3">
      <c r="A170" s="8" t="s">
        <v>1153</v>
      </c>
      <c r="B170" s="9" t="s">
        <v>1154</v>
      </c>
      <c r="C170" s="10" t="s">
        <v>1155</v>
      </c>
    </row>
    <row r="171" spans="1:3">
      <c r="A171" s="8" t="s">
        <v>2003</v>
      </c>
      <c r="B171" s="9" t="s">
        <v>2004</v>
      </c>
      <c r="C171" s="10" t="s">
        <v>1996</v>
      </c>
    </row>
    <row r="172" spans="1:3">
      <c r="A172" s="8" t="s">
        <v>2005</v>
      </c>
      <c r="B172" s="9" t="s">
        <v>2006</v>
      </c>
      <c r="C172" s="10" t="s">
        <v>2007</v>
      </c>
    </row>
    <row r="173" spans="1:3">
      <c r="A173" s="8" t="s">
        <v>3163</v>
      </c>
      <c r="B173" s="9" t="s">
        <v>3164</v>
      </c>
      <c r="C173" s="10" t="s">
        <v>3165</v>
      </c>
    </row>
    <row r="174" spans="1:3">
      <c r="A174" s="8" t="s">
        <v>65</v>
      </c>
      <c r="B174" s="9" t="s">
        <v>66</v>
      </c>
      <c r="C174" s="10" t="s">
        <v>10</v>
      </c>
    </row>
    <row r="175" spans="1:3">
      <c r="A175" s="8" t="s">
        <v>65</v>
      </c>
      <c r="B175" s="9" t="s">
        <v>66</v>
      </c>
      <c r="C175" s="10" t="s">
        <v>10</v>
      </c>
    </row>
    <row r="176" spans="1:3">
      <c r="A176" s="8" t="s">
        <v>8</v>
      </c>
      <c r="B176" s="9" t="s">
        <v>9</v>
      </c>
      <c r="C176" s="10" t="s">
        <v>10</v>
      </c>
    </row>
    <row r="177" spans="1:3">
      <c r="A177" s="8" t="s">
        <v>1587</v>
      </c>
      <c r="B177" s="9" t="s">
        <v>1588</v>
      </c>
      <c r="C177" s="10" t="s">
        <v>1589</v>
      </c>
    </row>
    <row r="178" spans="1:3">
      <c r="A178" s="8" t="s">
        <v>2162</v>
      </c>
      <c r="B178" s="9" t="s">
        <v>2163</v>
      </c>
      <c r="C178" s="10" t="s">
        <v>5794</v>
      </c>
    </row>
    <row r="179" spans="1:3">
      <c r="A179" s="8" t="s">
        <v>4757</v>
      </c>
      <c r="B179" s="9" t="s">
        <v>4758</v>
      </c>
      <c r="C179" s="10" t="s">
        <v>4759</v>
      </c>
    </row>
    <row r="180" spans="1:3">
      <c r="A180" s="8" t="s">
        <v>1129</v>
      </c>
      <c r="B180" s="9" t="s">
        <v>1130</v>
      </c>
      <c r="C180" s="10" t="s">
        <v>5795</v>
      </c>
    </row>
    <row r="181" spans="1:3">
      <c r="A181" s="8" t="s">
        <v>2375</v>
      </c>
      <c r="B181" s="9" t="s">
        <v>2376</v>
      </c>
      <c r="C181" s="10" t="s">
        <v>2377</v>
      </c>
    </row>
    <row r="182" spans="1:3">
      <c r="A182" s="8" t="s">
        <v>2378</v>
      </c>
      <c r="B182" s="9" t="s">
        <v>2376</v>
      </c>
      <c r="C182" s="10" t="s">
        <v>2377</v>
      </c>
    </row>
    <row r="183" spans="1:3">
      <c r="A183" s="8" t="s">
        <v>5415</v>
      </c>
      <c r="B183" s="9" t="s">
        <v>5414</v>
      </c>
      <c r="C183" s="10" t="s">
        <v>5789</v>
      </c>
    </row>
    <row r="184" spans="1:3">
      <c r="A184" s="8" t="s">
        <v>1875</v>
      </c>
      <c r="B184" s="9" t="s">
        <v>1876</v>
      </c>
      <c r="C184" s="10" t="s">
        <v>1877</v>
      </c>
    </row>
    <row r="185" spans="1:3">
      <c r="A185" s="8" t="s">
        <v>2363</v>
      </c>
      <c r="B185" s="9" t="s">
        <v>2364</v>
      </c>
      <c r="C185" s="10" t="s">
        <v>2365</v>
      </c>
    </row>
    <row r="186" spans="1:3">
      <c r="A186" s="8" t="s">
        <v>1671</v>
      </c>
      <c r="B186" s="9" t="s">
        <v>1672</v>
      </c>
      <c r="C186" s="10" t="s">
        <v>1673</v>
      </c>
    </row>
    <row r="187" spans="1:3">
      <c r="A187" s="8" t="s">
        <v>5549</v>
      </c>
      <c r="B187" s="9" t="s">
        <v>5550</v>
      </c>
      <c r="C187" s="10" t="s">
        <v>5551</v>
      </c>
    </row>
    <row r="188" spans="1:3">
      <c r="A188" s="8" t="s">
        <v>972</v>
      </c>
      <c r="B188" s="9" t="s">
        <v>973</v>
      </c>
      <c r="C188" s="10" t="s">
        <v>974</v>
      </c>
    </row>
    <row r="189" spans="1:3">
      <c r="A189" s="8" t="s">
        <v>608</v>
      </c>
      <c r="B189" s="9" t="s">
        <v>609</v>
      </c>
      <c r="C189" s="10" t="s">
        <v>610</v>
      </c>
    </row>
    <row r="190" spans="1:3">
      <c r="A190" s="8" t="s">
        <v>2372</v>
      </c>
      <c r="B190" s="9" t="s">
        <v>2373</v>
      </c>
      <c r="C190" s="10" t="s">
        <v>2374</v>
      </c>
    </row>
    <row r="191" spans="1:3">
      <c r="A191" s="8" t="s">
        <v>1970</v>
      </c>
      <c r="B191" s="9" t="s">
        <v>1971</v>
      </c>
      <c r="C191" s="10" t="s">
        <v>1971</v>
      </c>
    </row>
    <row r="192" spans="1:3">
      <c r="A192" s="8" t="s">
        <v>3583</v>
      </c>
      <c r="B192" s="9" t="s">
        <v>3584</v>
      </c>
      <c r="C192" s="10" t="s">
        <v>3585</v>
      </c>
    </row>
    <row r="193" spans="1:3">
      <c r="A193" s="8" t="s">
        <v>1302</v>
      </c>
      <c r="B193" s="9" t="s">
        <v>1303</v>
      </c>
      <c r="C193" s="10" t="s">
        <v>1304</v>
      </c>
    </row>
    <row r="194" spans="1:3">
      <c r="A194" s="8" t="s">
        <v>2190</v>
      </c>
      <c r="B194" s="9" t="s">
        <v>2191</v>
      </c>
      <c r="C194" s="10" t="s">
        <v>2192</v>
      </c>
    </row>
    <row r="195" spans="1:3">
      <c r="A195" s="8" t="s">
        <v>2193</v>
      </c>
      <c r="B195" s="9" t="s">
        <v>2194</v>
      </c>
      <c r="C195" s="10" t="s">
        <v>2195</v>
      </c>
    </row>
    <row r="196" spans="1:3">
      <c r="A196" s="8" t="s">
        <v>2213</v>
      </c>
      <c r="B196" s="9" t="s">
        <v>2214</v>
      </c>
      <c r="C196" s="10" t="s">
        <v>2214</v>
      </c>
    </row>
    <row r="197" spans="1:3">
      <c r="A197" s="8" t="s">
        <v>3875</v>
      </c>
      <c r="B197" s="9" t="s">
        <v>3876</v>
      </c>
      <c r="C197" s="10" t="s">
        <v>3877</v>
      </c>
    </row>
    <row r="198" spans="1:3">
      <c r="A198" s="8" t="s">
        <v>4228</v>
      </c>
      <c r="B198" s="9" t="s">
        <v>4229</v>
      </c>
      <c r="C198" s="10" t="s">
        <v>4230</v>
      </c>
    </row>
    <row r="199" spans="1:3">
      <c r="A199" s="8" t="s">
        <v>5047</v>
      </c>
      <c r="B199" s="9" t="s">
        <v>5048</v>
      </c>
      <c r="C199" s="10" t="s">
        <v>5049</v>
      </c>
    </row>
    <row r="200" spans="1:3">
      <c r="A200" s="8" t="s">
        <v>4221</v>
      </c>
      <c r="B200" s="9" t="s">
        <v>4222</v>
      </c>
      <c r="C200" s="10" t="s">
        <v>4223</v>
      </c>
    </row>
    <row r="201" spans="1:3">
      <c r="A201" s="8" t="s">
        <v>3860</v>
      </c>
      <c r="B201" s="9" t="s">
        <v>3861</v>
      </c>
      <c r="C201" s="10" t="s">
        <v>3862</v>
      </c>
    </row>
    <row r="202" spans="1:3">
      <c r="A202" s="8" t="s">
        <v>4971</v>
      </c>
      <c r="B202" s="9" t="s">
        <v>4972</v>
      </c>
      <c r="C202" s="10" t="s">
        <v>5796</v>
      </c>
    </row>
    <row r="203" spans="1:3">
      <c r="A203" s="8" t="s">
        <v>1913</v>
      </c>
      <c r="B203" s="9" t="s">
        <v>1914</v>
      </c>
      <c r="C203" s="10" t="s">
        <v>1915</v>
      </c>
    </row>
    <row r="204" spans="1:3">
      <c r="A204" s="8" t="s">
        <v>1028</v>
      </c>
      <c r="B204" s="9" t="s">
        <v>1029</v>
      </c>
      <c r="C204" s="10" t="s">
        <v>1030</v>
      </c>
    </row>
    <row r="205" spans="1:3">
      <c r="A205" s="8" t="s">
        <v>541</v>
      </c>
      <c r="B205" s="9" t="s">
        <v>542</v>
      </c>
      <c r="C205" s="10" t="s">
        <v>543</v>
      </c>
    </row>
    <row r="206" spans="1:3">
      <c r="A206" s="8" t="s">
        <v>4174</v>
      </c>
      <c r="B206" s="9" t="s">
        <v>4175</v>
      </c>
      <c r="C206" s="10" t="s">
        <v>4176</v>
      </c>
    </row>
    <row r="207" spans="1:3">
      <c r="A207" s="8" t="s">
        <v>4314</v>
      </c>
      <c r="B207" s="9" t="s">
        <v>4315</v>
      </c>
      <c r="C207" s="10" t="s">
        <v>4316</v>
      </c>
    </row>
    <row r="208" spans="1:3">
      <c r="A208" s="8" t="s">
        <v>4317</v>
      </c>
      <c r="B208" s="9" t="s">
        <v>4315</v>
      </c>
      <c r="C208" s="10" t="s">
        <v>4316</v>
      </c>
    </row>
    <row r="209" spans="1:3">
      <c r="A209" s="8" t="s">
        <v>1125</v>
      </c>
      <c r="B209" s="9" t="s">
        <v>1124</v>
      </c>
      <c r="C209" s="10" t="s">
        <v>1115</v>
      </c>
    </row>
    <row r="210" spans="1:3">
      <c r="A210" s="8" t="s">
        <v>1116</v>
      </c>
      <c r="B210" s="9" t="s">
        <v>1117</v>
      </c>
      <c r="C210" s="10" t="s">
        <v>1118</v>
      </c>
    </row>
    <row r="211" spans="1:3">
      <c r="A211" s="8" t="s">
        <v>1100</v>
      </c>
      <c r="B211" s="9" t="s">
        <v>1101</v>
      </c>
      <c r="C211" s="10" t="s">
        <v>1102</v>
      </c>
    </row>
    <row r="212" spans="1:3">
      <c r="A212" s="8" t="s">
        <v>2624</v>
      </c>
      <c r="B212" s="9" t="s">
        <v>2625</v>
      </c>
      <c r="C212" s="10" t="s">
        <v>2524</v>
      </c>
    </row>
    <row r="213" spans="1:3">
      <c r="A213" s="8" t="s">
        <v>4853</v>
      </c>
      <c r="B213" s="9" t="s">
        <v>4854</v>
      </c>
      <c r="C213" s="10" t="s">
        <v>4855</v>
      </c>
    </row>
    <row r="214" spans="1:3">
      <c r="A214" s="8" t="s">
        <v>3668</v>
      </c>
      <c r="B214" s="9" t="s">
        <v>3669</v>
      </c>
      <c r="C214" s="10" t="s">
        <v>3670</v>
      </c>
    </row>
    <row r="215" spans="1:3">
      <c r="A215" s="8" t="s">
        <v>1942</v>
      </c>
      <c r="B215" s="9" t="s">
        <v>1943</v>
      </c>
      <c r="C215" s="10" t="s">
        <v>1944</v>
      </c>
    </row>
    <row r="216" spans="1:3">
      <c r="A216" s="8" t="s">
        <v>4110</v>
      </c>
      <c r="B216" s="9" t="s">
        <v>4107</v>
      </c>
      <c r="C216" s="10" t="s">
        <v>4108</v>
      </c>
    </row>
    <row r="217" spans="1:3">
      <c r="A217" s="8" t="s">
        <v>4150</v>
      </c>
      <c r="B217" s="9" t="s">
        <v>4151</v>
      </c>
      <c r="C217" s="10" t="s">
        <v>4152</v>
      </c>
    </row>
    <row r="218" spans="1:3">
      <c r="A218" s="8" t="s">
        <v>4511</v>
      </c>
      <c r="B218" s="9" t="s">
        <v>4512</v>
      </c>
      <c r="C218" s="10" t="s">
        <v>4513</v>
      </c>
    </row>
    <row r="219" spans="1:3">
      <c r="A219" s="8" t="s">
        <v>3969</v>
      </c>
      <c r="B219" s="9" t="s">
        <v>3970</v>
      </c>
      <c r="C219" s="10" t="s">
        <v>3971</v>
      </c>
    </row>
    <row r="220" spans="1:3">
      <c r="A220" s="8" t="s">
        <v>1455</v>
      </c>
      <c r="B220" s="9" t="s">
        <v>1456</v>
      </c>
      <c r="C220" s="10" t="s">
        <v>1457</v>
      </c>
    </row>
    <row r="221" spans="1:3">
      <c r="A221" s="8" t="s">
        <v>1022</v>
      </c>
      <c r="B221" s="9" t="s">
        <v>1023</v>
      </c>
      <c r="C221" s="10" t="s">
        <v>1024</v>
      </c>
    </row>
    <row r="222" spans="1:3">
      <c r="A222" s="8" t="s">
        <v>4003</v>
      </c>
      <c r="B222" s="9" t="s">
        <v>4004</v>
      </c>
      <c r="C222" s="10" t="s">
        <v>4005</v>
      </c>
    </row>
    <row r="223" spans="1:3">
      <c r="A223" s="8" t="s">
        <v>2397</v>
      </c>
      <c r="B223" s="9" t="s">
        <v>2398</v>
      </c>
      <c r="C223" s="10" t="s">
        <v>2335</v>
      </c>
    </row>
    <row r="224" spans="1:3">
      <c r="A224" s="8" t="s">
        <v>2399</v>
      </c>
      <c r="B224" s="9" t="s">
        <v>2398</v>
      </c>
      <c r="C224" s="10" t="s">
        <v>2335</v>
      </c>
    </row>
    <row r="225" spans="1:3">
      <c r="A225" s="8" t="s">
        <v>4770</v>
      </c>
      <c r="B225" s="9" t="s">
        <v>4771</v>
      </c>
      <c r="C225" s="10" t="s">
        <v>4772</v>
      </c>
    </row>
    <row r="226" spans="1:3">
      <c r="A226" s="8" t="s">
        <v>3851</v>
      </c>
      <c r="B226" s="9" t="s">
        <v>3852</v>
      </c>
      <c r="C226" s="10" t="s">
        <v>3853</v>
      </c>
    </row>
    <row r="227" spans="1:3">
      <c r="A227" s="8" t="s">
        <v>2165</v>
      </c>
      <c r="B227" s="9" t="s">
        <v>2166</v>
      </c>
      <c r="C227" s="10" t="s">
        <v>5797</v>
      </c>
    </row>
    <row r="228" spans="1:3">
      <c r="A228" s="8" t="s">
        <v>2202</v>
      </c>
      <c r="B228" s="9" t="s">
        <v>2203</v>
      </c>
      <c r="C228" s="10" t="s">
        <v>5798</v>
      </c>
    </row>
    <row r="229" spans="1:3">
      <c r="A229" s="8" t="s">
        <v>2199</v>
      </c>
      <c r="B229" s="9" t="s">
        <v>2200</v>
      </c>
      <c r="C229" s="10" t="s">
        <v>2201</v>
      </c>
    </row>
    <row r="230" spans="1:3">
      <c r="A230" s="8" t="s">
        <v>5451</v>
      </c>
      <c r="B230" s="9" t="s">
        <v>5452</v>
      </c>
      <c r="C230" s="10" t="s">
        <v>5453</v>
      </c>
    </row>
    <row r="231" spans="1:3">
      <c r="A231" s="8" t="s">
        <v>5467</v>
      </c>
      <c r="B231" s="9" t="s">
        <v>5468</v>
      </c>
      <c r="C231" s="10" t="s">
        <v>5799</v>
      </c>
    </row>
    <row r="232" spans="1:3">
      <c r="A232" s="8" t="s">
        <v>3662</v>
      </c>
      <c r="B232" s="9" t="s">
        <v>3663</v>
      </c>
      <c r="C232" s="10" t="s">
        <v>3664</v>
      </c>
    </row>
    <row r="233" spans="1:3">
      <c r="A233" s="8" t="s">
        <v>1611</v>
      </c>
      <c r="B233" s="9" t="s">
        <v>1612</v>
      </c>
      <c r="C233" s="10" t="s">
        <v>1613</v>
      </c>
    </row>
    <row r="234" spans="1:3">
      <c r="A234" s="8" t="s">
        <v>4923</v>
      </c>
      <c r="B234" s="9" t="s">
        <v>4924</v>
      </c>
      <c r="C234" s="10" t="s">
        <v>4925</v>
      </c>
    </row>
    <row r="235" spans="1:3">
      <c r="A235" s="8" t="s">
        <v>3991</v>
      </c>
      <c r="B235" s="9" t="s">
        <v>3992</v>
      </c>
      <c r="C235" s="10" t="s">
        <v>3993</v>
      </c>
    </row>
    <row r="236" spans="1:3">
      <c r="A236" s="8" t="s">
        <v>2295</v>
      </c>
      <c r="B236" s="9" t="s">
        <v>2296</v>
      </c>
      <c r="C236" s="10" t="s">
        <v>5800</v>
      </c>
    </row>
    <row r="237" spans="1:3">
      <c r="A237" s="8" t="s">
        <v>4491</v>
      </c>
      <c r="B237" s="9" t="s">
        <v>4492</v>
      </c>
      <c r="C237" s="10" t="s">
        <v>5801</v>
      </c>
    </row>
    <row r="238" spans="1:3">
      <c r="A238" s="8" t="s">
        <v>4478</v>
      </c>
      <c r="B238" s="9" t="s">
        <v>4479</v>
      </c>
      <c r="C238" s="10" t="s">
        <v>4480</v>
      </c>
    </row>
    <row r="239" spans="1:3">
      <c r="A239" s="8" t="s">
        <v>4484</v>
      </c>
      <c r="B239" s="9" t="s">
        <v>4485</v>
      </c>
      <c r="C239" s="10" t="s">
        <v>4486</v>
      </c>
    </row>
    <row r="240" spans="1:3">
      <c r="A240" s="8" t="s">
        <v>4487</v>
      </c>
      <c r="B240" s="9" t="s">
        <v>4485</v>
      </c>
      <c r="C240" s="10" t="s">
        <v>4486</v>
      </c>
    </row>
    <row r="241" spans="1:3">
      <c r="A241" s="8" t="s">
        <v>4481</v>
      </c>
      <c r="B241" s="9" t="s">
        <v>4482</v>
      </c>
      <c r="C241" s="10" t="s">
        <v>4483</v>
      </c>
    </row>
    <row r="242" spans="1:3">
      <c r="A242" s="8" t="s">
        <v>4466</v>
      </c>
      <c r="B242" s="9" t="s">
        <v>4467</v>
      </c>
      <c r="C242" s="10" t="s">
        <v>4468</v>
      </c>
    </row>
    <row r="243" spans="1:3">
      <c r="A243" s="8" t="s">
        <v>4472</v>
      </c>
      <c r="B243" s="9" t="s">
        <v>4473</v>
      </c>
      <c r="C243" s="10" t="s">
        <v>4474</v>
      </c>
    </row>
    <row r="244" spans="1:3">
      <c r="A244" s="8" t="s">
        <v>2292</v>
      </c>
      <c r="B244" s="9" t="s">
        <v>2293</v>
      </c>
      <c r="C244" s="10" t="s">
        <v>2294</v>
      </c>
    </row>
    <row r="245" spans="1:3">
      <c r="A245" s="8" t="s">
        <v>4493</v>
      </c>
      <c r="B245" s="9" t="s">
        <v>4492</v>
      </c>
      <c r="C245" s="10" t="s">
        <v>5802</v>
      </c>
    </row>
    <row r="246" spans="1:3">
      <c r="A246" s="8" t="s">
        <v>4630</v>
      </c>
      <c r="B246" s="9" t="s">
        <v>4631</v>
      </c>
      <c r="C246" s="10" t="s">
        <v>4632</v>
      </c>
    </row>
    <row r="247" spans="1:3">
      <c r="A247" s="8" t="s">
        <v>4508</v>
      </c>
      <c r="B247" s="9" t="s">
        <v>4509</v>
      </c>
      <c r="C247" s="10" t="s">
        <v>4510</v>
      </c>
    </row>
    <row r="248" spans="1:3">
      <c r="A248" s="8" t="s">
        <v>4488</v>
      </c>
      <c r="B248" s="9" t="s">
        <v>4485</v>
      </c>
      <c r="C248" s="10" t="s">
        <v>4486</v>
      </c>
    </row>
    <row r="249" spans="1:3">
      <c r="A249" s="8" t="s">
        <v>3325</v>
      </c>
      <c r="B249" s="9" t="s">
        <v>3326</v>
      </c>
      <c r="C249" s="10" t="s">
        <v>5803</v>
      </c>
    </row>
    <row r="250" spans="1:3">
      <c r="A250" s="8" t="s">
        <v>3327</v>
      </c>
      <c r="B250" s="9" t="s">
        <v>3328</v>
      </c>
      <c r="C250" s="10" t="s">
        <v>3329</v>
      </c>
    </row>
    <row r="251" spans="1:3">
      <c r="A251" s="8" t="s">
        <v>3231</v>
      </c>
      <c r="B251" s="9" t="s">
        <v>3232</v>
      </c>
      <c r="C251" s="10" t="s">
        <v>3233</v>
      </c>
    </row>
    <row r="252" spans="1:3">
      <c r="A252" s="8" t="s">
        <v>3234</v>
      </c>
      <c r="B252" s="9" t="s">
        <v>3235</v>
      </c>
      <c r="C252" s="10" t="s">
        <v>3236</v>
      </c>
    </row>
    <row r="253" spans="1:3">
      <c r="A253" s="8" t="s">
        <v>3249</v>
      </c>
      <c r="B253" s="9" t="s">
        <v>3250</v>
      </c>
      <c r="C253" s="10" t="s">
        <v>3251</v>
      </c>
    </row>
    <row r="254" spans="1:3">
      <c r="A254" s="8" t="s">
        <v>3316</v>
      </c>
      <c r="B254" s="9" t="s">
        <v>3317</v>
      </c>
      <c r="C254" s="10" t="s">
        <v>5804</v>
      </c>
    </row>
    <row r="255" spans="1:3">
      <c r="A255" s="8" t="s">
        <v>3227</v>
      </c>
      <c r="B255" s="9" t="s">
        <v>3228</v>
      </c>
      <c r="C255" s="10" t="s">
        <v>3229</v>
      </c>
    </row>
    <row r="256" spans="1:3">
      <c r="A256" s="8" t="s">
        <v>3673</v>
      </c>
      <c r="B256" s="9" t="s">
        <v>3674</v>
      </c>
      <c r="C256" s="10" t="s">
        <v>3675</v>
      </c>
    </row>
    <row r="257" spans="1:3">
      <c r="A257" s="8" t="s">
        <v>747</v>
      </c>
      <c r="B257" s="9" t="s">
        <v>748</v>
      </c>
      <c r="C257" s="10" t="s">
        <v>749</v>
      </c>
    </row>
    <row r="258" spans="1:3">
      <c r="A258" s="8" t="s">
        <v>3254</v>
      </c>
      <c r="B258" s="9" t="s">
        <v>3255</v>
      </c>
      <c r="C258" s="10" t="s">
        <v>3256</v>
      </c>
    </row>
    <row r="259" spans="1:3">
      <c r="A259" s="8" t="s">
        <v>2896</v>
      </c>
      <c r="B259" s="9" t="s">
        <v>2897</v>
      </c>
      <c r="C259" s="10" t="s">
        <v>2898</v>
      </c>
    </row>
    <row r="260" spans="1:3">
      <c r="A260" s="8" t="s">
        <v>1148</v>
      </c>
      <c r="B260" s="9" t="s">
        <v>1149</v>
      </c>
      <c r="C260" s="10" t="s">
        <v>1150</v>
      </c>
    </row>
    <row r="261" spans="1:3">
      <c r="A261" s="8" t="s">
        <v>3230</v>
      </c>
      <c r="B261" s="9" t="s">
        <v>3228</v>
      </c>
      <c r="C261" s="10" t="s">
        <v>3229</v>
      </c>
    </row>
    <row r="262" spans="1:3">
      <c r="A262" s="8" t="s">
        <v>4206</v>
      </c>
      <c r="B262" s="9" t="s">
        <v>4207</v>
      </c>
      <c r="C262" s="10" t="s">
        <v>4208</v>
      </c>
    </row>
    <row r="263" spans="1:3">
      <c r="A263" s="8" t="s">
        <v>2282</v>
      </c>
      <c r="B263" s="9" t="s">
        <v>2283</v>
      </c>
      <c r="C263" s="10" t="s">
        <v>5805</v>
      </c>
    </row>
    <row r="264" spans="1:3">
      <c r="A264" s="8" t="s">
        <v>1614</v>
      </c>
      <c r="B264" s="9" t="s">
        <v>1615</v>
      </c>
      <c r="C264" s="10" t="s">
        <v>1616</v>
      </c>
    </row>
    <row r="265" spans="1:3">
      <c r="A265" s="8" t="s">
        <v>5370</v>
      </c>
      <c r="B265" s="9" t="s">
        <v>5371</v>
      </c>
      <c r="C265" s="10" t="s">
        <v>5372</v>
      </c>
    </row>
    <row r="266" spans="1:3">
      <c r="A266" s="8" t="s">
        <v>3698</v>
      </c>
      <c r="B266" s="9" t="s">
        <v>3699</v>
      </c>
      <c r="C266" s="10" t="s">
        <v>3699</v>
      </c>
    </row>
    <row r="267" spans="1:3">
      <c r="A267" s="8" t="s">
        <v>417</v>
      </c>
      <c r="B267" s="9" t="s">
        <v>418</v>
      </c>
      <c r="C267" s="10" t="s">
        <v>419</v>
      </c>
    </row>
    <row r="268" spans="1:3">
      <c r="A268" s="8" t="s">
        <v>4112</v>
      </c>
      <c r="B268" s="9" t="s">
        <v>4113</v>
      </c>
      <c r="C268" s="10" t="s">
        <v>4114</v>
      </c>
    </row>
    <row r="269" spans="1:3">
      <c r="A269" s="8" t="s">
        <v>0</v>
      </c>
      <c r="B269" s="9" t="s">
        <v>2144</v>
      </c>
      <c r="C269" s="10" t="s">
        <v>5806</v>
      </c>
    </row>
    <row r="270" spans="1:3">
      <c r="A270" s="8" t="s">
        <v>2279</v>
      </c>
      <c r="B270" s="9" t="s">
        <v>2280</v>
      </c>
      <c r="C270" s="10" t="s">
        <v>2281</v>
      </c>
    </row>
    <row r="271" spans="1:3">
      <c r="A271" s="8" t="s">
        <v>2276</v>
      </c>
      <c r="B271" s="9" t="s">
        <v>2277</v>
      </c>
      <c r="C271" s="10" t="s">
        <v>2278</v>
      </c>
    </row>
    <row r="272" spans="1:3">
      <c r="A272" s="8" t="s">
        <v>2273</v>
      </c>
      <c r="B272" s="9" t="s">
        <v>2274</v>
      </c>
      <c r="C272" s="10" t="s">
        <v>2275</v>
      </c>
    </row>
    <row r="273" spans="1:3">
      <c r="A273" s="8" t="s">
        <v>1031</v>
      </c>
      <c r="B273" s="9" t="s">
        <v>1032</v>
      </c>
      <c r="C273" s="10" t="s">
        <v>1033</v>
      </c>
    </row>
    <row r="274" spans="1:3">
      <c r="A274" s="8" t="s">
        <v>2919</v>
      </c>
      <c r="B274" s="9" t="s">
        <v>2920</v>
      </c>
      <c r="C274" s="10" t="s">
        <v>2921</v>
      </c>
    </row>
    <row r="275" spans="1:3">
      <c r="A275" s="8" t="s">
        <v>296</v>
      </c>
      <c r="B275" s="9" t="s">
        <v>297</v>
      </c>
      <c r="C275" s="10" t="s">
        <v>5807</v>
      </c>
    </row>
    <row r="276" spans="1:3">
      <c r="A276" s="8" t="s">
        <v>4355</v>
      </c>
      <c r="B276" s="9" t="s">
        <v>4356</v>
      </c>
      <c r="C276" s="10" t="s">
        <v>4357</v>
      </c>
    </row>
    <row r="277" spans="1:3">
      <c r="A277" s="8" t="s">
        <v>681</v>
      </c>
      <c r="B277" s="9" t="s">
        <v>682</v>
      </c>
      <c r="C277" s="10" t="s">
        <v>682</v>
      </c>
    </row>
    <row r="278" spans="1:3">
      <c r="A278" s="8" t="s">
        <v>2899</v>
      </c>
      <c r="B278" s="9" t="s">
        <v>2900</v>
      </c>
      <c r="C278" s="10" t="s">
        <v>2901</v>
      </c>
    </row>
    <row r="279" spans="1:3">
      <c r="A279" s="8" t="s">
        <v>2164</v>
      </c>
      <c r="B279" s="9" t="s">
        <v>2163</v>
      </c>
      <c r="C279" s="10" t="s">
        <v>5794</v>
      </c>
    </row>
    <row r="280" spans="1:3">
      <c r="A280" s="8" t="s">
        <v>2932</v>
      </c>
      <c r="B280" s="9" t="s">
        <v>2933</v>
      </c>
      <c r="C280" s="10" t="s">
        <v>2933</v>
      </c>
    </row>
    <row r="281" spans="1:3">
      <c r="A281" s="8" t="s">
        <v>1163</v>
      </c>
      <c r="B281" s="9" t="s">
        <v>1164</v>
      </c>
      <c r="C281" s="10" t="s">
        <v>1165</v>
      </c>
    </row>
    <row r="282" spans="1:3">
      <c r="A282" s="8" t="s">
        <v>3590</v>
      </c>
      <c r="B282" s="9" t="s">
        <v>3591</v>
      </c>
      <c r="C282" s="10" t="s">
        <v>5808</v>
      </c>
    </row>
    <row r="283" spans="1:3">
      <c r="A283" s="8" t="s">
        <v>3603</v>
      </c>
      <c r="B283" s="9" t="s">
        <v>3604</v>
      </c>
      <c r="C283" s="10" t="s">
        <v>3605</v>
      </c>
    </row>
    <row r="284" spans="1:3">
      <c r="A284" s="8" t="s">
        <v>26</v>
      </c>
      <c r="B284" s="9" t="s">
        <v>27</v>
      </c>
      <c r="C284" s="10" t="s">
        <v>28</v>
      </c>
    </row>
    <row r="285" spans="1:3">
      <c r="A285" s="8" t="s">
        <v>3448</v>
      </c>
      <c r="B285" s="9" t="s">
        <v>3449</v>
      </c>
      <c r="C285" s="10" t="s">
        <v>3450</v>
      </c>
    </row>
    <row r="286" spans="1:3">
      <c r="A286" s="8" t="s">
        <v>2693</v>
      </c>
      <c r="B286" s="9" t="s">
        <v>2694</v>
      </c>
      <c r="C286" s="10" t="s">
        <v>2695</v>
      </c>
    </row>
    <row r="287" spans="1:3">
      <c r="A287" s="8" t="s">
        <v>3460</v>
      </c>
      <c r="B287" s="9" t="s">
        <v>3461</v>
      </c>
      <c r="C287" s="10" t="s">
        <v>3462</v>
      </c>
    </row>
    <row r="288" spans="1:3">
      <c r="A288" s="8" t="s">
        <v>2291</v>
      </c>
      <c r="B288" s="9" t="s">
        <v>2288</v>
      </c>
      <c r="C288" s="10" t="s">
        <v>2288</v>
      </c>
    </row>
    <row r="289" spans="1:3">
      <c r="A289" s="8" t="s">
        <v>3290</v>
      </c>
      <c r="B289" s="9" t="s">
        <v>3291</v>
      </c>
      <c r="C289" s="10" t="s">
        <v>3292</v>
      </c>
    </row>
    <row r="290" spans="1:3">
      <c r="A290" s="8" t="s">
        <v>2259</v>
      </c>
      <c r="B290" s="9" t="s">
        <v>2260</v>
      </c>
      <c r="C290" s="10" t="s">
        <v>2261</v>
      </c>
    </row>
    <row r="291" spans="1:3">
      <c r="A291" s="8" t="s">
        <v>1251</v>
      </c>
      <c r="B291" s="9" t="s">
        <v>1252</v>
      </c>
      <c r="C291" s="10" t="s">
        <v>1253</v>
      </c>
    </row>
    <row r="292" spans="1:3">
      <c r="A292" s="8" t="s">
        <v>2934</v>
      </c>
      <c r="B292" s="9" t="s">
        <v>2935</v>
      </c>
      <c r="C292" s="10" t="s">
        <v>2935</v>
      </c>
    </row>
    <row r="293" spans="1:3">
      <c r="A293" s="8" t="s">
        <v>4450</v>
      </c>
      <c r="B293" s="9" t="s">
        <v>4451</v>
      </c>
      <c r="C293" s="10" t="s">
        <v>4452</v>
      </c>
    </row>
    <row r="294" spans="1:3">
      <c r="A294" s="8" t="s">
        <v>2916</v>
      </c>
      <c r="B294" s="9" t="s">
        <v>2917</v>
      </c>
      <c r="C294" s="10" t="s">
        <v>2918</v>
      </c>
    </row>
    <row r="295" spans="1:3">
      <c r="A295" s="8" t="s">
        <v>2910</v>
      </c>
      <c r="B295" s="9" t="s">
        <v>2911</v>
      </c>
      <c r="C295" s="10" t="s">
        <v>2912</v>
      </c>
    </row>
    <row r="296" spans="1:3">
      <c r="A296" s="8" t="s">
        <v>2907</v>
      </c>
      <c r="B296" s="9" t="s">
        <v>2908</v>
      </c>
      <c r="C296" s="10" t="s">
        <v>2909</v>
      </c>
    </row>
    <row r="297" spans="1:3">
      <c r="A297" s="8" t="s">
        <v>228</v>
      </c>
      <c r="B297" s="9" t="s">
        <v>229</v>
      </c>
      <c r="C297" s="10" t="s">
        <v>230</v>
      </c>
    </row>
    <row r="298" spans="1:3">
      <c r="A298" s="8" t="s">
        <v>1489</v>
      </c>
      <c r="B298" s="9" t="s">
        <v>1490</v>
      </c>
      <c r="C298" s="10" t="s">
        <v>1491</v>
      </c>
    </row>
    <row r="299" spans="1:3">
      <c r="A299" s="8" t="s">
        <v>4754</v>
      </c>
      <c r="B299" s="9" t="s">
        <v>4755</v>
      </c>
      <c r="C299" s="10" t="s">
        <v>4756</v>
      </c>
    </row>
    <row r="300" spans="1:3">
      <c r="A300" s="8" t="s">
        <v>4650</v>
      </c>
      <c r="B300" s="9" t="s">
        <v>4651</v>
      </c>
      <c r="C300" s="10" t="s">
        <v>4652</v>
      </c>
    </row>
    <row r="301" spans="1:3">
      <c r="A301" s="8" t="s">
        <v>4653</v>
      </c>
      <c r="B301" s="9" t="s">
        <v>4651</v>
      </c>
      <c r="C301" s="10" t="s">
        <v>4652</v>
      </c>
    </row>
    <row r="302" spans="1:3">
      <c r="A302" s="8" t="s">
        <v>2902</v>
      </c>
      <c r="B302" s="9" t="s">
        <v>2903</v>
      </c>
      <c r="C302" s="10" t="s">
        <v>2904</v>
      </c>
    </row>
    <row r="303" spans="1:3">
      <c r="A303" s="8" t="s">
        <v>4429</v>
      </c>
      <c r="B303" s="9" t="s">
        <v>4430</v>
      </c>
      <c r="C303" s="10" t="s">
        <v>4431</v>
      </c>
    </row>
    <row r="304" spans="1:3">
      <c r="A304" s="8" t="s">
        <v>4438</v>
      </c>
      <c r="B304" s="9" t="s">
        <v>5809</v>
      </c>
      <c r="C304" s="10" t="s">
        <v>4439</v>
      </c>
    </row>
    <row r="305" spans="1:3">
      <c r="A305" s="8" t="s">
        <v>2262</v>
      </c>
      <c r="B305" s="9" t="s">
        <v>2260</v>
      </c>
      <c r="C305" s="10" t="s">
        <v>2261</v>
      </c>
    </row>
    <row r="306" spans="1:3">
      <c r="A306" s="8" t="s">
        <v>420</v>
      </c>
      <c r="B306" s="9" t="s">
        <v>421</v>
      </c>
      <c r="C306" s="10" t="s">
        <v>422</v>
      </c>
    </row>
    <row r="307" spans="1:3">
      <c r="A307" s="8" t="s">
        <v>638</v>
      </c>
      <c r="B307" s="9" t="s">
        <v>639</v>
      </c>
      <c r="C307" s="10" t="s">
        <v>640</v>
      </c>
    </row>
    <row r="308" spans="1:3">
      <c r="A308" s="8" t="s">
        <v>2982</v>
      </c>
      <c r="B308" s="9" t="s">
        <v>2983</v>
      </c>
      <c r="C308" s="10" t="s">
        <v>2961</v>
      </c>
    </row>
    <row r="309" spans="1:3">
      <c r="A309" s="8" t="s">
        <v>2979</v>
      </c>
      <c r="B309" s="9" t="s">
        <v>2980</v>
      </c>
      <c r="C309" s="10" t="s">
        <v>2981</v>
      </c>
    </row>
    <row r="310" spans="1:3">
      <c r="A310" s="8" t="s">
        <v>5671</v>
      </c>
      <c r="B310" s="9" t="s">
        <v>5672</v>
      </c>
      <c r="C310" s="10" t="s">
        <v>5654</v>
      </c>
    </row>
    <row r="311" spans="1:3">
      <c r="A311" s="8" t="s">
        <v>5674</v>
      </c>
      <c r="B311" s="9" t="s">
        <v>5675</v>
      </c>
      <c r="C311" s="10" t="s">
        <v>5676</v>
      </c>
    </row>
    <row r="312" spans="1:3">
      <c r="A312" s="8" t="s">
        <v>5677</v>
      </c>
      <c r="B312" s="9" t="s">
        <v>5675</v>
      </c>
      <c r="C312" s="10" t="s">
        <v>5676</v>
      </c>
    </row>
    <row r="313" spans="1:3">
      <c r="A313" s="8" t="s">
        <v>1407</v>
      </c>
      <c r="B313" s="9" t="s">
        <v>1408</v>
      </c>
      <c r="C313" s="10" t="s">
        <v>1409</v>
      </c>
    </row>
    <row r="314" spans="1:3">
      <c r="A314" s="8" t="s">
        <v>3344</v>
      </c>
      <c r="B314" s="9" t="s">
        <v>3345</v>
      </c>
      <c r="C314" s="10" t="s">
        <v>3346</v>
      </c>
    </row>
    <row r="315" spans="1:3">
      <c r="A315" s="8" t="s">
        <v>3369</v>
      </c>
      <c r="B315" s="9" t="s">
        <v>3370</v>
      </c>
      <c r="C315" s="10" t="s">
        <v>3371</v>
      </c>
    </row>
    <row r="316" spans="1:3">
      <c r="A316" s="8" t="s">
        <v>5482</v>
      </c>
      <c r="B316" s="9" t="s">
        <v>5483</v>
      </c>
      <c r="C316" s="10" t="s">
        <v>5484</v>
      </c>
    </row>
    <row r="317" spans="1:3">
      <c r="A317" s="8" t="s">
        <v>207</v>
      </c>
      <c r="B317" s="9" t="s">
        <v>205</v>
      </c>
      <c r="C317" s="10" t="s">
        <v>5782</v>
      </c>
    </row>
    <row r="318" spans="1:3">
      <c r="A318" s="8" t="s">
        <v>195</v>
      </c>
      <c r="B318" s="9" t="s">
        <v>196</v>
      </c>
      <c r="C318" s="10" t="s">
        <v>197</v>
      </c>
    </row>
    <row r="319" spans="1:3">
      <c r="A319" s="8" t="s">
        <v>201</v>
      </c>
      <c r="B319" s="9" t="s">
        <v>202</v>
      </c>
      <c r="C319" s="10" t="s">
        <v>203</v>
      </c>
    </row>
    <row r="320" spans="1:3">
      <c r="A320" s="8" t="s">
        <v>209</v>
      </c>
      <c r="B320" s="9" t="s">
        <v>210</v>
      </c>
      <c r="C320" s="10" t="s">
        <v>211</v>
      </c>
    </row>
    <row r="321" spans="1:3">
      <c r="A321" s="8" t="s">
        <v>5302</v>
      </c>
      <c r="B321" s="9" t="s">
        <v>5303</v>
      </c>
      <c r="C321" s="10" t="s">
        <v>5304</v>
      </c>
    </row>
    <row r="322" spans="1:3">
      <c r="A322" s="8" t="s">
        <v>5299</v>
      </c>
      <c r="B322" s="9" t="s">
        <v>5300</v>
      </c>
      <c r="C322" s="10" t="s">
        <v>5301</v>
      </c>
    </row>
    <row r="323" spans="1:3">
      <c r="A323" s="8" t="s">
        <v>888</v>
      </c>
      <c r="B323" s="9" t="s">
        <v>889</v>
      </c>
      <c r="C323" s="10" t="s">
        <v>890</v>
      </c>
    </row>
    <row r="324" spans="1:3">
      <c r="A324" s="8" t="s">
        <v>964</v>
      </c>
      <c r="B324" s="9" t="s">
        <v>965</v>
      </c>
      <c r="C324" s="10" t="s">
        <v>5810</v>
      </c>
    </row>
    <row r="325" spans="1:3">
      <c r="A325" s="8" t="s">
        <v>946</v>
      </c>
      <c r="B325" s="9" t="s">
        <v>947</v>
      </c>
      <c r="C325" s="10" t="s">
        <v>948</v>
      </c>
    </row>
    <row r="326" spans="1:3">
      <c r="A326" s="8" t="s">
        <v>1200</v>
      </c>
      <c r="B326" s="9" t="s">
        <v>1201</v>
      </c>
      <c r="C326" s="10" t="s">
        <v>1202</v>
      </c>
    </row>
    <row r="327" spans="1:3">
      <c r="A327" s="8" t="s">
        <v>3077</v>
      </c>
      <c r="B327" s="9" t="s">
        <v>3078</v>
      </c>
      <c r="C327" s="10" t="s">
        <v>2958</v>
      </c>
    </row>
    <row r="328" spans="1:3">
      <c r="A328" s="8" t="s">
        <v>5232</v>
      </c>
      <c r="B328" s="9" t="s">
        <v>5233</v>
      </c>
      <c r="C328" s="10" t="s">
        <v>5234</v>
      </c>
    </row>
    <row r="329" spans="1:3">
      <c r="A329" s="8" t="s">
        <v>3347</v>
      </c>
      <c r="B329" s="9" t="s">
        <v>3345</v>
      </c>
      <c r="C329" s="10" t="s">
        <v>3346</v>
      </c>
    </row>
    <row r="330" spans="1:3">
      <c r="A330" s="8" t="s">
        <v>3413</v>
      </c>
      <c r="B330" s="9" t="s">
        <v>3414</v>
      </c>
      <c r="C330" s="10" t="s">
        <v>3415</v>
      </c>
    </row>
    <row r="331" spans="1:3">
      <c r="A331" s="8" t="s">
        <v>5445</v>
      </c>
      <c r="B331" s="9" t="s">
        <v>5446</v>
      </c>
      <c r="C331" s="10" t="s">
        <v>5447</v>
      </c>
    </row>
    <row r="332" spans="1:3">
      <c r="A332" s="8" t="s">
        <v>3957</v>
      </c>
      <c r="B332" s="9" t="s">
        <v>3958</v>
      </c>
      <c r="C332" s="10" t="s">
        <v>3959</v>
      </c>
    </row>
    <row r="333" spans="1:3">
      <c r="A333" s="8" t="s">
        <v>3355</v>
      </c>
      <c r="B333" s="9" t="s">
        <v>3356</v>
      </c>
      <c r="C333" s="10" t="s">
        <v>3357</v>
      </c>
    </row>
    <row r="334" spans="1:3">
      <c r="A334" s="8" t="s">
        <v>2239</v>
      </c>
      <c r="B334" s="9" t="s">
        <v>2240</v>
      </c>
      <c r="C334" s="10" t="s">
        <v>2236</v>
      </c>
    </row>
    <row r="335" spans="1:3">
      <c r="A335" s="8" t="s">
        <v>3841</v>
      </c>
      <c r="B335" s="9" t="s">
        <v>3842</v>
      </c>
      <c r="C335" s="10" t="s">
        <v>3843</v>
      </c>
    </row>
    <row r="336" spans="1:3">
      <c r="A336" s="8" t="s">
        <v>2182</v>
      </c>
      <c r="B336" s="9" t="s">
        <v>2183</v>
      </c>
      <c r="C336" s="10" t="s">
        <v>5811</v>
      </c>
    </row>
    <row r="337" spans="1:3">
      <c r="A337" s="8" t="s">
        <v>5379</v>
      </c>
      <c r="B337" s="9" t="s">
        <v>5380</v>
      </c>
      <c r="C337" s="10" t="s">
        <v>5812</v>
      </c>
    </row>
    <row r="338" spans="1:3">
      <c r="A338" s="8" t="s">
        <v>4153</v>
      </c>
      <c r="B338" s="9" t="s">
        <v>4154</v>
      </c>
      <c r="C338" s="10" t="s">
        <v>4155</v>
      </c>
    </row>
    <row r="339" spans="1:3">
      <c r="A339" s="8" t="s">
        <v>3933</v>
      </c>
      <c r="B339" s="9" t="s">
        <v>3934</v>
      </c>
      <c r="C339" s="10" t="s">
        <v>3935</v>
      </c>
    </row>
    <row r="340" spans="1:3">
      <c r="A340" s="8" t="s">
        <v>4209</v>
      </c>
      <c r="B340" s="9" t="s">
        <v>4210</v>
      </c>
      <c r="C340" s="10" t="s">
        <v>4211</v>
      </c>
    </row>
    <row r="341" spans="1:3">
      <c r="A341" s="8" t="s">
        <v>2714</v>
      </c>
      <c r="B341" s="9" t="s">
        <v>2715</v>
      </c>
      <c r="C341" s="10" t="s">
        <v>2716</v>
      </c>
    </row>
    <row r="342" spans="1:3">
      <c r="A342" s="8" t="s">
        <v>145</v>
      </c>
      <c r="B342" s="9" t="s">
        <v>146</v>
      </c>
      <c r="C342" s="10" t="s">
        <v>5813</v>
      </c>
    </row>
    <row r="343" spans="1:3">
      <c r="A343" s="8" t="s">
        <v>142</v>
      </c>
      <c r="B343" s="9" t="s">
        <v>143</v>
      </c>
      <c r="C343" s="10" t="s">
        <v>144</v>
      </c>
    </row>
    <row r="344" spans="1:3">
      <c r="A344" s="8" t="s">
        <v>2012</v>
      </c>
      <c r="B344" s="9" t="s">
        <v>2013</v>
      </c>
      <c r="C344" s="10" t="s">
        <v>5814</v>
      </c>
    </row>
    <row r="345" spans="1:3">
      <c r="A345" s="8" t="s">
        <v>1562</v>
      </c>
      <c r="B345" s="9" t="s">
        <v>1563</v>
      </c>
      <c r="C345" s="10" t="s">
        <v>1564</v>
      </c>
    </row>
    <row r="346" spans="1:3">
      <c r="A346" s="8" t="s">
        <v>192</v>
      </c>
      <c r="B346" s="9" t="s">
        <v>193</v>
      </c>
      <c r="C346" s="10" t="s">
        <v>194</v>
      </c>
    </row>
    <row r="347" spans="1:3">
      <c r="A347" s="8" t="s">
        <v>4902</v>
      </c>
      <c r="B347" s="9" t="s">
        <v>4903</v>
      </c>
      <c r="C347" s="10" t="s">
        <v>4904</v>
      </c>
    </row>
    <row r="348" spans="1:3">
      <c r="A348" s="8" t="s">
        <v>5668</v>
      </c>
      <c r="B348" s="9" t="s">
        <v>5669</v>
      </c>
      <c r="C348" s="10" t="s">
        <v>5815</v>
      </c>
    </row>
    <row r="349" spans="1:3">
      <c r="A349" s="8" t="s">
        <v>5678</v>
      </c>
      <c r="B349" s="9" t="s">
        <v>5679</v>
      </c>
      <c r="C349" s="10" t="s">
        <v>5680</v>
      </c>
    </row>
    <row r="350" spans="1:3">
      <c r="A350" s="8" t="s">
        <v>1726</v>
      </c>
      <c r="B350" s="9" t="s">
        <v>1727</v>
      </c>
      <c r="C350" s="10" t="s">
        <v>5816</v>
      </c>
    </row>
    <row r="351" spans="1:3">
      <c r="A351" s="8" t="s">
        <v>1750</v>
      </c>
      <c r="B351" s="9" t="s">
        <v>1751</v>
      </c>
      <c r="C351" s="10" t="s">
        <v>1752</v>
      </c>
    </row>
    <row r="352" spans="1:3">
      <c r="A352" s="8" t="s">
        <v>2887</v>
      </c>
      <c r="B352" s="9" t="s">
        <v>2888</v>
      </c>
      <c r="C352" s="10" t="s">
        <v>2889</v>
      </c>
    </row>
    <row r="353" spans="1:3">
      <c r="A353" s="8" t="s">
        <v>2924</v>
      </c>
      <c r="B353" s="9" t="s">
        <v>2925</v>
      </c>
      <c r="C353" s="10" t="s">
        <v>2926</v>
      </c>
    </row>
    <row r="354" spans="1:3">
      <c r="A354" s="8" t="s">
        <v>4238</v>
      </c>
      <c r="B354" s="9" t="s">
        <v>4239</v>
      </c>
      <c r="C354" s="10" t="s">
        <v>4240</v>
      </c>
    </row>
    <row r="355" spans="1:3">
      <c r="A355" s="8" t="s">
        <v>423</v>
      </c>
      <c r="B355" s="9" t="s">
        <v>421</v>
      </c>
      <c r="C355" s="10" t="s">
        <v>5817</v>
      </c>
    </row>
    <row r="356" spans="1:3">
      <c r="A356" s="8" t="s">
        <v>1132</v>
      </c>
      <c r="B356" s="9" t="s">
        <v>1133</v>
      </c>
      <c r="C356" s="10" t="s">
        <v>1135</v>
      </c>
    </row>
    <row r="357" spans="1:3">
      <c r="A357" s="8" t="s">
        <v>1134</v>
      </c>
      <c r="B357" s="9" t="s">
        <v>1133</v>
      </c>
      <c r="C357" s="10" t="s">
        <v>1135</v>
      </c>
    </row>
    <row r="358" spans="1:3">
      <c r="A358" s="8" t="s">
        <v>1688</v>
      </c>
      <c r="B358" s="9" t="s">
        <v>1689</v>
      </c>
      <c r="C358" s="10" t="s">
        <v>1690</v>
      </c>
    </row>
    <row r="359" spans="1:3">
      <c r="A359" s="8" t="s">
        <v>4955</v>
      </c>
      <c r="B359" s="9" t="s">
        <v>4956</v>
      </c>
      <c r="C359" s="10" t="s">
        <v>4957</v>
      </c>
    </row>
    <row r="360" spans="1:3">
      <c r="A360" s="8" t="s">
        <v>50</v>
      </c>
      <c r="B360" s="9" t="s">
        <v>47</v>
      </c>
      <c r="C360" s="10" t="s">
        <v>48</v>
      </c>
    </row>
    <row r="361" spans="1:3">
      <c r="A361" s="8" t="s">
        <v>2893</v>
      </c>
      <c r="B361" s="9" t="s">
        <v>2894</v>
      </c>
      <c r="C361" s="10" t="s">
        <v>2895</v>
      </c>
    </row>
    <row r="362" spans="1:3">
      <c r="A362" s="8" t="s">
        <v>3985</v>
      </c>
      <c r="B362" s="9" t="s">
        <v>3986</v>
      </c>
      <c r="C362" s="10" t="s">
        <v>3987</v>
      </c>
    </row>
    <row r="363" spans="1:3">
      <c r="A363" s="8" t="s">
        <v>1420</v>
      </c>
      <c r="B363" s="9" t="s">
        <v>1421</v>
      </c>
      <c r="C363" s="10" t="s">
        <v>1422</v>
      </c>
    </row>
    <row r="364" spans="1:3">
      <c r="A364" s="8" t="s">
        <v>5238</v>
      </c>
      <c r="B364" s="9" t="s">
        <v>5239</v>
      </c>
      <c r="C364" s="10" t="s">
        <v>5240</v>
      </c>
    </row>
    <row r="365" spans="1:3">
      <c r="A365" s="8" t="s">
        <v>5223</v>
      </c>
      <c r="B365" s="9" t="s">
        <v>5224</v>
      </c>
      <c r="C365" s="10" t="s">
        <v>5225</v>
      </c>
    </row>
    <row r="366" spans="1:3">
      <c r="A366" s="8" t="s">
        <v>5187</v>
      </c>
      <c r="B366" s="9" t="s">
        <v>5188</v>
      </c>
      <c r="C366" s="10" t="s">
        <v>5189</v>
      </c>
    </row>
    <row r="367" spans="1:3">
      <c r="A367" s="8" t="s">
        <v>5217</v>
      </c>
      <c r="B367" s="9" t="s">
        <v>5218</v>
      </c>
      <c r="C367" s="10" t="s">
        <v>5219</v>
      </c>
    </row>
    <row r="368" spans="1:3">
      <c r="A368" s="8" t="s">
        <v>5183</v>
      </c>
      <c r="B368" s="9" t="s">
        <v>5184</v>
      </c>
      <c r="C368" s="10" t="s">
        <v>5185</v>
      </c>
    </row>
    <row r="369" spans="1:3">
      <c r="A369" s="8" t="s">
        <v>5220</v>
      </c>
      <c r="B369" s="9" t="s">
        <v>5221</v>
      </c>
      <c r="C369" s="10" t="s">
        <v>5222</v>
      </c>
    </row>
    <row r="370" spans="1:3">
      <c r="A370" s="8" t="s">
        <v>5202</v>
      </c>
      <c r="B370" s="9" t="s">
        <v>5203</v>
      </c>
      <c r="C370" s="10" t="s">
        <v>5204</v>
      </c>
    </row>
    <row r="371" spans="1:3">
      <c r="A371" s="8" t="s">
        <v>5199</v>
      </c>
      <c r="B371" s="9" t="s">
        <v>5200</v>
      </c>
      <c r="C371" s="10" t="s">
        <v>5201</v>
      </c>
    </row>
    <row r="372" spans="1:3">
      <c r="A372" s="8" t="s">
        <v>5211</v>
      </c>
      <c r="B372" s="9" t="s">
        <v>5212</v>
      </c>
      <c r="C372" s="10" t="s">
        <v>5213</v>
      </c>
    </row>
    <row r="373" spans="1:3">
      <c r="A373" s="8" t="s">
        <v>5190</v>
      </c>
      <c r="B373" s="9" t="s">
        <v>5191</v>
      </c>
      <c r="C373" s="10" t="s">
        <v>5192</v>
      </c>
    </row>
    <row r="374" spans="1:3">
      <c r="A374" s="8" t="s">
        <v>5226</v>
      </c>
      <c r="B374" s="9" t="s">
        <v>5227</v>
      </c>
      <c r="C374" s="10" t="s">
        <v>5228</v>
      </c>
    </row>
    <row r="375" spans="1:3">
      <c r="A375" s="8" t="s">
        <v>5205</v>
      </c>
      <c r="B375" s="9" t="s">
        <v>5206</v>
      </c>
      <c r="C375" s="10" t="s">
        <v>5207</v>
      </c>
    </row>
    <row r="376" spans="1:3">
      <c r="A376" s="8" t="s">
        <v>5214</v>
      </c>
      <c r="B376" s="9" t="s">
        <v>5215</v>
      </c>
      <c r="C376" s="10" t="s">
        <v>5216</v>
      </c>
    </row>
    <row r="377" spans="1:3">
      <c r="A377" s="8" t="s">
        <v>5180</v>
      </c>
      <c r="B377" s="9" t="s">
        <v>5181</v>
      </c>
      <c r="C377" s="10" t="s">
        <v>5182</v>
      </c>
    </row>
    <row r="378" spans="1:3">
      <c r="A378" s="8" t="s">
        <v>5186</v>
      </c>
      <c r="B378" s="9" t="s">
        <v>5184</v>
      </c>
      <c r="C378" s="10" t="s">
        <v>5185</v>
      </c>
    </row>
    <row r="379" spans="1:3">
      <c r="A379" s="8" t="s">
        <v>5193</v>
      </c>
      <c r="B379" s="9" t="s">
        <v>5194</v>
      </c>
      <c r="C379" s="10" t="s">
        <v>5195</v>
      </c>
    </row>
    <row r="380" spans="1:3">
      <c r="A380" s="8" t="s">
        <v>5208</v>
      </c>
      <c r="B380" s="9" t="s">
        <v>5209</v>
      </c>
      <c r="C380" s="10" t="s">
        <v>5210</v>
      </c>
    </row>
    <row r="381" spans="1:3">
      <c r="A381" s="8" t="s">
        <v>5196</v>
      </c>
      <c r="B381" s="9" t="s">
        <v>5197</v>
      </c>
      <c r="C381" s="10" t="s">
        <v>5198</v>
      </c>
    </row>
    <row r="382" spans="1:3">
      <c r="A382" s="8" t="s">
        <v>5253</v>
      </c>
      <c r="B382" s="9" t="s">
        <v>5254</v>
      </c>
      <c r="C382" s="10" t="s">
        <v>5255</v>
      </c>
    </row>
    <row r="383" spans="1:3">
      <c r="A383" s="8" t="s">
        <v>3921</v>
      </c>
      <c r="B383" s="9" t="s">
        <v>3922</v>
      </c>
      <c r="C383" s="10" t="s">
        <v>3923</v>
      </c>
    </row>
    <row r="384" spans="1:3">
      <c r="A384" s="8" t="s">
        <v>1936</v>
      </c>
      <c r="B384" s="9" t="s">
        <v>1937</v>
      </c>
      <c r="C384" s="10" t="s">
        <v>1938</v>
      </c>
    </row>
    <row r="385" spans="1:3">
      <c r="A385" s="8" t="s">
        <v>966</v>
      </c>
      <c r="B385" s="9" t="s">
        <v>967</v>
      </c>
      <c r="C385" s="10" t="s">
        <v>968</v>
      </c>
    </row>
    <row r="386" spans="1:3">
      <c r="A386" s="8" t="s">
        <v>961</v>
      </c>
      <c r="B386" s="9" t="s">
        <v>962</v>
      </c>
      <c r="C386" s="10" t="s">
        <v>963</v>
      </c>
    </row>
    <row r="387" spans="1:3">
      <c r="A387" s="8" t="s">
        <v>885</v>
      </c>
      <c r="B387" s="9" t="s">
        <v>886</v>
      </c>
      <c r="C387" s="10" t="s">
        <v>887</v>
      </c>
    </row>
    <row r="388" spans="1:3">
      <c r="A388" s="8" t="s">
        <v>969</v>
      </c>
      <c r="B388" s="9" t="s">
        <v>967</v>
      </c>
      <c r="C388" s="10" t="s">
        <v>968</v>
      </c>
    </row>
    <row r="389" spans="1:3">
      <c r="A389" s="8" t="s">
        <v>975</v>
      </c>
      <c r="B389" s="9" t="s">
        <v>976</v>
      </c>
      <c r="C389" s="10" t="s">
        <v>963</v>
      </c>
    </row>
    <row r="390" spans="1:3">
      <c r="A390" s="8" t="s">
        <v>1145</v>
      </c>
      <c r="B390" s="9" t="s">
        <v>1146</v>
      </c>
      <c r="C390" s="10" t="s">
        <v>1147</v>
      </c>
    </row>
    <row r="391" spans="1:3">
      <c r="A391" s="8" t="s">
        <v>236</v>
      </c>
      <c r="B391" s="9" t="s">
        <v>237</v>
      </c>
      <c r="C391" s="10" t="s">
        <v>238</v>
      </c>
    </row>
    <row r="392" spans="1:3">
      <c r="A392" s="8" t="s">
        <v>4443</v>
      </c>
      <c r="B392" s="9" t="s">
        <v>4444</v>
      </c>
      <c r="C392" s="10" t="s">
        <v>4445</v>
      </c>
    </row>
    <row r="393" spans="1:3">
      <c r="A393" s="8" t="s">
        <v>4453</v>
      </c>
      <c r="B393" s="9" t="s">
        <v>4451</v>
      </c>
      <c r="C393" s="10" t="s">
        <v>4452</v>
      </c>
    </row>
    <row r="394" spans="1:3">
      <c r="A394" s="8" t="s">
        <v>186</v>
      </c>
      <c r="B394" s="9" t="s">
        <v>187</v>
      </c>
      <c r="C394" s="10" t="s">
        <v>188</v>
      </c>
    </row>
    <row r="395" spans="1:3">
      <c r="A395" s="8" t="s">
        <v>1890</v>
      </c>
      <c r="B395" s="9" t="s">
        <v>1891</v>
      </c>
      <c r="C395" s="10" t="s">
        <v>1892</v>
      </c>
    </row>
    <row r="396" spans="1:3">
      <c r="A396" s="8" t="s">
        <v>630</v>
      </c>
      <c r="B396" s="9" t="s">
        <v>631</v>
      </c>
      <c r="C396" s="10" t="s">
        <v>5818</v>
      </c>
    </row>
    <row r="397" spans="1:3">
      <c r="A397" s="8" t="s">
        <v>4958</v>
      </c>
      <c r="B397" s="9" t="s">
        <v>4956</v>
      </c>
      <c r="C397" s="10" t="s">
        <v>4957</v>
      </c>
    </row>
    <row r="398" spans="1:3">
      <c r="A398" s="8" t="s">
        <v>641</v>
      </c>
      <c r="B398" s="9" t="s">
        <v>642</v>
      </c>
      <c r="C398" s="10" t="s">
        <v>643</v>
      </c>
    </row>
    <row r="399" spans="1:3">
      <c r="A399" s="8" t="s">
        <v>3260</v>
      </c>
      <c r="B399" s="9" t="s">
        <v>3261</v>
      </c>
      <c r="C399" s="10" t="s">
        <v>3198</v>
      </c>
    </row>
    <row r="400" spans="1:3">
      <c r="A400" s="8" t="s">
        <v>2176</v>
      </c>
      <c r="B400" s="9" t="s">
        <v>2177</v>
      </c>
      <c r="C400" s="10" t="s">
        <v>2178</v>
      </c>
    </row>
    <row r="401" spans="1:3">
      <c r="A401" s="8" t="s">
        <v>289</v>
      </c>
      <c r="B401" s="9" t="s">
        <v>290</v>
      </c>
      <c r="C401" s="10" t="s">
        <v>194</v>
      </c>
    </row>
    <row r="402" spans="1:3">
      <c r="A402" s="8" t="s">
        <v>445</v>
      </c>
      <c r="B402" s="9" t="s">
        <v>446</v>
      </c>
      <c r="C402" s="10" t="s">
        <v>447</v>
      </c>
    </row>
    <row r="403" spans="1:3">
      <c r="A403" s="8" t="s">
        <v>424</v>
      </c>
      <c r="B403" s="9" t="s">
        <v>421</v>
      </c>
      <c r="C403" s="10" t="s">
        <v>5819</v>
      </c>
    </row>
    <row r="404" spans="1:3">
      <c r="A404" s="8" t="s">
        <v>466</v>
      </c>
      <c r="B404" s="9" t="s">
        <v>467</v>
      </c>
      <c r="C404" s="10" t="s">
        <v>468</v>
      </c>
    </row>
    <row r="405" spans="1:3">
      <c r="A405" s="8" t="s">
        <v>1821</v>
      </c>
      <c r="B405" s="9" t="s">
        <v>1822</v>
      </c>
      <c r="C405" s="10" t="s">
        <v>5820</v>
      </c>
    </row>
    <row r="406" spans="1:3">
      <c r="A406" s="8" t="s">
        <v>1828</v>
      </c>
      <c r="B406" s="9" t="s">
        <v>1829</v>
      </c>
      <c r="C406" s="10" t="s">
        <v>1830</v>
      </c>
    </row>
    <row r="407" spans="1:3">
      <c r="A407" s="8" t="s">
        <v>177</v>
      </c>
      <c r="B407" s="9" t="s">
        <v>178</v>
      </c>
      <c r="C407" s="10" t="s">
        <v>179</v>
      </c>
    </row>
    <row r="408" spans="1:3">
      <c r="A408" s="8" t="s">
        <v>5256</v>
      </c>
      <c r="B408" s="9" t="s">
        <v>5254</v>
      </c>
      <c r="C408" s="10" t="s">
        <v>5255</v>
      </c>
    </row>
    <row r="409" spans="1:3">
      <c r="A409" s="8" t="s">
        <v>3381</v>
      </c>
      <c r="B409" s="9" t="s">
        <v>3382</v>
      </c>
      <c r="C409" s="10" t="s">
        <v>3383</v>
      </c>
    </row>
    <row r="410" spans="1:3">
      <c r="A410" s="8" t="s">
        <v>3270</v>
      </c>
      <c r="B410" s="9" t="s">
        <v>3271</v>
      </c>
      <c r="C410" s="10" t="s">
        <v>3272</v>
      </c>
    </row>
    <row r="411" spans="1:3">
      <c r="A411" s="8" t="s">
        <v>1731</v>
      </c>
      <c r="B411" s="9" t="s">
        <v>1732</v>
      </c>
      <c r="C411" s="10" t="s">
        <v>1733</v>
      </c>
    </row>
    <row r="412" spans="1:3">
      <c r="A412" s="8" t="s">
        <v>1734</v>
      </c>
      <c r="B412" s="9" t="s">
        <v>1732</v>
      </c>
      <c r="C412" s="10" t="s">
        <v>1733</v>
      </c>
    </row>
    <row r="413" spans="1:3">
      <c r="A413" s="8" t="s">
        <v>1735</v>
      </c>
      <c r="B413" s="9" t="s">
        <v>1736</v>
      </c>
      <c r="C413" s="10" t="s">
        <v>1737</v>
      </c>
    </row>
    <row r="414" spans="1:3">
      <c r="A414" s="8" t="s">
        <v>1747</v>
      </c>
      <c r="B414" s="9" t="s">
        <v>1748</v>
      </c>
      <c r="C414" s="10" t="s">
        <v>1749</v>
      </c>
    </row>
    <row r="415" spans="1:3">
      <c r="A415" s="8" t="s">
        <v>4830</v>
      </c>
      <c r="B415" s="9" t="s">
        <v>4831</v>
      </c>
      <c r="C415" s="10" t="s">
        <v>4832</v>
      </c>
    </row>
    <row r="416" spans="1:3">
      <c r="A416" s="8" t="s">
        <v>3148</v>
      </c>
      <c r="B416" s="9" t="s">
        <v>3149</v>
      </c>
      <c r="C416" s="10" t="s">
        <v>3150</v>
      </c>
    </row>
    <row r="417" spans="1:3">
      <c r="A417" s="8" t="s">
        <v>5340</v>
      </c>
      <c r="B417" s="9" t="s">
        <v>5341</v>
      </c>
      <c r="C417" s="10" t="s">
        <v>5326</v>
      </c>
    </row>
    <row r="418" spans="1:3">
      <c r="A418" s="8" t="s">
        <v>1683</v>
      </c>
      <c r="B418" s="9" t="s">
        <v>1684</v>
      </c>
      <c r="C418" s="10" t="s">
        <v>1684</v>
      </c>
    </row>
    <row r="419" spans="1:3">
      <c r="A419" s="8" t="s">
        <v>1685</v>
      </c>
      <c r="B419" s="9" t="s">
        <v>1684</v>
      </c>
      <c r="C419" s="10" t="s">
        <v>1684</v>
      </c>
    </row>
    <row r="420" spans="1:3">
      <c r="A420" s="8" t="s">
        <v>4497</v>
      </c>
      <c r="B420" s="9" t="s">
        <v>4498</v>
      </c>
      <c r="C420" s="10" t="s">
        <v>4499</v>
      </c>
    </row>
    <row r="421" spans="1:3">
      <c r="A421" s="8" t="s">
        <v>4505</v>
      </c>
      <c r="B421" s="9" t="s">
        <v>4506</v>
      </c>
      <c r="C421" s="10" t="s">
        <v>4507</v>
      </c>
    </row>
    <row r="422" spans="1:3">
      <c r="A422" s="8" t="s">
        <v>138</v>
      </c>
      <c r="B422" s="9" t="s">
        <v>139</v>
      </c>
      <c r="C422" s="10" t="s">
        <v>139</v>
      </c>
    </row>
    <row r="423" spans="1:3">
      <c r="A423" s="8" t="s">
        <v>3481</v>
      </c>
      <c r="B423" s="9" t="s">
        <v>3482</v>
      </c>
      <c r="C423" s="10" t="s">
        <v>3483</v>
      </c>
    </row>
    <row r="424" spans="1:3">
      <c r="A424" s="8" t="s">
        <v>1305</v>
      </c>
      <c r="B424" s="9" t="s">
        <v>1306</v>
      </c>
      <c r="C424" s="10" t="s">
        <v>1307</v>
      </c>
    </row>
    <row r="425" spans="1:3">
      <c r="A425" s="8" t="s">
        <v>1225</v>
      </c>
      <c r="B425" s="9" t="s">
        <v>1226</v>
      </c>
      <c r="C425" s="10" t="s">
        <v>5821</v>
      </c>
    </row>
    <row r="426" spans="1:3">
      <c r="A426" s="8" t="s">
        <v>1227</v>
      </c>
      <c r="B426" s="9" t="s">
        <v>1226</v>
      </c>
      <c r="C426" s="10" t="s">
        <v>5821</v>
      </c>
    </row>
    <row r="427" spans="1:3">
      <c r="A427" s="8" t="s">
        <v>4042</v>
      </c>
      <c r="B427" s="9" t="s">
        <v>4043</v>
      </c>
      <c r="C427" s="10" t="s">
        <v>4044</v>
      </c>
    </row>
    <row r="428" spans="1:3">
      <c r="A428" s="8" t="s">
        <v>4018</v>
      </c>
      <c r="B428" s="9" t="s">
        <v>4019</v>
      </c>
      <c r="C428" s="10" t="s">
        <v>4020</v>
      </c>
    </row>
    <row r="429" spans="1:3">
      <c r="A429" s="8" t="s">
        <v>5460</v>
      </c>
      <c r="B429" s="9" t="s">
        <v>5461</v>
      </c>
      <c r="C429" s="10" t="s">
        <v>5462</v>
      </c>
    </row>
    <row r="430" spans="1:3">
      <c r="A430" s="8" t="s">
        <v>5463</v>
      </c>
      <c r="B430" s="9" t="s">
        <v>5464</v>
      </c>
      <c r="C430" s="10" t="s">
        <v>5465</v>
      </c>
    </row>
    <row r="431" spans="1:3">
      <c r="A431" s="8" t="s">
        <v>1365</v>
      </c>
      <c r="B431" s="9" t="s">
        <v>1366</v>
      </c>
      <c r="C431" s="10" t="s">
        <v>1367</v>
      </c>
    </row>
    <row r="432" spans="1:3">
      <c r="A432" s="8" t="s">
        <v>4252</v>
      </c>
      <c r="B432" s="9" t="s">
        <v>4253</v>
      </c>
      <c r="C432" s="10" t="s">
        <v>4254</v>
      </c>
    </row>
    <row r="433" spans="1:3">
      <c r="A433" s="8" t="s">
        <v>1361</v>
      </c>
      <c r="B433" s="9" t="s">
        <v>1362</v>
      </c>
      <c r="C433" s="10" t="s">
        <v>1363</v>
      </c>
    </row>
    <row r="434" spans="1:3">
      <c r="A434" s="8" t="s">
        <v>1371</v>
      </c>
      <c r="B434" s="9" t="s">
        <v>1372</v>
      </c>
      <c r="C434" s="10" t="s">
        <v>1373</v>
      </c>
    </row>
    <row r="435" spans="1:3">
      <c r="A435" s="8" t="s">
        <v>3437</v>
      </c>
      <c r="B435" s="9" t="s">
        <v>3438</v>
      </c>
      <c r="C435" s="10" t="s">
        <v>3438</v>
      </c>
    </row>
    <row r="436" spans="1:3">
      <c r="A436" s="8" t="s">
        <v>5609</v>
      </c>
      <c r="B436" s="9" t="s">
        <v>5610</v>
      </c>
      <c r="C436" s="10" t="s">
        <v>5611</v>
      </c>
    </row>
    <row r="437" spans="1:3">
      <c r="A437" s="8" t="s">
        <v>3626</v>
      </c>
      <c r="B437" s="9" t="s">
        <v>3627</v>
      </c>
      <c r="C437" s="10" t="s">
        <v>3628</v>
      </c>
    </row>
    <row r="438" spans="1:3">
      <c r="A438" s="8" t="s">
        <v>3505</v>
      </c>
      <c r="B438" s="9" t="s">
        <v>3506</v>
      </c>
      <c r="C438" s="10" t="s">
        <v>3507</v>
      </c>
    </row>
    <row r="439" spans="1:3">
      <c r="A439" s="8" t="s">
        <v>3571</v>
      </c>
      <c r="B439" s="9" t="s">
        <v>3572</v>
      </c>
      <c r="C439" s="10" t="s">
        <v>3573</v>
      </c>
    </row>
    <row r="440" spans="1:3">
      <c r="A440" s="8" t="s">
        <v>5469</v>
      </c>
      <c r="B440" s="9" t="s">
        <v>5470</v>
      </c>
      <c r="C440" s="10" t="s">
        <v>5822</v>
      </c>
    </row>
    <row r="441" spans="1:3">
      <c r="A441" s="8" t="s">
        <v>5471</v>
      </c>
      <c r="B441" s="9" t="s">
        <v>5470</v>
      </c>
      <c r="C441" s="10" t="s">
        <v>5822</v>
      </c>
    </row>
    <row r="442" spans="1:3">
      <c r="A442" s="8" t="s">
        <v>1952</v>
      </c>
      <c r="B442" s="9" t="s">
        <v>1953</v>
      </c>
      <c r="C442" s="10" t="s">
        <v>1954</v>
      </c>
    </row>
    <row r="443" spans="1:3">
      <c r="A443" s="8" t="s">
        <v>5770</v>
      </c>
      <c r="B443" s="9" t="s">
        <v>5771</v>
      </c>
      <c r="C443" s="10" t="s">
        <v>5772</v>
      </c>
    </row>
    <row r="444" spans="1:3">
      <c r="A444" s="8" t="s">
        <v>4269</v>
      </c>
      <c r="B444" s="9" t="s">
        <v>4270</v>
      </c>
      <c r="C444" s="10" t="s">
        <v>4271</v>
      </c>
    </row>
    <row r="445" spans="1:3">
      <c r="A445" s="8" t="s">
        <v>3476</v>
      </c>
      <c r="B445" s="9" t="s">
        <v>3477</v>
      </c>
      <c r="C445" s="10" t="s">
        <v>3478</v>
      </c>
    </row>
    <row r="446" spans="1:3">
      <c r="A446" s="8" t="s">
        <v>5757</v>
      </c>
      <c r="B446" s="9" t="s">
        <v>5758</v>
      </c>
      <c r="C446" s="10" t="s">
        <v>5823</v>
      </c>
    </row>
    <row r="447" spans="1:3">
      <c r="A447" s="8" t="s">
        <v>140</v>
      </c>
      <c r="B447" s="9" t="s">
        <v>139</v>
      </c>
      <c r="C447" s="10" t="s">
        <v>139</v>
      </c>
    </row>
    <row r="448" spans="1:3">
      <c r="A448" s="8" t="s">
        <v>5740</v>
      </c>
      <c r="B448" s="9" t="s">
        <v>5741</v>
      </c>
      <c r="C448" s="10" t="s">
        <v>5742</v>
      </c>
    </row>
    <row r="449" spans="1:3">
      <c r="A449" s="8" t="s">
        <v>3623</v>
      </c>
      <c r="B449" s="9" t="s">
        <v>3624</v>
      </c>
      <c r="C449" s="10" t="s">
        <v>3625</v>
      </c>
    </row>
    <row r="450" spans="1:3">
      <c r="A450" s="8" t="s">
        <v>5765</v>
      </c>
      <c r="B450" s="9" t="s">
        <v>5766</v>
      </c>
      <c r="C450" s="10" t="s">
        <v>5824</v>
      </c>
    </row>
    <row r="451" spans="1:3">
      <c r="A451" s="8" t="s">
        <v>5732</v>
      </c>
      <c r="B451" s="9" t="s">
        <v>5733</v>
      </c>
      <c r="C451" s="10" t="s">
        <v>5734</v>
      </c>
    </row>
    <row r="452" spans="1:3">
      <c r="A452" s="8" t="s">
        <v>5735</v>
      </c>
      <c r="B452" s="9" t="s">
        <v>5736</v>
      </c>
      <c r="C452" s="10" t="s">
        <v>5737</v>
      </c>
    </row>
    <row r="453" spans="1:3">
      <c r="A453" s="8" t="s">
        <v>5713</v>
      </c>
      <c r="B453" s="9" t="s">
        <v>5714</v>
      </c>
      <c r="C453" s="10" t="s">
        <v>5715</v>
      </c>
    </row>
    <row r="454" spans="1:3">
      <c r="A454" s="8" t="s">
        <v>5762</v>
      </c>
      <c r="B454" s="9" t="s">
        <v>5763</v>
      </c>
      <c r="C454" s="10" t="s">
        <v>5764</v>
      </c>
    </row>
    <row r="455" spans="1:3">
      <c r="A455" s="8" t="s">
        <v>3307</v>
      </c>
      <c r="B455" s="9" t="s">
        <v>3308</v>
      </c>
      <c r="C455" s="10" t="s">
        <v>3309</v>
      </c>
    </row>
    <row r="456" spans="1:3">
      <c r="A456" s="8" t="s">
        <v>5716</v>
      </c>
      <c r="B456" s="9" t="s">
        <v>5717</v>
      </c>
      <c r="C456" s="10" t="s">
        <v>5718</v>
      </c>
    </row>
    <row r="457" spans="1:3">
      <c r="A457" s="8" t="s">
        <v>2959</v>
      </c>
      <c r="B457" s="9" t="s">
        <v>2960</v>
      </c>
      <c r="C457" s="10" t="s">
        <v>2961</v>
      </c>
    </row>
    <row r="458" spans="1:3">
      <c r="A458" s="8" t="s">
        <v>2962</v>
      </c>
      <c r="B458" s="9" t="s">
        <v>2963</v>
      </c>
      <c r="C458" s="10" t="s">
        <v>2964</v>
      </c>
    </row>
    <row r="459" spans="1:3">
      <c r="A459" s="8" t="s">
        <v>2948</v>
      </c>
      <c r="B459" s="9" t="s">
        <v>2949</v>
      </c>
      <c r="C459" s="10" t="s">
        <v>2961</v>
      </c>
    </row>
    <row r="460" spans="1:3">
      <c r="A460" s="8" t="s">
        <v>2945</v>
      </c>
      <c r="B460" s="9" t="s">
        <v>2946</v>
      </c>
      <c r="C460" s="10" t="s">
        <v>2947</v>
      </c>
    </row>
    <row r="461" spans="1:3">
      <c r="A461" s="8" t="s">
        <v>3544</v>
      </c>
      <c r="B461" s="9" t="s">
        <v>3545</v>
      </c>
      <c r="C461" s="10" t="s">
        <v>3546</v>
      </c>
    </row>
    <row r="462" spans="1:3">
      <c r="A462" s="8" t="s">
        <v>2950</v>
      </c>
      <c r="B462" s="9" t="s">
        <v>2951</v>
      </c>
      <c r="C462" s="10" t="s">
        <v>2952</v>
      </c>
    </row>
    <row r="463" spans="1:3">
      <c r="A463" s="8" t="s">
        <v>3526</v>
      </c>
      <c r="B463" s="9" t="s">
        <v>3527</v>
      </c>
      <c r="C463" s="10" t="s">
        <v>3528</v>
      </c>
    </row>
    <row r="464" spans="1:3">
      <c r="A464" s="8" t="s">
        <v>3517</v>
      </c>
      <c r="B464" s="9" t="s">
        <v>3518</v>
      </c>
      <c r="C464" s="10" t="s">
        <v>3519</v>
      </c>
    </row>
    <row r="465" spans="1:3">
      <c r="A465" s="8" t="s">
        <v>1809</v>
      </c>
      <c r="B465" s="9" t="s">
        <v>1810</v>
      </c>
      <c r="C465" s="10" t="s">
        <v>1811</v>
      </c>
    </row>
    <row r="466" spans="1:3">
      <c r="A466" s="8" t="s">
        <v>17</v>
      </c>
      <c r="B466" s="9" t="s">
        <v>18</v>
      </c>
      <c r="C466" s="10" t="s">
        <v>19</v>
      </c>
    </row>
    <row r="467" spans="1:3">
      <c r="A467" s="8" t="s">
        <v>11</v>
      </c>
      <c r="B467" s="9" t="s">
        <v>12</v>
      </c>
      <c r="C467" s="10" t="s">
        <v>13</v>
      </c>
    </row>
    <row r="468" spans="1:3">
      <c r="A468" s="8" t="s">
        <v>14</v>
      </c>
      <c r="B468" s="9" t="s">
        <v>15</v>
      </c>
      <c r="C468" s="10" t="s">
        <v>16</v>
      </c>
    </row>
    <row r="469" spans="1:3">
      <c r="A469" s="8" t="s">
        <v>337</v>
      </c>
      <c r="B469" s="9" t="s">
        <v>338</v>
      </c>
      <c r="C469" s="10" t="s">
        <v>339</v>
      </c>
    </row>
    <row r="470" spans="1:3">
      <c r="A470" s="8" t="s">
        <v>345</v>
      </c>
      <c r="B470" s="9" t="s">
        <v>346</v>
      </c>
      <c r="C470" s="10" t="s">
        <v>347</v>
      </c>
    </row>
    <row r="471" spans="1:3">
      <c r="A471" s="8" t="s">
        <v>3479</v>
      </c>
      <c r="B471" s="9" t="s">
        <v>3480</v>
      </c>
      <c r="C471" s="10" t="s">
        <v>5825</v>
      </c>
    </row>
    <row r="472" spans="1:3">
      <c r="A472" s="8" t="s">
        <v>61</v>
      </c>
      <c r="B472" s="9" t="s">
        <v>62</v>
      </c>
      <c r="C472" s="10" t="s">
        <v>63</v>
      </c>
    </row>
    <row r="473" spans="1:3">
      <c r="A473" s="8" t="s">
        <v>724</v>
      </c>
      <c r="B473" s="9" t="s">
        <v>725</v>
      </c>
      <c r="C473" s="10" t="s">
        <v>726</v>
      </c>
    </row>
    <row r="474" spans="1:3">
      <c r="A474" s="8" t="s">
        <v>5598</v>
      </c>
      <c r="B474" s="9" t="s">
        <v>5599</v>
      </c>
      <c r="C474" s="10" t="s">
        <v>5600</v>
      </c>
    </row>
    <row r="475" spans="1:3">
      <c r="A475" s="8" t="s">
        <v>1335</v>
      </c>
      <c r="B475" s="9" t="s">
        <v>1336</v>
      </c>
      <c r="C475" s="10" t="s">
        <v>1337</v>
      </c>
    </row>
    <row r="476" spans="1:3">
      <c r="A476" s="8" t="s">
        <v>4117</v>
      </c>
      <c r="B476" s="9" t="s">
        <v>4116</v>
      </c>
      <c r="C476" s="10" t="s">
        <v>5781</v>
      </c>
    </row>
    <row r="477" spans="1:3">
      <c r="A477" s="8" t="s">
        <v>4843</v>
      </c>
      <c r="B477" s="9" t="s">
        <v>4844</v>
      </c>
      <c r="C477" s="10" t="s">
        <v>4845</v>
      </c>
    </row>
    <row r="478" spans="1:3">
      <c r="A478" s="8" t="s">
        <v>4850</v>
      </c>
      <c r="B478" s="9" t="s">
        <v>4851</v>
      </c>
      <c r="C478" s="10" t="s">
        <v>4852</v>
      </c>
    </row>
    <row r="479" spans="1:3">
      <c r="A479" s="8" t="s">
        <v>1644</v>
      </c>
      <c r="B479" s="9" t="s">
        <v>1645</v>
      </c>
      <c r="C479" s="10" t="s">
        <v>1646</v>
      </c>
    </row>
    <row r="480" spans="1:3">
      <c r="A480" s="8" t="s">
        <v>5244</v>
      </c>
      <c r="B480" s="9" t="s">
        <v>5245</v>
      </c>
      <c r="C480" s="10" t="s">
        <v>5246</v>
      </c>
    </row>
    <row r="481" spans="1:3">
      <c r="A481" s="8" t="s">
        <v>5248</v>
      </c>
      <c r="B481" s="9" t="s">
        <v>5249</v>
      </c>
      <c r="C481" s="10" t="s">
        <v>5250</v>
      </c>
    </row>
    <row r="482" spans="1:3">
      <c r="A482" s="8" t="s">
        <v>5504</v>
      </c>
      <c r="B482" s="9" t="s">
        <v>5505</v>
      </c>
      <c r="C482" s="10" t="s">
        <v>5506</v>
      </c>
    </row>
    <row r="483" spans="1:3">
      <c r="A483" s="8" t="s">
        <v>2342</v>
      </c>
      <c r="B483" s="9" t="s">
        <v>2343</v>
      </c>
      <c r="C483" s="10" t="s">
        <v>2344</v>
      </c>
    </row>
    <row r="484" spans="1:3">
      <c r="A484" s="8" t="s">
        <v>3706</v>
      </c>
      <c r="B484" s="9" t="s">
        <v>3707</v>
      </c>
      <c r="C484" s="10" t="s">
        <v>5826</v>
      </c>
    </row>
    <row r="485" spans="1:3">
      <c r="A485" s="8" t="s">
        <v>4847</v>
      </c>
      <c r="B485" s="9" t="s">
        <v>4848</v>
      </c>
      <c r="C485" s="10" t="s">
        <v>4849</v>
      </c>
    </row>
    <row r="486" spans="1:3">
      <c r="A486" s="8" t="s">
        <v>1413</v>
      </c>
      <c r="B486" s="9" t="s">
        <v>1414</v>
      </c>
      <c r="C486" s="10" t="s">
        <v>1415</v>
      </c>
    </row>
    <row r="487" spans="1:3">
      <c r="A487" s="8" t="s">
        <v>51</v>
      </c>
      <c r="B487" s="9" t="s">
        <v>52</v>
      </c>
      <c r="C487" s="10" t="s">
        <v>53</v>
      </c>
    </row>
    <row r="488" spans="1:3">
      <c r="A488" s="8" t="s">
        <v>1271</v>
      </c>
      <c r="B488" s="9" t="s">
        <v>1272</v>
      </c>
      <c r="C488" s="10" t="s">
        <v>5827</v>
      </c>
    </row>
    <row r="489" spans="1:3">
      <c r="A489" s="8" t="s">
        <v>1273</v>
      </c>
      <c r="B489" s="9" t="s">
        <v>1274</v>
      </c>
      <c r="C489" s="10" t="s">
        <v>5828</v>
      </c>
    </row>
    <row r="490" spans="1:3">
      <c r="A490" s="8" t="s">
        <v>1275</v>
      </c>
      <c r="B490" s="9" t="s">
        <v>1274</v>
      </c>
      <c r="C490" s="10" t="s">
        <v>5828</v>
      </c>
    </row>
    <row r="491" spans="1:3">
      <c r="A491" s="8" t="s">
        <v>1382</v>
      </c>
      <c r="B491" s="9" t="s">
        <v>1383</v>
      </c>
      <c r="C491" s="10" t="s">
        <v>1384</v>
      </c>
    </row>
    <row r="492" spans="1:3">
      <c r="A492" s="8" t="s">
        <v>1385</v>
      </c>
      <c r="B492" s="9" t="s">
        <v>1386</v>
      </c>
      <c r="C492" s="10" t="s">
        <v>1387</v>
      </c>
    </row>
    <row r="493" spans="1:3">
      <c r="A493" s="8" t="s">
        <v>3363</v>
      </c>
      <c r="B493" s="9" t="s">
        <v>3364</v>
      </c>
      <c r="C493" s="10" t="s">
        <v>3365</v>
      </c>
    </row>
    <row r="494" spans="1:3">
      <c r="A494" s="8" t="s">
        <v>1388</v>
      </c>
      <c r="B494" s="9" t="s">
        <v>1389</v>
      </c>
      <c r="C494" s="10" t="s">
        <v>1390</v>
      </c>
    </row>
    <row r="495" spans="1:3">
      <c r="A495" s="8" t="s">
        <v>3348</v>
      </c>
      <c r="B495" s="9" t="s">
        <v>3349</v>
      </c>
      <c r="C495" s="10" t="s">
        <v>3350</v>
      </c>
    </row>
    <row r="496" spans="1:3">
      <c r="A496" s="8" t="s">
        <v>1397</v>
      </c>
      <c r="B496" s="9" t="s">
        <v>1398</v>
      </c>
      <c r="C496" s="10" t="s">
        <v>1399</v>
      </c>
    </row>
    <row r="497" spans="1:3">
      <c r="A497" s="8" t="s">
        <v>4101</v>
      </c>
      <c r="B497" s="9" t="s">
        <v>4102</v>
      </c>
      <c r="C497" s="10" t="s">
        <v>5829</v>
      </c>
    </row>
    <row r="498" spans="1:3">
      <c r="A498" s="8" t="s">
        <v>1322</v>
      </c>
      <c r="B498" s="9" t="s">
        <v>1323</v>
      </c>
      <c r="C498" s="10" t="s">
        <v>1324</v>
      </c>
    </row>
    <row r="499" spans="1:3">
      <c r="A499" s="8" t="s">
        <v>2971</v>
      </c>
      <c r="B499" s="9" t="s">
        <v>2972</v>
      </c>
      <c r="C499" s="10" t="s">
        <v>2973</v>
      </c>
    </row>
    <row r="500" spans="1:3">
      <c r="A500" s="8" t="s">
        <v>3562</v>
      </c>
      <c r="B500" s="9" t="s">
        <v>3563</v>
      </c>
      <c r="C500" s="10" t="s">
        <v>3564</v>
      </c>
    </row>
    <row r="501" spans="1:3">
      <c r="A501" s="8" t="s">
        <v>5420</v>
      </c>
      <c r="B501" s="9" t="s">
        <v>5421</v>
      </c>
      <c r="C501" s="10" t="s">
        <v>5422</v>
      </c>
    </row>
    <row r="502" spans="1:3">
      <c r="A502" s="8" t="s">
        <v>5430</v>
      </c>
      <c r="B502" s="9" t="s">
        <v>5431</v>
      </c>
      <c r="C502" s="10" t="s">
        <v>5432</v>
      </c>
    </row>
    <row r="503" spans="1:3">
      <c r="A503" s="8" t="s">
        <v>5436</v>
      </c>
      <c r="B503" s="9" t="s">
        <v>5437</v>
      </c>
      <c r="C503" s="10" t="s">
        <v>5438</v>
      </c>
    </row>
    <row r="504" spans="1:3">
      <c r="A504" s="8" t="s">
        <v>5424</v>
      </c>
      <c r="B504" s="9" t="s">
        <v>5425</v>
      </c>
      <c r="C504" s="10" t="s">
        <v>5426</v>
      </c>
    </row>
    <row r="505" spans="1:3">
      <c r="A505" s="8" t="s">
        <v>5439</v>
      </c>
      <c r="B505" s="9" t="s">
        <v>5440</v>
      </c>
      <c r="C505" s="10" t="s">
        <v>5441</v>
      </c>
    </row>
    <row r="506" spans="1:3">
      <c r="A506" s="8" t="s">
        <v>1316</v>
      </c>
      <c r="B506" s="9" t="s">
        <v>1317</v>
      </c>
      <c r="C506" s="10" t="s">
        <v>1318</v>
      </c>
    </row>
    <row r="507" spans="1:3">
      <c r="A507" s="8" t="s">
        <v>3550</v>
      </c>
      <c r="B507" s="9" t="s">
        <v>3551</v>
      </c>
      <c r="C507" s="10" t="s">
        <v>3551</v>
      </c>
    </row>
    <row r="508" spans="1:3">
      <c r="A508" s="8" t="s">
        <v>958</v>
      </c>
      <c r="B508" s="9" t="s">
        <v>959</v>
      </c>
      <c r="C508" s="10" t="s">
        <v>960</v>
      </c>
    </row>
    <row r="509" spans="1:3">
      <c r="A509" s="8" t="s">
        <v>1166</v>
      </c>
      <c r="B509" s="9" t="s">
        <v>1167</v>
      </c>
      <c r="C509" s="10" t="s">
        <v>1168</v>
      </c>
    </row>
    <row r="510" spans="1:3">
      <c r="A510" s="8" t="s">
        <v>1082</v>
      </c>
      <c r="B510" s="9" t="s">
        <v>1083</v>
      </c>
      <c r="C510" s="10" t="s">
        <v>5830</v>
      </c>
    </row>
    <row r="511" spans="1:3">
      <c r="A511" s="8" t="s">
        <v>735</v>
      </c>
      <c r="B511" s="9" t="s">
        <v>736</v>
      </c>
      <c r="C511" s="10" t="s">
        <v>737</v>
      </c>
    </row>
    <row r="512" spans="1:3">
      <c r="A512" s="8" t="s">
        <v>732</v>
      </c>
      <c r="B512" s="9" t="s">
        <v>733</v>
      </c>
      <c r="C512" s="10" t="s">
        <v>734</v>
      </c>
    </row>
    <row r="513" spans="1:3">
      <c r="A513" s="8" t="s">
        <v>705</v>
      </c>
      <c r="B513" s="9" t="s">
        <v>706</v>
      </c>
      <c r="C513" s="10" t="s">
        <v>707</v>
      </c>
    </row>
    <row r="514" spans="1:3">
      <c r="A514" s="8" t="s">
        <v>727</v>
      </c>
      <c r="B514" s="9" t="s">
        <v>728</v>
      </c>
      <c r="C514" s="10" t="s">
        <v>729</v>
      </c>
    </row>
    <row r="515" spans="1:3">
      <c r="A515" s="8" t="s">
        <v>472</v>
      </c>
      <c r="B515" s="9" t="s">
        <v>473</v>
      </c>
      <c r="C515" s="10" t="s">
        <v>5831</v>
      </c>
    </row>
    <row r="516" spans="1:3">
      <c r="A516" s="8" t="s">
        <v>1206</v>
      </c>
      <c r="B516" s="9" t="s">
        <v>1207</v>
      </c>
      <c r="C516" s="10" t="s">
        <v>1208</v>
      </c>
    </row>
    <row r="517" spans="1:3">
      <c r="A517" s="8" t="s">
        <v>1211</v>
      </c>
      <c r="B517" s="9" t="s">
        <v>1212</v>
      </c>
      <c r="C517" s="10" t="s">
        <v>5832</v>
      </c>
    </row>
    <row r="518" spans="1:3">
      <c r="A518" s="8" t="s">
        <v>4118</v>
      </c>
      <c r="B518" s="9" t="s">
        <v>4116</v>
      </c>
      <c r="C518" s="10" t="s">
        <v>5781</v>
      </c>
    </row>
    <row r="519" spans="1:3">
      <c r="A519" s="8" t="s">
        <v>224</v>
      </c>
      <c r="B519" s="9" t="s">
        <v>225</v>
      </c>
      <c r="C519" s="10" t="s">
        <v>226</v>
      </c>
    </row>
    <row r="520" spans="1:3">
      <c r="A520" s="8" t="s">
        <v>198</v>
      </c>
      <c r="B520" s="9" t="s">
        <v>199</v>
      </c>
      <c r="C520" s="10" t="s">
        <v>200</v>
      </c>
    </row>
    <row r="521" spans="1:3">
      <c r="A521" s="8" t="s">
        <v>335</v>
      </c>
      <c r="B521" s="9" t="s">
        <v>336</v>
      </c>
      <c r="C521" s="10" t="s">
        <v>200</v>
      </c>
    </row>
    <row r="522" spans="1:3">
      <c r="A522" s="8" t="s">
        <v>1213</v>
      </c>
      <c r="B522" s="9" t="s">
        <v>1212</v>
      </c>
      <c r="C522" s="10" t="s">
        <v>5833</v>
      </c>
    </row>
    <row r="523" spans="1:3">
      <c r="A523" s="8" t="s">
        <v>1214</v>
      </c>
      <c r="B523" s="9" t="s">
        <v>1215</v>
      </c>
      <c r="C523" s="10" t="s">
        <v>5834</v>
      </c>
    </row>
    <row r="524" spans="1:3">
      <c r="A524" s="8" t="s">
        <v>3079</v>
      </c>
      <c r="B524" s="9" t="s">
        <v>3078</v>
      </c>
      <c r="C524" s="10" t="s">
        <v>2958</v>
      </c>
    </row>
    <row r="525" spans="1:3">
      <c r="A525" s="8" t="s">
        <v>496</v>
      </c>
      <c r="B525" s="9" t="s">
        <v>497</v>
      </c>
      <c r="C525" s="10" t="s">
        <v>498</v>
      </c>
    </row>
    <row r="526" spans="1:3">
      <c r="A526" s="8" t="s">
        <v>4664</v>
      </c>
      <c r="B526" s="9" t="s">
        <v>4665</v>
      </c>
      <c r="C526" s="10" t="s">
        <v>4666</v>
      </c>
    </row>
    <row r="527" spans="1:3">
      <c r="A527" s="8" t="s">
        <v>6</v>
      </c>
      <c r="B527" s="9" t="s">
        <v>6</v>
      </c>
      <c r="C527" s="10" t="s">
        <v>7</v>
      </c>
    </row>
    <row r="528" spans="1:3">
      <c r="A528" s="8" t="s">
        <v>3629</v>
      </c>
      <c r="B528" s="9" t="s">
        <v>3630</v>
      </c>
      <c r="C528" s="10" t="s">
        <v>3631</v>
      </c>
    </row>
    <row r="529" spans="1:3">
      <c r="A529" s="8" t="s">
        <v>5160</v>
      </c>
      <c r="B529" s="9" t="s">
        <v>5161</v>
      </c>
      <c r="C529" s="10" t="s">
        <v>5162</v>
      </c>
    </row>
    <row r="530" spans="1:3">
      <c r="A530" s="8" t="s">
        <v>3610</v>
      </c>
      <c r="B530" s="9" t="s">
        <v>3607</v>
      </c>
      <c r="C530" s="10" t="s">
        <v>3608</v>
      </c>
    </row>
    <row r="531" spans="1:3">
      <c r="A531" s="8" t="s">
        <v>1717</v>
      </c>
      <c r="B531" s="9" t="s">
        <v>1718</v>
      </c>
      <c r="C531" s="10" t="s">
        <v>1719</v>
      </c>
    </row>
    <row r="532" spans="1:3">
      <c r="A532" s="8" t="s">
        <v>3035</v>
      </c>
      <c r="B532" s="9" t="s">
        <v>3036</v>
      </c>
      <c r="C532" s="10" t="s">
        <v>3037</v>
      </c>
    </row>
    <row r="533" spans="1:3">
      <c r="A533" s="8" t="s">
        <v>3017</v>
      </c>
      <c r="B533" s="9" t="s">
        <v>3018</v>
      </c>
      <c r="C533" s="10" t="s">
        <v>3019</v>
      </c>
    </row>
    <row r="534" spans="1:3">
      <c r="A534" s="8" t="s">
        <v>3816</v>
      </c>
      <c r="B534" s="9" t="s">
        <v>3817</v>
      </c>
      <c r="C534" s="10" t="s">
        <v>3818</v>
      </c>
    </row>
    <row r="535" spans="1:3">
      <c r="A535" s="8" t="s">
        <v>4733</v>
      </c>
      <c r="B535" s="9" t="s">
        <v>4734</v>
      </c>
      <c r="C535" s="10" t="s">
        <v>4735</v>
      </c>
    </row>
    <row r="536" spans="1:3">
      <c r="A536" s="8" t="s">
        <v>4736</v>
      </c>
      <c r="B536" s="9" t="s">
        <v>4734</v>
      </c>
      <c r="C536" s="10" t="s">
        <v>4735</v>
      </c>
    </row>
    <row r="537" spans="1:3">
      <c r="A537" s="8" t="s">
        <v>1019</v>
      </c>
      <c r="B537" s="9" t="s">
        <v>1020</v>
      </c>
      <c r="C537" s="10" t="s">
        <v>1021</v>
      </c>
    </row>
    <row r="538" spans="1:3">
      <c r="A538" s="8" t="s">
        <v>1038</v>
      </c>
      <c r="B538" s="9" t="s">
        <v>1039</v>
      </c>
      <c r="C538" s="10" t="s">
        <v>1040</v>
      </c>
    </row>
    <row r="539" spans="1:3">
      <c r="A539" s="8" t="s">
        <v>1286</v>
      </c>
      <c r="B539" s="9" t="s">
        <v>1287</v>
      </c>
      <c r="C539" s="10" t="s">
        <v>1288</v>
      </c>
    </row>
    <row r="540" spans="1:3">
      <c r="A540" s="8" t="s">
        <v>2256</v>
      </c>
      <c r="B540" s="9" t="s">
        <v>2257</v>
      </c>
      <c r="C540" s="10" t="s">
        <v>2258</v>
      </c>
    </row>
    <row r="541" spans="1:3">
      <c r="A541" s="8" t="s">
        <v>3997</v>
      </c>
      <c r="B541" s="9" t="s">
        <v>3998</v>
      </c>
      <c r="C541" s="10" t="s">
        <v>5835</v>
      </c>
    </row>
    <row r="542" spans="1:3">
      <c r="A542" s="8" t="s">
        <v>1254</v>
      </c>
      <c r="B542" s="9" t="s">
        <v>1255</v>
      </c>
      <c r="C542" s="10" t="s">
        <v>5836</v>
      </c>
    </row>
    <row r="543" spans="1:3">
      <c r="A543" s="8" t="s">
        <v>5091</v>
      </c>
      <c r="B543" s="9" t="s">
        <v>5092</v>
      </c>
      <c r="C543" s="10" t="s">
        <v>5093</v>
      </c>
    </row>
    <row r="544" spans="1:3">
      <c r="A544" s="8" t="s">
        <v>3080</v>
      </c>
      <c r="B544" s="9" t="s">
        <v>3078</v>
      </c>
      <c r="C544" s="10" t="s">
        <v>2958</v>
      </c>
    </row>
    <row r="545" spans="1:3">
      <c r="A545" s="8" t="s">
        <v>3073</v>
      </c>
      <c r="B545" s="9" t="s">
        <v>3074</v>
      </c>
      <c r="C545" s="10" t="s">
        <v>3075</v>
      </c>
    </row>
    <row r="546" spans="1:3">
      <c r="A546" s="8" t="s">
        <v>1468</v>
      </c>
      <c r="B546" s="9" t="s">
        <v>1469</v>
      </c>
      <c r="C546" s="10" t="s">
        <v>1470</v>
      </c>
    </row>
    <row r="547" spans="1:3">
      <c r="A547" s="8" t="s">
        <v>1437</v>
      </c>
      <c r="B547" s="9" t="s">
        <v>1438</v>
      </c>
      <c r="C547" s="10" t="s">
        <v>1439</v>
      </c>
    </row>
    <row r="548" spans="1:3">
      <c r="A548" s="8" t="s">
        <v>1447</v>
      </c>
      <c r="B548" s="9" t="s">
        <v>1448</v>
      </c>
      <c r="C548" s="10" t="s">
        <v>1449</v>
      </c>
    </row>
    <row r="549" spans="1:3">
      <c r="A549" s="8" t="s">
        <v>808</v>
      </c>
      <c r="B549" s="9" t="s">
        <v>809</v>
      </c>
      <c r="C549" s="10" t="s">
        <v>810</v>
      </c>
    </row>
    <row r="550" spans="1:3">
      <c r="A550" s="8" t="s">
        <v>805</v>
      </c>
      <c r="B550" s="9" t="s">
        <v>806</v>
      </c>
      <c r="C550" s="10" t="s">
        <v>807</v>
      </c>
    </row>
    <row r="551" spans="1:3">
      <c r="A551" s="8" t="s">
        <v>1878</v>
      </c>
      <c r="B551" s="9" t="s">
        <v>1879</v>
      </c>
      <c r="C551" s="10" t="s">
        <v>1880</v>
      </c>
    </row>
    <row r="552" spans="1:3">
      <c r="A552" s="8" t="s">
        <v>5507</v>
      </c>
      <c r="B552" s="9" t="s">
        <v>5508</v>
      </c>
      <c r="C552" s="10" t="s">
        <v>5509</v>
      </c>
    </row>
    <row r="553" spans="1:3">
      <c r="A553" s="8" t="s">
        <v>5510</v>
      </c>
      <c r="B553" s="9" t="s">
        <v>5508</v>
      </c>
      <c r="C553" s="10" t="s">
        <v>5509</v>
      </c>
    </row>
    <row r="554" spans="1:3">
      <c r="A554" s="8" t="s">
        <v>1528</v>
      </c>
      <c r="B554" s="9" t="s">
        <v>1529</v>
      </c>
      <c r="C554" s="10" t="s">
        <v>1530</v>
      </c>
    </row>
    <row r="555" spans="1:3">
      <c r="A555" s="8" t="s">
        <v>5491</v>
      </c>
      <c r="B555" s="9" t="s">
        <v>5492</v>
      </c>
      <c r="C555" s="10" t="s">
        <v>5837</v>
      </c>
    </row>
    <row r="556" spans="1:3">
      <c r="A556" s="8" t="s">
        <v>3066</v>
      </c>
      <c r="B556" s="9" t="s">
        <v>3067</v>
      </c>
      <c r="C556" s="10" t="s">
        <v>3068</v>
      </c>
    </row>
    <row r="557" spans="1:3">
      <c r="A557" s="8" t="s">
        <v>4911</v>
      </c>
      <c r="B557" s="9" t="s">
        <v>4912</v>
      </c>
      <c r="C557" s="10" t="s">
        <v>4913</v>
      </c>
    </row>
    <row r="558" spans="1:3">
      <c r="A558" s="8" t="s">
        <v>1483</v>
      </c>
      <c r="B558" s="9" t="s">
        <v>1484</v>
      </c>
      <c r="C558" s="10" t="s">
        <v>1485</v>
      </c>
    </row>
    <row r="559" spans="1:3">
      <c r="A559" s="8" t="s">
        <v>578</v>
      </c>
      <c r="B559" s="9" t="s">
        <v>579</v>
      </c>
      <c r="C559" s="10" t="s">
        <v>580</v>
      </c>
    </row>
    <row r="560" spans="1:3">
      <c r="A560" s="8" t="s">
        <v>5683</v>
      </c>
      <c r="B560" s="9" t="s">
        <v>5684</v>
      </c>
      <c r="C560" s="10" t="s">
        <v>5685</v>
      </c>
    </row>
    <row r="561" spans="1:3">
      <c r="A561" s="8" t="s">
        <v>2566</v>
      </c>
      <c r="B561" s="9" t="s">
        <v>2567</v>
      </c>
      <c r="C561" s="10" t="s">
        <v>2568</v>
      </c>
    </row>
    <row r="562" spans="1:3">
      <c r="A562" s="8" t="s">
        <v>2690</v>
      </c>
      <c r="B562" s="9" t="s">
        <v>2691</v>
      </c>
      <c r="C562" s="10" t="s">
        <v>2692</v>
      </c>
    </row>
    <row r="563" spans="1:3">
      <c r="A563" s="8" t="s">
        <v>315</v>
      </c>
      <c r="B563" s="9" t="s">
        <v>316</v>
      </c>
      <c r="C563" s="10" t="s">
        <v>317</v>
      </c>
    </row>
    <row r="564" spans="1:3">
      <c r="A564" s="8" t="s">
        <v>1779</v>
      </c>
      <c r="B564" s="9" t="s">
        <v>1780</v>
      </c>
      <c r="C564" s="10" t="s">
        <v>1781</v>
      </c>
    </row>
    <row r="565" spans="1:3">
      <c r="A565" s="8" t="s">
        <v>1416</v>
      </c>
      <c r="B565" s="9" t="s">
        <v>1417</v>
      </c>
      <c r="C565" s="10" t="s">
        <v>1418</v>
      </c>
    </row>
    <row r="566" spans="1:3">
      <c r="A566" s="8" t="s">
        <v>1410</v>
      </c>
      <c r="B566" s="9" t="s">
        <v>1411</v>
      </c>
      <c r="C566" s="10" t="s">
        <v>1412</v>
      </c>
    </row>
    <row r="567" spans="1:3">
      <c r="A567" s="8" t="s">
        <v>3099</v>
      </c>
      <c r="B567" s="9" t="s">
        <v>3100</v>
      </c>
      <c r="C567" s="10" t="s">
        <v>3101</v>
      </c>
    </row>
    <row r="568" spans="1:3">
      <c r="A568" s="8" t="s">
        <v>4806</v>
      </c>
      <c r="B568" s="9" t="s">
        <v>4807</v>
      </c>
      <c r="C568" s="10" t="s">
        <v>4808</v>
      </c>
    </row>
    <row r="569" spans="1:3">
      <c r="A569" s="8" t="s">
        <v>1741</v>
      </c>
      <c r="B569" s="9" t="s">
        <v>1742</v>
      </c>
      <c r="C569" s="10" t="s">
        <v>1743</v>
      </c>
    </row>
    <row r="570" spans="1:3">
      <c r="A570" s="8" t="s">
        <v>4706</v>
      </c>
      <c r="B570" s="9" t="s">
        <v>4707</v>
      </c>
      <c r="C570" s="10" t="s">
        <v>4708</v>
      </c>
    </row>
    <row r="571" spans="1:3">
      <c r="A571" s="8" t="s">
        <v>3425</v>
      </c>
      <c r="B571" s="9" t="s">
        <v>3426</v>
      </c>
      <c r="C571" s="10" t="s">
        <v>3427</v>
      </c>
    </row>
    <row r="572" spans="1:3">
      <c r="A572" s="8" t="s">
        <v>3767</v>
      </c>
      <c r="B572" s="9" t="s">
        <v>3768</v>
      </c>
      <c r="C572" s="10" t="s">
        <v>3769</v>
      </c>
    </row>
    <row r="573" spans="1:3">
      <c r="A573" s="8" t="s">
        <v>4773</v>
      </c>
      <c r="B573" s="9" t="s">
        <v>4771</v>
      </c>
      <c r="C573" s="10" t="s">
        <v>4772</v>
      </c>
    </row>
    <row r="574" spans="1:3">
      <c r="A574" s="8" t="s">
        <v>4740</v>
      </c>
      <c r="B574" s="9" t="s">
        <v>4741</v>
      </c>
      <c r="C574" s="10" t="s">
        <v>4742</v>
      </c>
    </row>
    <row r="575" spans="1:3">
      <c r="A575" s="8" t="s">
        <v>4886</v>
      </c>
      <c r="B575" s="9" t="s">
        <v>4887</v>
      </c>
      <c r="C575" s="10" t="s">
        <v>4888</v>
      </c>
    </row>
    <row r="576" spans="1:3">
      <c r="A576" s="8" t="s">
        <v>4920</v>
      </c>
      <c r="B576" s="9" t="s">
        <v>4921</v>
      </c>
      <c r="C576" s="10" t="s">
        <v>4922</v>
      </c>
    </row>
    <row r="577" spans="1:3">
      <c r="A577" s="8" t="s">
        <v>123</v>
      </c>
      <c r="B577" s="9" t="s">
        <v>124</v>
      </c>
      <c r="C577" s="10" t="s">
        <v>125</v>
      </c>
    </row>
    <row r="578" spans="1:3">
      <c r="A578" s="8" t="s">
        <v>147</v>
      </c>
      <c r="B578" s="9" t="s">
        <v>148</v>
      </c>
      <c r="C578" s="10" t="s">
        <v>149</v>
      </c>
    </row>
    <row r="579" spans="1:3">
      <c r="A579" s="8" t="s">
        <v>1419</v>
      </c>
      <c r="B579" s="9" t="s">
        <v>1417</v>
      </c>
      <c r="C579" s="10" t="s">
        <v>1418</v>
      </c>
    </row>
    <row r="580" spans="1:3">
      <c r="A580" s="8" t="s">
        <v>5361</v>
      </c>
      <c r="B580" s="9" t="s">
        <v>5359</v>
      </c>
      <c r="C580" s="10" t="s">
        <v>5360</v>
      </c>
    </row>
    <row r="581" spans="1:3">
      <c r="A581" s="8" t="s">
        <v>1400</v>
      </c>
      <c r="B581" s="9" t="s">
        <v>1398</v>
      </c>
      <c r="C581" s="10" t="s">
        <v>1399</v>
      </c>
    </row>
    <row r="582" spans="1:3">
      <c r="A582" s="8" t="s">
        <v>4514</v>
      </c>
      <c r="B582" s="9" t="s">
        <v>4515</v>
      </c>
      <c r="C582" s="10" t="s">
        <v>5838</v>
      </c>
    </row>
    <row r="583" spans="1:3">
      <c r="A583" s="8" t="s">
        <v>4446</v>
      </c>
      <c r="B583" s="9" t="s">
        <v>4444</v>
      </c>
      <c r="C583" s="10" t="s">
        <v>4447</v>
      </c>
    </row>
    <row r="584" spans="1:3">
      <c r="A584" s="8" t="s">
        <v>4435</v>
      </c>
      <c r="B584" s="9" t="s">
        <v>4436</v>
      </c>
      <c r="C584" s="10" t="s">
        <v>4437</v>
      </c>
    </row>
    <row r="585" spans="1:3">
      <c r="A585" s="8" t="s">
        <v>4448</v>
      </c>
      <c r="B585" s="9" t="s">
        <v>4444</v>
      </c>
      <c r="C585" s="10" t="s">
        <v>4449</v>
      </c>
    </row>
    <row r="586" spans="1:3">
      <c r="A586" s="8" t="s">
        <v>4448</v>
      </c>
      <c r="B586" s="9" t="s">
        <v>4444</v>
      </c>
      <c r="C586" s="10" t="s">
        <v>4449</v>
      </c>
    </row>
    <row r="587" spans="1:3">
      <c r="A587" s="8" t="s">
        <v>4412</v>
      </c>
      <c r="B587" s="9" t="s">
        <v>4413</v>
      </c>
      <c r="C587" s="10" t="s">
        <v>4414</v>
      </c>
    </row>
    <row r="588" spans="1:3">
      <c r="A588" s="8" t="s">
        <v>4426</v>
      </c>
      <c r="B588" s="9" t="s">
        <v>4427</v>
      </c>
      <c r="C588" s="10" t="s">
        <v>4428</v>
      </c>
    </row>
    <row r="589" spans="1:3">
      <c r="A589" s="8" t="s">
        <v>4432</v>
      </c>
      <c r="B589" s="9" t="s">
        <v>4433</v>
      </c>
      <c r="C589" s="10" t="s">
        <v>4434</v>
      </c>
    </row>
    <row r="590" spans="1:3">
      <c r="A590" s="8" t="s">
        <v>4318</v>
      </c>
      <c r="B590" s="9" t="s">
        <v>4319</v>
      </c>
      <c r="C590" s="10" t="s">
        <v>4320</v>
      </c>
    </row>
    <row r="591" spans="1:3">
      <c r="A591" s="8" t="s">
        <v>3026</v>
      </c>
      <c r="B591" s="9" t="s">
        <v>3027</v>
      </c>
      <c r="C591" s="10" t="s">
        <v>3028</v>
      </c>
    </row>
    <row r="592" spans="1:3">
      <c r="A592" s="8" t="s">
        <v>3029</v>
      </c>
      <c r="B592" s="9" t="s">
        <v>3030</v>
      </c>
      <c r="C592" s="10" t="s">
        <v>3031</v>
      </c>
    </row>
    <row r="593" spans="1:3">
      <c r="A593" s="8" t="s">
        <v>4454</v>
      </c>
      <c r="B593" s="9" t="s">
        <v>4455</v>
      </c>
      <c r="C593" s="10" t="s">
        <v>4456</v>
      </c>
    </row>
    <row r="594" spans="1:3">
      <c r="A594" s="8" t="s">
        <v>3102</v>
      </c>
      <c r="B594" s="9" t="s">
        <v>3103</v>
      </c>
      <c r="C594" s="10" t="s">
        <v>3104</v>
      </c>
    </row>
    <row r="595" spans="1:3">
      <c r="A595" s="8" t="s">
        <v>2968</v>
      </c>
      <c r="B595" s="9" t="s">
        <v>2969</v>
      </c>
      <c r="C595" s="10" t="s">
        <v>2970</v>
      </c>
    </row>
    <row r="596" spans="1:3">
      <c r="A596" s="8" t="s">
        <v>4379</v>
      </c>
      <c r="B596" s="9" t="s">
        <v>4380</v>
      </c>
      <c r="C596" s="10" t="s">
        <v>4381</v>
      </c>
    </row>
    <row r="597" spans="1:3">
      <c r="A597" s="8" t="s">
        <v>3084</v>
      </c>
      <c r="B597" s="9" t="s">
        <v>3085</v>
      </c>
      <c r="C597" s="10" t="s">
        <v>3086</v>
      </c>
    </row>
    <row r="598" spans="1:3">
      <c r="A598" s="8" t="s">
        <v>1947</v>
      </c>
      <c r="B598" s="9" t="s">
        <v>1946</v>
      </c>
      <c r="C598" s="10" t="s">
        <v>1946</v>
      </c>
    </row>
    <row r="599" spans="1:3">
      <c r="A599" s="8" t="s">
        <v>4307</v>
      </c>
      <c r="B599" s="9" t="s">
        <v>4308</v>
      </c>
      <c r="C599" s="10" t="s">
        <v>5839</v>
      </c>
    </row>
    <row r="600" spans="1:3">
      <c r="A600" s="8" t="s">
        <v>4309</v>
      </c>
      <c r="B600" s="9" t="s">
        <v>4308</v>
      </c>
      <c r="C600" s="10" t="s">
        <v>5839</v>
      </c>
    </row>
    <row r="601" spans="1:3">
      <c r="A601" s="8" t="s">
        <v>4600</v>
      </c>
      <c r="B601" s="9" t="s">
        <v>4601</v>
      </c>
      <c r="C601" s="10" t="s">
        <v>4602</v>
      </c>
    </row>
    <row r="602" spans="1:3">
      <c r="A602" s="8" t="s">
        <v>3038</v>
      </c>
      <c r="B602" s="9" t="s">
        <v>3039</v>
      </c>
      <c r="C602" s="10" t="s">
        <v>3040</v>
      </c>
    </row>
    <row r="603" spans="1:3">
      <c r="A603" s="8" t="s">
        <v>1850</v>
      </c>
      <c r="B603" s="9" t="s">
        <v>1851</v>
      </c>
      <c r="C603" s="10" t="s">
        <v>5840</v>
      </c>
    </row>
    <row r="604" spans="1:3">
      <c r="A604" s="8" t="s">
        <v>1852</v>
      </c>
      <c r="B604" s="9" t="s">
        <v>1853</v>
      </c>
      <c r="C604" s="10" t="s">
        <v>1854</v>
      </c>
    </row>
    <row r="605" spans="1:3">
      <c r="A605" s="8" t="s">
        <v>3384</v>
      </c>
      <c r="B605" s="9" t="s">
        <v>3382</v>
      </c>
      <c r="C605" s="10" t="s">
        <v>3383</v>
      </c>
    </row>
    <row r="606" spans="1:3">
      <c r="A606" s="8" t="s">
        <v>3257</v>
      </c>
      <c r="B606" s="9" t="s">
        <v>3258</v>
      </c>
      <c r="C606" s="10" t="s">
        <v>3259</v>
      </c>
    </row>
    <row r="607" spans="1:3">
      <c r="A607" s="8" t="s">
        <v>1826</v>
      </c>
      <c r="B607" s="9" t="s">
        <v>1827</v>
      </c>
      <c r="C607" s="10" t="s">
        <v>5841</v>
      </c>
    </row>
    <row r="608" spans="1:3">
      <c r="A608" s="8" t="s">
        <v>1893</v>
      </c>
      <c r="B608" s="9" t="s">
        <v>1894</v>
      </c>
      <c r="C608" s="10" t="s">
        <v>1895</v>
      </c>
    </row>
    <row r="609" spans="1:3">
      <c r="A609" s="8" t="s">
        <v>3341</v>
      </c>
      <c r="B609" s="9" t="s">
        <v>3342</v>
      </c>
      <c r="C609" s="10" t="s">
        <v>3343</v>
      </c>
    </row>
    <row r="610" spans="1:3">
      <c r="A610" s="8" t="s">
        <v>1991</v>
      </c>
      <c r="B610" s="9" t="s">
        <v>1992</v>
      </c>
      <c r="C610" s="10" t="s">
        <v>1993</v>
      </c>
    </row>
    <row r="611" spans="1:3">
      <c r="A611" s="8" t="s">
        <v>3146</v>
      </c>
      <c r="B611" s="9" t="s">
        <v>3147</v>
      </c>
      <c r="C611" s="10" t="s">
        <v>3147</v>
      </c>
    </row>
    <row r="612" spans="1:3">
      <c r="A612" s="8" t="s">
        <v>1617</v>
      </c>
      <c r="B612" s="9" t="s">
        <v>1618</v>
      </c>
      <c r="C612" s="10" t="s">
        <v>1619</v>
      </c>
    </row>
    <row r="613" spans="1:3">
      <c r="A613" s="8" t="s">
        <v>1050</v>
      </c>
      <c r="B613" s="9" t="s">
        <v>1051</v>
      </c>
      <c r="C613" s="10" t="s">
        <v>1052</v>
      </c>
    </row>
    <row r="614" spans="1:3">
      <c r="A614" s="8" t="s">
        <v>4696</v>
      </c>
      <c r="B614" s="9" t="s">
        <v>4697</v>
      </c>
      <c r="C614" s="10" t="s">
        <v>5842</v>
      </c>
    </row>
    <row r="615" spans="1:3">
      <c r="A615" s="8" t="s">
        <v>1904</v>
      </c>
      <c r="B615" s="9" t="s">
        <v>1905</v>
      </c>
      <c r="C615" s="10" t="s">
        <v>1906</v>
      </c>
    </row>
    <row r="616" spans="1:3">
      <c r="A616" s="8" t="s">
        <v>4794</v>
      </c>
      <c r="B616" s="9" t="s">
        <v>4795</v>
      </c>
      <c r="C616" s="10" t="s">
        <v>4796</v>
      </c>
    </row>
    <row r="617" spans="1:3">
      <c r="A617" s="8" t="s">
        <v>696</v>
      </c>
      <c r="B617" s="9" t="s">
        <v>697</v>
      </c>
      <c r="C617" s="10" t="s">
        <v>698</v>
      </c>
    </row>
    <row r="618" spans="1:3">
      <c r="A618" s="8" t="s">
        <v>683</v>
      </c>
      <c r="B618" s="9" t="s">
        <v>682</v>
      </c>
      <c r="C618" s="10" t="s">
        <v>682</v>
      </c>
    </row>
    <row r="619" spans="1:3">
      <c r="A619" s="8" t="s">
        <v>693</v>
      </c>
      <c r="B619" s="9" t="s">
        <v>694</v>
      </c>
      <c r="C619" s="10" t="s">
        <v>695</v>
      </c>
    </row>
    <row r="620" spans="1:3">
      <c r="A620" s="8" t="s">
        <v>1665</v>
      </c>
      <c r="B620" s="9" t="s">
        <v>1666</v>
      </c>
      <c r="C620" s="10" t="s">
        <v>1667</v>
      </c>
    </row>
    <row r="621" spans="1:3">
      <c r="A621" s="8" t="s">
        <v>656</v>
      </c>
      <c r="B621" s="9" t="s">
        <v>657</v>
      </c>
      <c r="C621" s="10" t="s">
        <v>658</v>
      </c>
    </row>
    <row r="622" spans="1:3">
      <c r="A622" s="8" t="s">
        <v>5114</v>
      </c>
      <c r="B622" s="9" t="s">
        <v>5115</v>
      </c>
      <c r="C622" s="10" t="s">
        <v>5116</v>
      </c>
    </row>
    <row r="623" spans="1:3">
      <c r="A623" s="8" t="s">
        <v>4698</v>
      </c>
      <c r="B623" s="9" t="s">
        <v>4697</v>
      </c>
      <c r="C623" s="10" t="s">
        <v>5842</v>
      </c>
    </row>
    <row r="624" spans="1:3">
      <c r="A624" s="8" t="s">
        <v>4700</v>
      </c>
      <c r="B624" s="9" t="s">
        <v>4701</v>
      </c>
      <c r="C624" s="10" t="s">
        <v>4702</v>
      </c>
    </row>
    <row r="625" spans="1:3">
      <c r="A625" s="8" t="s">
        <v>3665</v>
      </c>
      <c r="B625" s="9" t="s">
        <v>3666</v>
      </c>
      <c r="C625" s="10" t="s">
        <v>3667</v>
      </c>
    </row>
    <row r="626" spans="1:3">
      <c r="A626" s="8" t="s">
        <v>4681</v>
      </c>
      <c r="B626" s="9" t="s">
        <v>4682</v>
      </c>
      <c r="C626" s="10" t="s">
        <v>4683</v>
      </c>
    </row>
    <row r="627" spans="1:3">
      <c r="A627" s="8" t="s">
        <v>3166</v>
      </c>
      <c r="B627" s="9" t="s">
        <v>3164</v>
      </c>
      <c r="C627" s="10" t="s">
        <v>3165</v>
      </c>
    </row>
    <row r="628" spans="1:3">
      <c r="A628" s="8" t="s">
        <v>298</v>
      </c>
      <c r="B628" s="9" t="s">
        <v>297</v>
      </c>
      <c r="C628" s="10" t="s">
        <v>5807</v>
      </c>
    </row>
    <row r="629" spans="1:3">
      <c r="A629" s="8" t="s">
        <v>1881</v>
      </c>
      <c r="B629" s="9" t="s">
        <v>1882</v>
      </c>
      <c r="C629" s="10" t="s">
        <v>1883</v>
      </c>
    </row>
    <row r="630" spans="1:3">
      <c r="A630" s="8" t="s">
        <v>2987</v>
      </c>
      <c r="B630" s="9" t="s">
        <v>2988</v>
      </c>
      <c r="C630" s="10" t="s">
        <v>2989</v>
      </c>
    </row>
    <row r="631" spans="1:3">
      <c r="A631" s="8" t="s">
        <v>3495</v>
      </c>
      <c r="B631" s="9" t="s">
        <v>3496</v>
      </c>
      <c r="C631" s="10" t="s">
        <v>5843</v>
      </c>
    </row>
    <row r="632" spans="1:3">
      <c r="A632" s="8" t="s">
        <v>943</v>
      </c>
      <c r="B632" s="9" t="s">
        <v>944</v>
      </c>
      <c r="C632" s="10" t="s">
        <v>5844</v>
      </c>
    </row>
    <row r="633" spans="1:3">
      <c r="A633" s="8" t="s">
        <v>4952</v>
      </c>
      <c r="B633" s="9" t="s">
        <v>4953</v>
      </c>
      <c r="C633" s="10" t="s">
        <v>4954</v>
      </c>
    </row>
    <row r="634" spans="1:3">
      <c r="A634" s="8" t="s">
        <v>945</v>
      </c>
      <c r="B634" s="9" t="s">
        <v>944</v>
      </c>
      <c r="C634" s="10" t="s">
        <v>5844</v>
      </c>
    </row>
    <row r="635" spans="1:3">
      <c r="A635" s="8" t="s">
        <v>2409</v>
      </c>
      <c r="B635" s="9" t="s">
        <v>2410</v>
      </c>
      <c r="C635" s="10" t="s">
        <v>2411</v>
      </c>
    </row>
    <row r="636" spans="1:3">
      <c r="A636" s="8" t="s">
        <v>3441</v>
      </c>
      <c r="B636" s="9" t="s">
        <v>3442</v>
      </c>
      <c r="C636" s="10" t="s">
        <v>5843</v>
      </c>
    </row>
    <row r="637" spans="1:3">
      <c r="A637" s="8" t="s">
        <v>3246</v>
      </c>
      <c r="B637" s="9" t="s">
        <v>3247</v>
      </c>
      <c r="C637" s="10" t="s">
        <v>3248</v>
      </c>
    </row>
    <row r="638" spans="1:3">
      <c r="A638" s="8" t="s">
        <v>3240</v>
      </c>
      <c r="B638" s="9" t="s">
        <v>3241</v>
      </c>
      <c r="C638" s="10" t="s">
        <v>3242</v>
      </c>
    </row>
    <row r="639" spans="1:3">
      <c r="A639" s="8" t="s">
        <v>3185</v>
      </c>
      <c r="B639" s="9" t="s">
        <v>3186</v>
      </c>
      <c r="C639" s="10" t="s">
        <v>3187</v>
      </c>
    </row>
    <row r="640" spans="1:3">
      <c r="A640" s="8" t="s">
        <v>3402</v>
      </c>
      <c r="B640" s="9" t="s">
        <v>3403</v>
      </c>
      <c r="C640" s="10" t="s">
        <v>3404</v>
      </c>
    </row>
    <row r="641" spans="1:3">
      <c r="A641" s="8" t="s">
        <v>3351</v>
      </c>
      <c r="B641" s="9" t="s">
        <v>3352</v>
      </c>
      <c r="C641" s="10" t="s">
        <v>3187</v>
      </c>
    </row>
    <row r="642" spans="1:3">
      <c r="A642" s="8" t="s">
        <v>3353</v>
      </c>
      <c r="B642" s="9" t="s">
        <v>3354</v>
      </c>
      <c r="C642" s="10" t="s">
        <v>5845</v>
      </c>
    </row>
    <row r="643" spans="1:3">
      <c r="A643" s="8" t="s">
        <v>3637</v>
      </c>
      <c r="B643" s="9" t="s">
        <v>3638</v>
      </c>
      <c r="C643" s="10" t="s">
        <v>5846</v>
      </c>
    </row>
    <row r="644" spans="1:3">
      <c r="A644" s="8" t="s">
        <v>2207</v>
      </c>
      <c r="B644" s="9" t="s">
        <v>2208</v>
      </c>
      <c r="C644" s="10" t="s">
        <v>2209</v>
      </c>
    </row>
    <row r="645" spans="1:3">
      <c r="A645" s="8" t="s">
        <v>3361</v>
      </c>
      <c r="B645" s="9" t="s">
        <v>3362</v>
      </c>
      <c r="C645" s="10" t="s">
        <v>3362</v>
      </c>
    </row>
    <row r="646" spans="1:3">
      <c r="A646" s="8" t="s">
        <v>5363</v>
      </c>
      <c r="B646" s="9" t="s">
        <v>5364</v>
      </c>
      <c r="C646" s="10" t="s">
        <v>5365</v>
      </c>
    </row>
    <row r="647" spans="1:3">
      <c r="A647" s="8" t="s">
        <v>3484</v>
      </c>
      <c r="B647" s="9" t="s">
        <v>3485</v>
      </c>
      <c r="C647" s="10" t="s">
        <v>3486</v>
      </c>
    </row>
    <row r="648" spans="1:3">
      <c r="A648" s="8" t="s">
        <v>2000</v>
      </c>
      <c r="B648" s="9" t="s">
        <v>2001</v>
      </c>
      <c r="C648" s="10" t="s">
        <v>2002</v>
      </c>
    </row>
    <row r="649" spans="1:3">
      <c r="A649" s="8" t="s">
        <v>2643</v>
      </c>
      <c r="B649" s="9" t="s">
        <v>2644</v>
      </c>
      <c r="C649" s="10" t="s">
        <v>2645</v>
      </c>
    </row>
    <row r="650" spans="1:3">
      <c r="A650" s="8" t="s">
        <v>3008</v>
      </c>
      <c r="B650" s="9" t="s">
        <v>3009</v>
      </c>
      <c r="C650" s="10" t="s">
        <v>3010</v>
      </c>
    </row>
    <row r="651" spans="1:3">
      <c r="A651" s="8" t="s">
        <v>4288</v>
      </c>
      <c r="B651" s="9" t="s">
        <v>4289</v>
      </c>
      <c r="C651" s="10" t="s">
        <v>4290</v>
      </c>
    </row>
    <row r="652" spans="1:3">
      <c r="A652" s="8" t="s">
        <v>4292</v>
      </c>
      <c r="B652" s="9" t="s">
        <v>4293</v>
      </c>
      <c r="C652" s="10" t="s">
        <v>4294</v>
      </c>
    </row>
    <row r="653" spans="1:3">
      <c r="A653" s="8" t="s">
        <v>3416</v>
      </c>
      <c r="B653" s="9" t="s">
        <v>3417</v>
      </c>
      <c r="C653" s="10" t="s">
        <v>3417</v>
      </c>
    </row>
    <row r="654" spans="1:3">
      <c r="A654" s="8" t="s">
        <v>2204</v>
      </c>
      <c r="B654" s="9" t="s">
        <v>2205</v>
      </c>
      <c r="C654" s="10" t="s">
        <v>5847</v>
      </c>
    </row>
    <row r="655" spans="1:3">
      <c r="A655" s="8" t="s">
        <v>4475</v>
      </c>
      <c r="B655" s="9" t="s">
        <v>4476</v>
      </c>
      <c r="C655" s="10" t="s">
        <v>4477</v>
      </c>
    </row>
    <row r="656" spans="1:3">
      <c r="A656" s="8" t="s">
        <v>3960</v>
      </c>
      <c r="B656" s="9" t="s">
        <v>3961</v>
      </c>
      <c r="C656" s="10" t="s">
        <v>3962</v>
      </c>
    </row>
    <row r="657" spans="1:3">
      <c r="A657" s="8" t="s">
        <v>351</v>
      </c>
      <c r="B657" s="9" t="s">
        <v>352</v>
      </c>
      <c r="C657" s="10" t="s">
        <v>5848</v>
      </c>
    </row>
    <row r="658" spans="1:3">
      <c r="A658" s="8" t="s">
        <v>3212</v>
      </c>
      <c r="B658" s="9" t="s">
        <v>3213</v>
      </c>
      <c r="C658" s="10" t="s">
        <v>5849</v>
      </c>
    </row>
    <row r="659" spans="1:3">
      <c r="A659" s="8" t="s">
        <v>3523</v>
      </c>
      <c r="B659" s="9" t="s">
        <v>3524</v>
      </c>
      <c r="C659" s="10" t="s">
        <v>3525</v>
      </c>
    </row>
    <row r="660" spans="1:3">
      <c r="A660" s="8" t="s">
        <v>3559</v>
      </c>
      <c r="B660" s="9" t="s">
        <v>3560</v>
      </c>
      <c r="C660" s="10" t="s">
        <v>3561</v>
      </c>
    </row>
    <row r="661" spans="1:3">
      <c r="A661" s="8" t="s">
        <v>5525</v>
      </c>
      <c r="B661" s="9" t="s">
        <v>5526</v>
      </c>
      <c r="C661" s="10" t="s">
        <v>5513</v>
      </c>
    </row>
    <row r="662" spans="1:3">
      <c r="A662" s="8" t="s">
        <v>2665</v>
      </c>
      <c r="B662" s="9" t="s">
        <v>2666</v>
      </c>
      <c r="C662" s="10" t="s">
        <v>2667</v>
      </c>
    </row>
    <row r="663" spans="1:3">
      <c r="A663" s="8" t="s">
        <v>3565</v>
      </c>
      <c r="B663" s="9" t="s">
        <v>3566</v>
      </c>
      <c r="C663" s="10" t="s">
        <v>3567</v>
      </c>
    </row>
    <row r="664" spans="1:3">
      <c r="A664" s="8" t="s">
        <v>5485</v>
      </c>
      <c r="B664" s="9" t="s">
        <v>5486</v>
      </c>
      <c r="C664" s="10" t="s">
        <v>5850</v>
      </c>
    </row>
    <row r="665" spans="1:3">
      <c r="A665" s="8" t="s">
        <v>5487</v>
      </c>
      <c r="B665" s="9" t="s">
        <v>5486</v>
      </c>
      <c r="C665" s="10" t="s">
        <v>5850</v>
      </c>
    </row>
    <row r="666" spans="1:3">
      <c r="A666" s="8" t="s">
        <v>3473</v>
      </c>
      <c r="B666" s="9" t="s">
        <v>3474</v>
      </c>
      <c r="C666" s="10" t="s">
        <v>3475</v>
      </c>
    </row>
    <row r="667" spans="1:3">
      <c r="A667" s="8" t="s">
        <v>5511</v>
      </c>
      <c r="B667" s="9" t="s">
        <v>5512</v>
      </c>
      <c r="C667" s="10" t="s">
        <v>5513</v>
      </c>
    </row>
    <row r="668" spans="1:3">
      <c r="A668" s="8" t="s">
        <v>5514</v>
      </c>
      <c r="B668" s="9" t="s">
        <v>5512</v>
      </c>
      <c r="C668" s="10" t="s">
        <v>5513</v>
      </c>
    </row>
    <row r="669" spans="1:3">
      <c r="A669" s="8" t="s">
        <v>4827</v>
      </c>
      <c r="B669" s="9" t="s">
        <v>4828</v>
      </c>
      <c r="C669" s="10" t="s">
        <v>4829</v>
      </c>
    </row>
    <row r="670" spans="1:3">
      <c r="A670" s="8" t="s">
        <v>3903</v>
      </c>
      <c r="B670" s="9" t="s">
        <v>3904</v>
      </c>
      <c r="C670" s="10" t="s">
        <v>3905</v>
      </c>
    </row>
    <row r="671" spans="1:3">
      <c r="A671" s="8" t="s">
        <v>1867</v>
      </c>
      <c r="B671" s="9" t="s">
        <v>1868</v>
      </c>
      <c r="C671" s="10" t="s">
        <v>1869</v>
      </c>
    </row>
    <row r="672" spans="1:3">
      <c r="A672" s="8" t="s">
        <v>1404</v>
      </c>
      <c r="B672" s="9" t="s">
        <v>1405</v>
      </c>
      <c r="C672" s="10" t="s">
        <v>1406</v>
      </c>
    </row>
    <row r="673" spans="1:3">
      <c r="A673" s="8" t="s">
        <v>2357</v>
      </c>
      <c r="B673" s="9" t="s">
        <v>2358</v>
      </c>
      <c r="C673" s="10" t="s">
        <v>2359</v>
      </c>
    </row>
    <row r="674" spans="1:3">
      <c r="A674" s="8" t="s">
        <v>4642</v>
      </c>
      <c r="B674" s="9" t="s">
        <v>4643</v>
      </c>
      <c r="C674" s="10" t="s">
        <v>4644</v>
      </c>
    </row>
    <row r="675" spans="1:3">
      <c r="A675" s="8" t="s">
        <v>4633</v>
      </c>
      <c r="B675" s="9" t="s">
        <v>4634</v>
      </c>
      <c r="C675" s="10" t="s">
        <v>4635</v>
      </c>
    </row>
    <row r="676" spans="1:3">
      <c r="A676" s="8" t="s">
        <v>4423</v>
      </c>
      <c r="B676" s="9" t="s">
        <v>4424</v>
      </c>
      <c r="C676" s="10" t="s">
        <v>4425</v>
      </c>
    </row>
    <row r="677" spans="1:3">
      <c r="A677" s="8" t="s">
        <v>4623</v>
      </c>
      <c r="B677" s="9" t="s">
        <v>4624</v>
      </c>
      <c r="C677" s="10" t="s">
        <v>4625</v>
      </c>
    </row>
    <row r="678" spans="1:3">
      <c r="A678" s="8" t="s">
        <v>4298</v>
      </c>
      <c r="B678" s="9" t="s">
        <v>4299</v>
      </c>
      <c r="C678" s="10" t="s">
        <v>4300</v>
      </c>
    </row>
    <row r="679" spans="1:3">
      <c r="A679" s="8" t="s">
        <v>4358</v>
      </c>
      <c r="B679" s="9" t="s">
        <v>4359</v>
      </c>
      <c r="C679" s="10" t="s">
        <v>4360</v>
      </c>
    </row>
    <row r="680" spans="1:3">
      <c r="A680" s="8" t="s">
        <v>1898</v>
      </c>
      <c r="B680" s="9" t="s">
        <v>1899</v>
      </c>
      <c r="C680" s="10" t="s">
        <v>1900</v>
      </c>
    </row>
    <row r="681" spans="1:3">
      <c r="A681" s="8" t="s">
        <v>1841</v>
      </c>
      <c r="B681" s="9" t="s">
        <v>1842</v>
      </c>
      <c r="C681" s="10" t="s">
        <v>1843</v>
      </c>
    </row>
    <row r="682" spans="1:3">
      <c r="A682" s="8" t="s">
        <v>4973</v>
      </c>
      <c r="B682" s="9" t="s">
        <v>4972</v>
      </c>
      <c r="C682" s="10" t="s">
        <v>5796</v>
      </c>
    </row>
    <row r="683" spans="1:3">
      <c r="A683" s="8" t="s">
        <v>4959</v>
      </c>
      <c r="B683" s="9" t="s">
        <v>4956</v>
      </c>
      <c r="C683" s="10" t="s">
        <v>5851</v>
      </c>
    </row>
    <row r="684" spans="1:3">
      <c r="A684" s="8" t="s">
        <v>5141</v>
      </c>
      <c r="B684" s="9" t="s">
        <v>5142</v>
      </c>
      <c r="C684" s="10" t="s">
        <v>5143</v>
      </c>
    </row>
    <row r="685" spans="1:3">
      <c r="A685" s="8" t="s">
        <v>4948</v>
      </c>
      <c r="B685" s="9" t="s">
        <v>4949</v>
      </c>
      <c r="C685" s="10" t="s">
        <v>4950</v>
      </c>
    </row>
    <row r="686" spans="1:3">
      <c r="A686" s="8" t="s">
        <v>3671</v>
      </c>
      <c r="B686" s="9" t="s">
        <v>3672</v>
      </c>
      <c r="C686" s="10" t="s">
        <v>5852</v>
      </c>
    </row>
    <row r="687" spans="1:3">
      <c r="A687" s="8" t="s">
        <v>2729</v>
      </c>
      <c r="B687" s="9" t="s">
        <v>2730</v>
      </c>
      <c r="C687" s="10" t="s">
        <v>2731</v>
      </c>
    </row>
    <row r="688" spans="1:3">
      <c r="A688" s="8" t="s">
        <v>2732</v>
      </c>
      <c r="B688" s="9" t="s">
        <v>2733</v>
      </c>
      <c r="C688" s="10" t="s">
        <v>2734</v>
      </c>
    </row>
    <row r="689" spans="1:3">
      <c r="A689" s="8" t="s">
        <v>3647</v>
      </c>
      <c r="B689" s="9" t="s">
        <v>3648</v>
      </c>
      <c r="C689" s="10" t="s">
        <v>5853</v>
      </c>
    </row>
    <row r="690" spans="1:3">
      <c r="A690" s="8" t="s">
        <v>3649</v>
      </c>
      <c r="B690" s="9" t="s">
        <v>3650</v>
      </c>
      <c r="C690" s="10" t="s">
        <v>3651</v>
      </c>
    </row>
    <row r="691" spans="1:3">
      <c r="A691" s="8" t="s">
        <v>3652</v>
      </c>
      <c r="B691" s="9" t="s">
        <v>3650</v>
      </c>
      <c r="C691" s="10" t="s">
        <v>3651</v>
      </c>
    </row>
    <row r="692" spans="1:3">
      <c r="A692" s="8" t="s">
        <v>1510</v>
      </c>
      <c r="B692" s="9" t="s">
        <v>1511</v>
      </c>
      <c r="C692" s="10" t="s">
        <v>1512</v>
      </c>
    </row>
    <row r="693" spans="1:3">
      <c r="A693" s="8" t="s">
        <v>1495</v>
      </c>
      <c r="B693" s="9" t="s">
        <v>1493</v>
      </c>
      <c r="C693" s="10" t="s">
        <v>1494</v>
      </c>
    </row>
    <row r="694" spans="1:3">
      <c r="A694" s="8" t="s">
        <v>1514</v>
      </c>
      <c r="B694" s="9" t="s">
        <v>1515</v>
      </c>
      <c r="C694" s="10" t="s">
        <v>1516</v>
      </c>
    </row>
    <row r="695" spans="1:3">
      <c r="A695" s="8" t="s">
        <v>4074</v>
      </c>
      <c r="B695" s="9" t="s">
        <v>4072</v>
      </c>
      <c r="C695" s="10" t="s">
        <v>4073</v>
      </c>
    </row>
    <row r="696" spans="1:3">
      <c r="A696" s="8" t="s">
        <v>1294</v>
      </c>
      <c r="B696" s="9" t="s">
        <v>1295</v>
      </c>
      <c r="C696" s="10" t="s">
        <v>5854</v>
      </c>
    </row>
    <row r="697" spans="1:3">
      <c r="A697" s="8" t="s">
        <v>4075</v>
      </c>
      <c r="B697" s="9" t="s">
        <v>4076</v>
      </c>
      <c r="C697" s="10" t="s">
        <v>5855</v>
      </c>
    </row>
    <row r="698" spans="1:3">
      <c r="A698" s="8" t="s">
        <v>3773</v>
      </c>
      <c r="B698" s="9" t="s">
        <v>3774</v>
      </c>
      <c r="C698" s="10" t="s">
        <v>3755</v>
      </c>
    </row>
    <row r="699" spans="1:3">
      <c r="A699" s="8" t="s">
        <v>2683</v>
      </c>
      <c r="B699" s="9" t="s">
        <v>2684</v>
      </c>
      <c r="C699" s="10" t="s">
        <v>5856</v>
      </c>
    </row>
    <row r="700" spans="1:3">
      <c r="A700" s="8" t="s">
        <v>2682</v>
      </c>
      <c r="B700" s="9" t="s">
        <v>2681</v>
      </c>
      <c r="C700" s="10" t="s">
        <v>2618</v>
      </c>
    </row>
    <row r="701" spans="1:3">
      <c r="A701" s="8" t="s">
        <v>2660</v>
      </c>
      <c r="B701" s="9" t="s">
        <v>2661</v>
      </c>
      <c r="C701" s="10" t="s">
        <v>2662</v>
      </c>
    </row>
    <row r="702" spans="1:3">
      <c r="A702" s="8" t="s">
        <v>3408</v>
      </c>
      <c r="B702" s="9" t="s">
        <v>3409</v>
      </c>
      <c r="C702" s="10" t="s">
        <v>5857</v>
      </c>
    </row>
    <row r="703" spans="1:3">
      <c r="A703" s="8" t="s">
        <v>2074</v>
      </c>
      <c r="B703" s="9" t="s">
        <v>2075</v>
      </c>
      <c r="C703" s="10" t="s">
        <v>2076</v>
      </c>
    </row>
    <row r="704" spans="1:3">
      <c r="A704" s="8" t="s">
        <v>5617</v>
      </c>
      <c r="B704" s="9" t="s">
        <v>5618</v>
      </c>
      <c r="C704" s="10" t="s">
        <v>5618</v>
      </c>
    </row>
    <row r="705" spans="1:3">
      <c r="A705" s="8" t="s">
        <v>3900</v>
      </c>
      <c r="B705" s="9" t="s">
        <v>3901</v>
      </c>
      <c r="C705" s="10" t="s">
        <v>3902</v>
      </c>
    </row>
    <row r="706" spans="1:3">
      <c r="A706" s="8" t="s">
        <v>1559</v>
      </c>
      <c r="B706" s="9" t="s">
        <v>1560</v>
      </c>
      <c r="C706" s="10" t="s">
        <v>1561</v>
      </c>
    </row>
    <row r="707" spans="1:3">
      <c r="A707" s="8" t="s">
        <v>1553</v>
      </c>
      <c r="B707" s="9" t="s">
        <v>1554</v>
      </c>
      <c r="C707" s="10" t="s">
        <v>1555</v>
      </c>
    </row>
    <row r="708" spans="1:3">
      <c r="A708" s="8" t="s">
        <v>940</v>
      </c>
      <c r="B708" s="9" t="s">
        <v>941</v>
      </c>
      <c r="C708" s="10" t="s">
        <v>942</v>
      </c>
    </row>
    <row r="709" spans="1:3">
      <c r="A709" s="8" t="s">
        <v>627</v>
      </c>
      <c r="B709" s="9" t="s">
        <v>628</v>
      </c>
      <c r="C709" s="10" t="s">
        <v>629</v>
      </c>
    </row>
    <row r="710" spans="1:3">
      <c r="A710" s="8" t="s">
        <v>1053</v>
      </c>
      <c r="B710" s="9" t="s">
        <v>1051</v>
      </c>
      <c r="C710" s="10" t="s">
        <v>1052</v>
      </c>
    </row>
    <row r="711" spans="1:3">
      <c r="A711" s="8" t="s">
        <v>4051</v>
      </c>
      <c r="B711" s="9" t="s">
        <v>4052</v>
      </c>
      <c r="C711" s="10" t="s">
        <v>4053</v>
      </c>
    </row>
    <row r="712" spans="1:3">
      <c r="A712" s="8" t="s">
        <v>413</v>
      </c>
      <c r="B712" s="9" t="s">
        <v>414</v>
      </c>
      <c r="C712" s="10" t="s">
        <v>5858</v>
      </c>
    </row>
    <row r="713" spans="1:3">
      <c r="A713" s="8" t="s">
        <v>415</v>
      </c>
      <c r="B713" s="9" t="s">
        <v>416</v>
      </c>
      <c r="C713" s="10" t="s">
        <v>5859</v>
      </c>
    </row>
    <row r="714" spans="1:3">
      <c r="A714" s="8" t="s">
        <v>3287</v>
      </c>
      <c r="B714" s="9" t="s">
        <v>3288</v>
      </c>
      <c r="C714" s="10" t="s">
        <v>3289</v>
      </c>
    </row>
    <row r="715" spans="1:3">
      <c r="A715" s="8" t="s">
        <v>5591</v>
      </c>
      <c r="B715" s="9" t="s">
        <v>5592</v>
      </c>
      <c r="C715" s="10" t="s">
        <v>5593</v>
      </c>
    </row>
    <row r="716" spans="1:3">
      <c r="A716" s="8" t="s">
        <v>3515</v>
      </c>
      <c r="B716" s="9" t="s">
        <v>3516</v>
      </c>
      <c r="C716" s="10" t="s">
        <v>5860</v>
      </c>
    </row>
    <row r="717" spans="1:3">
      <c r="A717" s="8" t="s">
        <v>3620</v>
      </c>
      <c r="B717" s="9" t="s">
        <v>3621</v>
      </c>
      <c r="C717" s="10" t="s">
        <v>3622</v>
      </c>
    </row>
    <row r="718" spans="1:3">
      <c r="A718" s="8" t="s">
        <v>4747</v>
      </c>
      <c r="B718" s="9" t="s">
        <v>4748</v>
      </c>
      <c r="C718" s="10" t="s">
        <v>4749</v>
      </c>
    </row>
    <row r="719" spans="1:3">
      <c r="A719" s="8" t="s">
        <v>4654</v>
      </c>
      <c r="B719" s="9" t="s">
        <v>4651</v>
      </c>
      <c r="C719" s="10" t="s">
        <v>4652</v>
      </c>
    </row>
    <row r="720" spans="1:3">
      <c r="A720" s="8" t="s">
        <v>2974</v>
      </c>
      <c r="B720" s="9" t="s">
        <v>2975</v>
      </c>
      <c r="C720" s="10" t="s">
        <v>2975</v>
      </c>
    </row>
    <row r="721" spans="1:3">
      <c r="A721" s="8" t="s">
        <v>2976</v>
      </c>
      <c r="B721" s="9" t="s">
        <v>2977</v>
      </c>
      <c r="C721" s="10" t="s">
        <v>2978</v>
      </c>
    </row>
    <row r="722" spans="1:3">
      <c r="A722" s="8" t="s">
        <v>1172</v>
      </c>
      <c r="B722" s="9" t="s">
        <v>1173</v>
      </c>
      <c r="C722" s="10" t="s">
        <v>1174</v>
      </c>
    </row>
    <row r="723" spans="1:3">
      <c r="A723" s="8" t="s">
        <v>586</v>
      </c>
      <c r="B723" s="9" t="s">
        <v>587</v>
      </c>
      <c r="C723" s="10" t="s">
        <v>5861</v>
      </c>
    </row>
    <row r="724" spans="1:3">
      <c r="A724" s="8" t="s">
        <v>5536</v>
      </c>
      <c r="B724" s="9" t="s">
        <v>5537</v>
      </c>
      <c r="C724" s="10" t="s">
        <v>5862</v>
      </c>
    </row>
    <row r="725" spans="1:3">
      <c r="A725" s="8" t="s">
        <v>590</v>
      </c>
      <c r="B725" s="9" t="s">
        <v>591</v>
      </c>
      <c r="C725" s="10" t="s">
        <v>592</v>
      </c>
    </row>
    <row r="726" spans="1:3">
      <c r="A726" s="8" t="s">
        <v>1072</v>
      </c>
      <c r="B726" s="9" t="s">
        <v>1073</v>
      </c>
      <c r="C726" s="10" t="s">
        <v>1074</v>
      </c>
    </row>
    <row r="727" spans="1:3">
      <c r="A727" s="8" t="s">
        <v>523</v>
      </c>
      <c r="B727" s="9" t="s">
        <v>524</v>
      </c>
      <c r="C727" s="10" t="s">
        <v>525</v>
      </c>
    </row>
    <row r="728" spans="1:3">
      <c r="A728" s="8" t="s">
        <v>588</v>
      </c>
      <c r="B728" s="9" t="s">
        <v>589</v>
      </c>
      <c r="C728" s="10" t="s">
        <v>525</v>
      </c>
    </row>
    <row r="729" spans="1:3">
      <c r="A729" s="8" t="s">
        <v>431</v>
      </c>
      <c r="B729" s="9" t="s">
        <v>432</v>
      </c>
      <c r="C729" s="10" t="s">
        <v>5863</v>
      </c>
    </row>
    <row r="730" spans="1:3">
      <c r="A730" s="8" t="s">
        <v>3011</v>
      </c>
      <c r="B730" s="9" t="s">
        <v>3012</v>
      </c>
      <c r="C730" s="10" t="s">
        <v>3013</v>
      </c>
    </row>
    <row r="731" spans="1:3">
      <c r="A731" s="8" t="s">
        <v>3109</v>
      </c>
      <c r="B731" s="9" t="s">
        <v>3110</v>
      </c>
      <c r="C731" s="10" t="s">
        <v>3112</v>
      </c>
    </row>
    <row r="732" spans="1:3">
      <c r="A732" s="8" t="s">
        <v>5606</v>
      </c>
      <c r="B732" s="9" t="s">
        <v>5607</v>
      </c>
      <c r="C732" s="10" t="s">
        <v>5608</v>
      </c>
    </row>
    <row r="733" spans="1:3">
      <c r="A733" s="8" t="s">
        <v>858</v>
      </c>
      <c r="B733" s="9" t="s">
        <v>859</v>
      </c>
      <c r="C733" s="10" t="s">
        <v>844</v>
      </c>
    </row>
    <row r="734" spans="1:3">
      <c r="A734" s="8" t="s">
        <v>871</v>
      </c>
      <c r="B734" s="9" t="s">
        <v>872</v>
      </c>
      <c r="C734" s="10" t="s">
        <v>873</v>
      </c>
    </row>
    <row r="735" spans="1:3">
      <c r="A735" s="8" t="s">
        <v>848</v>
      </c>
      <c r="B735" s="9" t="s">
        <v>849</v>
      </c>
      <c r="C735" s="10" t="s">
        <v>850</v>
      </c>
    </row>
    <row r="736" spans="1:3">
      <c r="A736" s="8" t="s">
        <v>832</v>
      </c>
      <c r="B736" s="9" t="s">
        <v>833</v>
      </c>
      <c r="C736" s="10" t="s">
        <v>834</v>
      </c>
    </row>
    <row r="737" spans="1:3">
      <c r="A737" s="8" t="s">
        <v>436</v>
      </c>
      <c r="B737" s="9" t="s">
        <v>437</v>
      </c>
      <c r="C737" s="10" t="s">
        <v>438</v>
      </c>
    </row>
    <row r="738" spans="1:3">
      <c r="A738" s="8" t="s">
        <v>877</v>
      </c>
      <c r="B738" s="9" t="s">
        <v>878</v>
      </c>
      <c r="C738" s="10" t="s">
        <v>879</v>
      </c>
    </row>
    <row r="739" spans="1:3">
      <c r="A739" s="8" t="s">
        <v>54</v>
      </c>
      <c r="B739" s="9" t="s">
        <v>52</v>
      </c>
      <c r="C739" s="10" t="s">
        <v>53</v>
      </c>
    </row>
    <row r="740" spans="1:3">
      <c r="A740" s="8" t="s">
        <v>860</v>
      </c>
      <c r="B740" s="9" t="s">
        <v>859</v>
      </c>
      <c r="C740" s="10" t="s">
        <v>844</v>
      </c>
    </row>
    <row r="741" spans="1:3">
      <c r="A741" s="8" t="s">
        <v>4541</v>
      </c>
      <c r="B741" s="9" t="s">
        <v>4542</v>
      </c>
      <c r="C741" s="10" t="s">
        <v>4543</v>
      </c>
    </row>
    <row r="742" spans="1:3">
      <c r="A742" s="8" t="s">
        <v>3124</v>
      </c>
      <c r="B742" s="9" t="s">
        <v>3125</v>
      </c>
      <c r="C742" s="10" t="s">
        <v>2978</v>
      </c>
    </row>
    <row r="743" spans="1:3">
      <c r="A743" s="8" t="s">
        <v>861</v>
      </c>
      <c r="B743" s="9" t="s">
        <v>859</v>
      </c>
      <c r="C743" s="10" t="s">
        <v>844</v>
      </c>
    </row>
    <row r="744" spans="1:3">
      <c r="A744" s="8" t="s">
        <v>915</v>
      </c>
      <c r="B744" s="9" t="s">
        <v>916</v>
      </c>
      <c r="C744" s="10" t="s">
        <v>917</v>
      </c>
    </row>
    <row r="745" spans="1:3">
      <c r="A745" s="8" t="s">
        <v>4244</v>
      </c>
      <c r="B745" s="9" t="s">
        <v>4245</v>
      </c>
      <c r="C745" s="10" t="s">
        <v>4246</v>
      </c>
    </row>
    <row r="746" spans="1:3">
      <c r="A746" s="8" t="s">
        <v>1901</v>
      </c>
      <c r="B746" s="9" t="s">
        <v>1902</v>
      </c>
      <c r="C746" s="10" t="s">
        <v>1903</v>
      </c>
    </row>
    <row r="747" spans="1:3">
      <c r="A747" s="8" t="s">
        <v>4862</v>
      </c>
      <c r="B747" s="9" t="s">
        <v>4863</v>
      </c>
      <c r="C747" s="10" t="s">
        <v>4864</v>
      </c>
    </row>
    <row r="748" spans="1:3">
      <c r="A748" s="8" t="s">
        <v>1691</v>
      </c>
      <c r="B748" s="9" t="s">
        <v>1692</v>
      </c>
      <c r="C748" s="10" t="s">
        <v>1693</v>
      </c>
    </row>
    <row r="749" spans="1:3">
      <c r="A749" s="8" t="s">
        <v>4552</v>
      </c>
      <c r="B749" s="9" t="s">
        <v>4550</v>
      </c>
      <c r="C749" s="10" t="s">
        <v>4551</v>
      </c>
    </row>
    <row r="750" spans="1:3">
      <c r="A750" s="8" t="s">
        <v>4533</v>
      </c>
      <c r="B750" s="9" t="s">
        <v>4534</v>
      </c>
      <c r="C750" s="10" t="s">
        <v>4535</v>
      </c>
    </row>
    <row r="751" spans="1:3">
      <c r="A751" s="8" t="s">
        <v>4546</v>
      </c>
      <c r="B751" s="9" t="s">
        <v>4547</v>
      </c>
      <c r="C751" s="10" t="s">
        <v>4548</v>
      </c>
    </row>
    <row r="752" spans="1:3">
      <c r="A752" s="8" t="s">
        <v>1120</v>
      </c>
      <c r="B752" s="9" t="s">
        <v>1121</v>
      </c>
      <c r="C752" s="10" t="s">
        <v>1122</v>
      </c>
    </row>
    <row r="753" spans="1:3">
      <c r="A753" s="8" t="s">
        <v>1855</v>
      </c>
      <c r="B753" s="9" t="s">
        <v>1856</v>
      </c>
      <c r="C753" s="10" t="s">
        <v>1857</v>
      </c>
    </row>
    <row r="754" spans="1:3">
      <c r="A754" s="8" t="s">
        <v>2394</v>
      </c>
      <c r="B754" s="9" t="s">
        <v>2395</v>
      </c>
      <c r="C754" s="10" t="s">
        <v>2396</v>
      </c>
    </row>
    <row r="755" spans="1:3">
      <c r="A755" s="8" t="s">
        <v>4336</v>
      </c>
      <c r="B755" s="9" t="s">
        <v>4337</v>
      </c>
      <c r="C755" s="10" t="s">
        <v>4338</v>
      </c>
    </row>
    <row r="756" spans="1:3">
      <c r="A756" s="8" t="s">
        <v>4648</v>
      </c>
      <c r="B756" s="9" t="s">
        <v>4649</v>
      </c>
      <c r="C756" s="10" t="s">
        <v>719</v>
      </c>
    </row>
    <row r="757" spans="1:3">
      <c r="A757" s="8" t="s">
        <v>4627</v>
      </c>
      <c r="B757" s="9" t="s">
        <v>4628</v>
      </c>
      <c r="C757" s="10" t="s">
        <v>4629</v>
      </c>
    </row>
    <row r="758" spans="1:3">
      <c r="A758" s="8" t="s">
        <v>4193</v>
      </c>
      <c r="B758" s="9" t="s">
        <v>4194</v>
      </c>
      <c r="C758" s="10" t="s">
        <v>4195</v>
      </c>
    </row>
    <row r="759" spans="1:3">
      <c r="A759" s="8" t="s">
        <v>4156</v>
      </c>
      <c r="B759" s="9" t="s">
        <v>4157</v>
      </c>
      <c r="C759" s="10" t="s">
        <v>4158</v>
      </c>
    </row>
    <row r="760" spans="1:3">
      <c r="A760" s="8" t="s">
        <v>4662</v>
      </c>
      <c r="B760" s="9" t="s">
        <v>4663</v>
      </c>
      <c r="C760" s="10" t="s">
        <v>4661</v>
      </c>
    </row>
    <row r="761" spans="1:3">
      <c r="A761" s="8" t="s">
        <v>327</v>
      </c>
      <c r="B761" s="9" t="s">
        <v>328</v>
      </c>
      <c r="C761" s="10" t="s">
        <v>329</v>
      </c>
    </row>
    <row r="762" spans="1:3">
      <c r="A762" s="8" t="s">
        <v>4196</v>
      </c>
      <c r="B762" s="9" t="s">
        <v>4194</v>
      </c>
      <c r="C762" s="10" t="s">
        <v>4195</v>
      </c>
    </row>
    <row r="763" spans="1:3">
      <c r="A763" s="8" t="s">
        <v>2247</v>
      </c>
      <c r="B763" s="9" t="s">
        <v>2248</v>
      </c>
      <c r="C763" s="10" t="s">
        <v>2249</v>
      </c>
    </row>
    <row r="764" spans="1:3">
      <c r="A764" s="8" t="s">
        <v>2270</v>
      </c>
      <c r="B764" s="9" t="s">
        <v>2271</v>
      </c>
      <c r="C764" s="10" t="s">
        <v>2272</v>
      </c>
    </row>
    <row r="765" spans="1:3">
      <c r="A765" s="8" t="s">
        <v>2224</v>
      </c>
      <c r="B765" s="9" t="s">
        <v>2225</v>
      </c>
      <c r="C765" s="10" t="s">
        <v>2227</v>
      </c>
    </row>
    <row r="766" spans="1:3">
      <c r="A766" s="8" t="s">
        <v>2226</v>
      </c>
      <c r="B766" s="9" t="s">
        <v>2225</v>
      </c>
      <c r="C766" s="10" t="s">
        <v>2227</v>
      </c>
    </row>
    <row r="767" spans="1:3">
      <c r="A767" s="8" t="s">
        <v>2250</v>
      </c>
      <c r="B767" s="9" t="s">
        <v>2251</v>
      </c>
      <c r="C767" s="10" t="s">
        <v>2252</v>
      </c>
    </row>
    <row r="768" spans="1:3">
      <c r="A768" s="8" t="s">
        <v>1948</v>
      </c>
      <c r="B768" s="9" t="s">
        <v>1946</v>
      </c>
      <c r="C768" s="10" t="s">
        <v>1946</v>
      </c>
    </row>
    <row r="769" spans="1:3">
      <c r="A769" s="8" t="s">
        <v>2253</v>
      </c>
      <c r="B769" s="9" t="s">
        <v>2254</v>
      </c>
      <c r="C769" s="10" t="s">
        <v>2255</v>
      </c>
    </row>
    <row r="770" spans="1:3">
      <c r="A770" s="8" t="s">
        <v>1641</v>
      </c>
      <c r="B770" s="9" t="s">
        <v>1642</v>
      </c>
      <c r="C770" s="10" t="s">
        <v>1643</v>
      </c>
    </row>
    <row r="771" spans="1:3">
      <c r="A771" s="8" t="s">
        <v>5625</v>
      </c>
      <c r="B771" s="9" t="s">
        <v>5626</v>
      </c>
      <c r="C771" s="10" t="s">
        <v>5627</v>
      </c>
    </row>
    <row r="772" spans="1:3">
      <c r="A772" s="8" t="s">
        <v>5020</v>
      </c>
      <c r="B772" s="9" t="s">
        <v>5021</v>
      </c>
      <c r="C772" s="10" t="s">
        <v>3576</v>
      </c>
    </row>
    <row r="773" spans="1:3">
      <c r="A773" s="8" t="s">
        <v>2232</v>
      </c>
      <c r="B773" s="9" t="s">
        <v>2233</v>
      </c>
      <c r="C773" s="10" t="s">
        <v>719</v>
      </c>
    </row>
    <row r="774" spans="1:3">
      <c r="A774" s="8" t="s">
        <v>2234</v>
      </c>
      <c r="B774" s="9" t="s">
        <v>2233</v>
      </c>
      <c r="C774" s="10" t="s">
        <v>719</v>
      </c>
    </row>
    <row r="775" spans="1:3">
      <c r="A775" s="8" t="s">
        <v>2228</v>
      </c>
      <c r="B775" s="9" t="s">
        <v>2229</v>
      </c>
      <c r="C775" s="10" t="s">
        <v>2230</v>
      </c>
    </row>
    <row r="776" spans="1:3">
      <c r="A776" s="8" t="s">
        <v>2244</v>
      </c>
      <c r="B776" s="9" t="s">
        <v>2245</v>
      </c>
      <c r="C776" s="10" t="s">
        <v>2246</v>
      </c>
    </row>
    <row r="777" spans="1:3">
      <c r="A777" s="8" t="s">
        <v>2688</v>
      </c>
      <c r="B777" s="9" t="s">
        <v>2689</v>
      </c>
      <c r="C777" s="10" t="s">
        <v>719</v>
      </c>
    </row>
    <row r="778" spans="1:3">
      <c r="A778" s="8" t="s">
        <v>2668</v>
      </c>
      <c r="B778" s="9" t="s">
        <v>2666</v>
      </c>
      <c r="C778" s="10" t="s">
        <v>2667</v>
      </c>
    </row>
    <row r="779" spans="1:3">
      <c r="A779" s="8" t="s">
        <v>505</v>
      </c>
      <c r="B779" s="9" t="s">
        <v>506</v>
      </c>
      <c r="C779" s="10" t="s">
        <v>507</v>
      </c>
    </row>
    <row r="780" spans="1:3">
      <c r="A780" s="8" t="s">
        <v>1264</v>
      </c>
      <c r="B780" s="9" t="s">
        <v>1265</v>
      </c>
      <c r="C780" s="10" t="s">
        <v>1266</v>
      </c>
    </row>
    <row r="781" spans="1:3">
      <c r="A781" s="8" t="s">
        <v>1078</v>
      </c>
      <c r="B781" s="9" t="s">
        <v>1079</v>
      </c>
      <c r="C781" s="10" t="s">
        <v>1080</v>
      </c>
    </row>
    <row r="782" spans="1:3">
      <c r="A782" s="8" t="s">
        <v>1047</v>
      </c>
      <c r="B782" s="9" t="s">
        <v>1048</v>
      </c>
      <c r="C782" s="10" t="s">
        <v>1049</v>
      </c>
    </row>
    <row r="783" spans="1:3">
      <c r="A783" s="8" t="s">
        <v>1069</v>
      </c>
      <c r="B783" s="9" t="s">
        <v>1070</v>
      </c>
      <c r="C783" s="10" t="s">
        <v>1071</v>
      </c>
    </row>
    <row r="784" spans="1:3">
      <c r="A784" s="8" t="s">
        <v>582</v>
      </c>
      <c r="B784" s="9" t="s">
        <v>583</v>
      </c>
      <c r="C784" s="10" t="s">
        <v>583</v>
      </c>
    </row>
    <row r="785" spans="1:3">
      <c r="A785" s="8" t="s">
        <v>493</v>
      </c>
      <c r="B785" s="9" t="s">
        <v>494</v>
      </c>
      <c r="C785" s="10" t="s">
        <v>495</v>
      </c>
    </row>
    <row r="786" spans="1:3">
      <c r="A786" s="8" t="s">
        <v>487</v>
      </c>
      <c r="B786" s="9" t="s">
        <v>488</v>
      </c>
      <c r="C786" s="10" t="s">
        <v>489</v>
      </c>
    </row>
    <row r="787" spans="1:3">
      <c r="A787" s="8" t="s">
        <v>5472</v>
      </c>
      <c r="B787" s="9" t="s">
        <v>5470</v>
      </c>
      <c r="C787" s="10" t="s">
        <v>719</v>
      </c>
    </row>
    <row r="788" spans="1:3">
      <c r="A788" s="8" t="s">
        <v>3199</v>
      </c>
      <c r="B788" s="9" t="s">
        <v>3200</v>
      </c>
      <c r="C788" s="10" t="s">
        <v>3201</v>
      </c>
    </row>
    <row r="789" spans="1:3">
      <c r="A789" s="8" t="s">
        <v>4077</v>
      </c>
      <c r="B789" s="9" t="s">
        <v>4078</v>
      </c>
      <c r="C789" s="10" t="s">
        <v>4079</v>
      </c>
    </row>
    <row r="790" spans="1:3">
      <c r="A790" s="8" t="s">
        <v>2339</v>
      </c>
      <c r="B790" s="9" t="s">
        <v>2340</v>
      </c>
      <c r="C790" s="10" t="s">
        <v>2341</v>
      </c>
    </row>
    <row r="791" spans="1:3">
      <c r="A791" s="8" t="s">
        <v>2336</v>
      </c>
      <c r="B791" s="9" t="s">
        <v>2337</v>
      </c>
      <c r="C791" s="10" t="s">
        <v>2338</v>
      </c>
    </row>
    <row r="792" spans="1:3">
      <c r="A792" s="8" t="s">
        <v>5356</v>
      </c>
      <c r="B792" s="9" t="s">
        <v>5357</v>
      </c>
      <c r="C792" s="10" t="s">
        <v>5864</v>
      </c>
    </row>
    <row r="793" spans="1:3">
      <c r="A793" s="8" t="s">
        <v>3676</v>
      </c>
      <c r="B793" s="9" t="s">
        <v>3677</v>
      </c>
      <c r="C793" s="10" t="s">
        <v>5865</v>
      </c>
    </row>
    <row r="794" spans="1:3">
      <c r="A794" s="8" t="s">
        <v>3869</v>
      </c>
      <c r="B794" s="9" t="s">
        <v>3870</v>
      </c>
      <c r="C794" s="10" t="s">
        <v>3871</v>
      </c>
    </row>
    <row r="795" spans="1:3">
      <c r="A795" s="8" t="s">
        <v>4914</v>
      </c>
      <c r="B795" s="9" t="s">
        <v>4915</v>
      </c>
      <c r="C795" s="10" t="s">
        <v>4916</v>
      </c>
    </row>
    <row r="796" spans="1:3">
      <c r="A796" s="8" t="s">
        <v>5126</v>
      </c>
      <c r="B796" s="9" t="s">
        <v>5127</v>
      </c>
      <c r="C796" s="10" t="s">
        <v>5128</v>
      </c>
    </row>
    <row r="797" spans="1:3">
      <c r="A797" s="8" t="s">
        <v>584</v>
      </c>
      <c r="B797" s="9" t="s">
        <v>585</v>
      </c>
      <c r="C797" s="10" t="s">
        <v>585</v>
      </c>
    </row>
    <row r="798" spans="1:3">
      <c r="A798" s="8" t="s">
        <v>5572</v>
      </c>
      <c r="B798" s="9" t="s">
        <v>5573</v>
      </c>
      <c r="C798" s="10" t="s">
        <v>719</v>
      </c>
    </row>
    <row r="799" spans="1:3">
      <c r="A799" s="8" t="s">
        <v>5578</v>
      </c>
      <c r="B799" s="9" t="s">
        <v>5579</v>
      </c>
      <c r="C799" s="10" t="s">
        <v>5580</v>
      </c>
    </row>
    <row r="800" spans="1:3">
      <c r="A800" s="8" t="s">
        <v>118</v>
      </c>
      <c r="B800" s="9" t="s">
        <v>119</v>
      </c>
      <c r="C800" s="10" t="s">
        <v>94</v>
      </c>
    </row>
    <row r="801" spans="1:3">
      <c r="A801" s="8" t="s">
        <v>5643</v>
      </c>
      <c r="B801" s="9" t="s">
        <v>5644</v>
      </c>
      <c r="C801" s="10" t="s">
        <v>5645</v>
      </c>
    </row>
    <row r="802" spans="1:3">
      <c r="A802" s="8" t="s">
        <v>602</v>
      </c>
      <c r="B802" s="9" t="s">
        <v>603</v>
      </c>
      <c r="C802" s="10" t="s">
        <v>604</v>
      </c>
    </row>
    <row r="803" spans="1:3">
      <c r="A803" s="8" t="s">
        <v>596</v>
      </c>
      <c r="B803" s="9" t="s">
        <v>597</v>
      </c>
      <c r="C803" s="10" t="s">
        <v>598</v>
      </c>
    </row>
    <row r="804" spans="1:3">
      <c r="A804" s="8" t="s">
        <v>3553</v>
      </c>
      <c r="B804" s="9" t="s">
        <v>3554</v>
      </c>
      <c r="C804" s="10" t="s">
        <v>3555</v>
      </c>
    </row>
    <row r="805" spans="1:3">
      <c r="A805" s="8" t="s">
        <v>3541</v>
      </c>
      <c r="B805" s="9" t="s">
        <v>3542</v>
      </c>
      <c r="C805" s="10" t="s">
        <v>3543</v>
      </c>
    </row>
    <row r="806" spans="1:3">
      <c r="A806" s="8" t="s">
        <v>3520</v>
      </c>
      <c r="B806" s="9" t="s">
        <v>3521</v>
      </c>
      <c r="C806" s="10" t="s">
        <v>3522</v>
      </c>
    </row>
    <row r="807" spans="1:3">
      <c r="A807" s="8" t="s">
        <v>3538</v>
      </c>
      <c r="B807" s="9" t="s">
        <v>3539</v>
      </c>
      <c r="C807" s="10" t="s">
        <v>3540</v>
      </c>
    </row>
    <row r="808" spans="1:3">
      <c r="A808" s="8" t="s">
        <v>1812</v>
      </c>
      <c r="B808" s="9" t="s">
        <v>1813</v>
      </c>
      <c r="C808" s="10" t="s">
        <v>1814</v>
      </c>
    </row>
    <row r="809" spans="1:3">
      <c r="A809" s="8" t="s">
        <v>3854</v>
      </c>
      <c r="B809" s="9" t="s">
        <v>3855</v>
      </c>
      <c r="C809" s="10" t="s">
        <v>3856</v>
      </c>
    </row>
    <row r="810" spans="1:3">
      <c r="A810" s="8" t="s">
        <v>4048</v>
      </c>
      <c r="B810" s="9" t="s">
        <v>4049</v>
      </c>
      <c r="C810" s="10" t="s">
        <v>4050</v>
      </c>
    </row>
    <row r="811" spans="1:3">
      <c r="A811" s="8" t="s">
        <v>1982</v>
      </c>
      <c r="B811" s="9" t="s">
        <v>1983</v>
      </c>
      <c r="C811" s="10" t="s">
        <v>1984</v>
      </c>
    </row>
    <row r="812" spans="1:3">
      <c r="A812" s="8" t="s">
        <v>5594</v>
      </c>
      <c r="B812" s="9" t="s">
        <v>5595</v>
      </c>
      <c r="C812" s="10" t="s">
        <v>5586</v>
      </c>
    </row>
    <row r="813" spans="1:3">
      <c r="A813" s="8" t="s">
        <v>3857</v>
      </c>
      <c r="B813" s="9" t="s">
        <v>3855</v>
      </c>
      <c r="C813" s="10" t="s">
        <v>3856</v>
      </c>
    </row>
    <row r="814" spans="1:3">
      <c r="A814" s="8" t="s">
        <v>1459</v>
      </c>
      <c r="B814" s="9" t="s">
        <v>1460</v>
      </c>
      <c r="C814" s="10" t="s">
        <v>719</v>
      </c>
    </row>
    <row r="815" spans="1:3">
      <c r="A815" s="8" t="s">
        <v>1440</v>
      </c>
      <c r="B815" s="9" t="s">
        <v>1441</v>
      </c>
      <c r="C815" s="10" t="s">
        <v>1442</v>
      </c>
    </row>
    <row r="816" spans="1:3">
      <c r="A816" s="8" t="s">
        <v>664</v>
      </c>
      <c r="B816" s="9" t="s">
        <v>665</v>
      </c>
      <c r="C816" s="10" t="s">
        <v>666</v>
      </c>
    </row>
    <row r="817" spans="1:3">
      <c r="A817" s="8" t="s">
        <v>366</v>
      </c>
      <c r="B817" s="9" t="s">
        <v>367</v>
      </c>
      <c r="C817" s="10" t="s">
        <v>719</v>
      </c>
    </row>
    <row r="818" spans="1:3">
      <c r="A818" s="8" t="s">
        <v>667</v>
      </c>
      <c r="B818" s="9" t="s">
        <v>665</v>
      </c>
      <c r="C818" s="10" t="s">
        <v>666</v>
      </c>
    </row>
    <row r="819" spans="1:3">
      <c r="A819" s="8" t="s">
        <v>614</v>
      </c>
      <c r="B819" s="9" t="s">
        <v>615</v>
      </c>
      <c r="C819" s="10" t="s">
        <v>616</v>
      </c>
    </row>
    <row r="820" spans="1:3">
      <c r="A820" s="8" t="s">
        <v>617</v>
      </c>
      <c r="B820" s="9" t="s">
        <v>615</v>
      </c>
      <c r="C820" s="10" t="s">
        <v>616</v>
      </c>
    </row>
    <row r="821" spans="1:3">
      <c r="A821" s="8" t="s">
        <v>448</v>
      </c>
      <c r="B821" s="9" t="s">
        <v>449</v>
      </c>
      <c r="C821" s="10" t="s">
        <v>450</v>
      </c>
    </row>
    <row r="822" spans="1:3">
      <c r="A822" s="8" t="s">
        <v>5866</v>
      </c>
      <c r="B822" s="9" t="e">
        <v>#N/A</v>
      </c>
      <c r="C822" s="10" t="e">
        <v>#N/A</v>
      </c>
    </row>
    <row r="823" spans="1:3">
      <c r="A823" s="8" t="s">
        <v>4877</v>
      </c>
      <c r="B823" s="9" t="s">
        <v>4878</v>
      </c>
      <c r="C823" s="10" t="s">
        <v>4879</v>
      </c>
    </row>
    <row r="824" spans="1:3">
      <c r="A824" s="8" t="s">
        <v>1465</v>
      </c>
      <c r="B824" s="9" t="s">
        <v>1466</v>
      </c>
      <c r="C824" s="10" t="s">
        <v>1467</v>
      </c>
    </row>
    <row r="825" spans="1:3">
      <c r="A825" s="8" t="s">
        <v>1332</v>
      </c>
      <c r="B825" s="9" t="s">
        <v>1333</v>
      </c>
      <c r="C825" s="10" t="s">
        <v>1334</v>
      </c>
    </row>
    <row r="826" spans="1:3">
      <c r="A826" s="8" t="s">
        <v>1291</v>
      </c>
      <c r="B826" s="9" t="s">
        <v>1292</v>
      </c>
      <c r="C826" s="10" t="s">
        <v>1293</v>
      </c>
    </row>
    <row r="827" spans="1:3">
      <c r="A827" s="8" t="s">
        <v>4786</v>
      </c>
      <c r="B827" s="9" t="s">
        <v>4787</v>
      </c>
      <c r="C827" s="10" t="s">
        <v>4788</v>
      </c>
    </row>
    <row r="828" spans="1:3">
      <c r="A828" s="8" t="s">
        <v>5584</v>
      </c>
      <c r="B828" s="9" t="s">
        <v>5585</v>
      </c>
      <c r="C828" s="10" t="s">
        <v>5586</v>
      </c>
    </row>
    <row r="829" spans="1:3">
      <c r="A829" s="8" t="s">
        <v>1243</v>
      </c>
      <c r="B829" s="9" t="s">
        <v>1244</v>
      </c>
      <c r="C829" s="10" t="s">
        <v>1245</v>
      </c>
    </row>
    <row r="830" spans="1:3">
      <c r="A830" s="8" t="s">
        <v>2083</v>
      </c>
      <c r="B830" s="9" t="s">
        <v>2084</v>
      </c>
      <c r="C830" s="10" t="s">
        <v>2047</v>
      </c>
    </row>
    <row r="831" spans="1:3">
      <c r="A831" s="8" t="s">
        <v>4833</v>
      </c>
      <c r="B831" s="9" t="s">
        <v>4831</v>
      </c>
      <c r="C831" s="10" t="s">
        <v>4832</v>
      </c>
    </row>
    <row r="832" spans="1:3">
      <c r="A832" s="8" t="s">
        <v>2741</v>
      </c>
      <c r="B832" s="9" t="s">
        <v>2742</v>
      </c>
      <c r="C832" s="10" t="s">
        <v>719</v>
      </c>
    </row>
    <row r="833" spans="1:3">
      <c r="A833" s="8" t="s">
        <v>1057</v>
      </c>
      <c r="B833" s="9" t="s">
        <v>1058</v>
      </c>
      <c r="C833" s="10" t="s">
        <v>1059</v>
      </c>
    </row>
    <row r="834" spans="1:3">
      <c r="A834" s="8" t="s">
        <v>4277</v>
      </c>
      <c r="B834" s="9" t="s">
        <v>4278</v>
      </c>
      <c r="C834" s="10" t="s">
        <v>4279</v>
      </c>
    </row>
    <row r="835" spans="1:3">
      <c r="A835" s="8" t="s">
        <v>180</v>
      </c>
      <c r="B835" s="9" t="s">
        <v>181</v>
      </c>
      <c r="C835" s="10" t="s">
        <v>182</v>
      </c>
    </row>
    <row r="836" spans="1:3">
      <c r="A836" s="8" t="s">
        <v>1126</v>
      </c>
      <c r="B836" s="9" t="s">
        <v>1127</v>
      </c>
      <c r="C836" s="10" t="s">
        <v>1128</v>
      </c>
    </row>
    <row r="837" spans="1:3">
      <c r="A837" s="8" t="s">
        <v>218</v>
      </c>
      <c r="B837" s="9" t="s">
        <v>219</v>
      </c>
      <c r="C837" s="10" t="s">
        <v>220</v>
      </c>
    </row>
    <row r="838" spans="1:3">
      <c r="A838" s="8" t="s">
        <v>690</v>
      </c>
      <c r="B838" s="9" t="s">
        <v>691</v>
      </c>
      <c r="C838" s="10" t="s">
        <v>692</v>
      </c>
    </row>
    <row r="839" spans="1:3">
      <c r="A839" s="8" t="s">
        <v>699</v>
      </c>
      <c r="B839" s="9" t="s">
        <v>700</v>
      </c>
      <c r="C839" s="10" t="s">
        <v>701</v>
      </c>
    </row>
    <row r="840" spans="1:3">
      <c r="A840" s="8" t="s">
        <v>1352</v>
      </c>
      <c r="B840" s="9" t="s">
        <v>1353</v>
      </c>
      <c r="C840" s="10" t="s">
        <v>1354</v>
      </c>
    </row>
    <row r="841" spans="1:3">
      <c r="A841" s="8" t="s">
        <v>1568</v>
      </c>
      <c r="B841" s="9" t="s">
        <v>1569</v>
      </c>
      <c r="C841" s="10" t="s">
        <v>1570</v>
      </c>
    </row>
    <row r="842" spans="1:3">
      <c r="A842" s="8" t="s">
        <v>659</v>
      </c>
      <c r="B842" s="9" t="s">
        <v>660</v>
      </c>
      <c r="C842" s="10" t="s">
        <v>660</v>
      </c>
    </row>
    <row r="843" spans="1:3">
      <c r="A843" s="8" t="s">
        <v>411</v>
      </c>
      <c r="B843" s="9" t="s">
        <v>412</v>
      </c>
      <c r="C843" s="10" t="s">
        <v>412</v>
      </c>
    </row>
    <row r="844" spans="1:3">
      <c r="A844" s="8" t="s">
        <v>3445</v>
      </c>
      <c r="B844" s="9" t="s">
        <v>3446</v>
      </c>
      <c r="C844" s="10" t="s">
        <v>3447</v>
      </c>
    </row>
    <row r="845" spans="1:3">
      <c r="A845" s="8" t="s">
        <v>3434</v>
      </c>
      <c r="B845" s="9" t="s">
        <v>3435</v>
      </c>
      <c r="C845" s="10" t="s">
        <v>3436</v>
      </c>
    </row>
    <row r="846" spans="1:3">
      <c r="A846" s="8" t="s">
        <v>3963</v>
      </c>
      <c r="B846" s="9" t="s">
        <v>3964</v>
      </c>
      <c r="C846" s="10" t="s">
        <v>3965</v>
      </c>
    </row>
    <row r="847" spans="1:3">
      <c r="A847" s="8" t="s">
        <v>532</v>
      </c>
      <c r="B847" s="9" t="s">
        <v>533</v>
      </c>
      <c r="C847" s="10" t="s">
        <v>534</v>
      </c>
    </row>
    <row r="848" spans="1:3">
      <c r="A848" s="8" t="s">
        <v>460</v>
      </c>
      <c r="B848" s="9" t="s">
        <v>461</v>
      </c>
      <c r="C848" s="10" t="s">
        <v>461</v>
      </c>
    </row>
    <row r="849" spans="1:3">
      <c r="A849" s="8" t="s">
        <v>4501</v>
      </c>
      <c r="B849" s="9" t="s">
        <v>4502</v>
      </c>
      <c r="C849" s="10" t="s">
        <v>719</v>
      </c>
    </row>
    <row r="850" spans="1:3">
      <c r="A850" s="8" t="s">
        <v>4503</v>
      </c>
      <c r="B850" s="9" t="s">
        <v>4502</v>
      </c>
      <c r="C850" s="10" t="s">
        <v>719</v>
      </c>
    </row>
    <row r="851" spans="1:3">
      <c r="A851" s="8" t="s">
        <v>5476</v>
      </c>
      <c r="B851" s="9" t="s">
        <v>5477</v>
      </c>
      <c r="C851" s="10" t="s">
        <v>5478</v>
      </c>
    </row>
    <row r="852" spans="1:3">
      <c r="A852" s="8" t="s">
        <v>3847</v>
      </c>
      <c r="B852" s="9" t="s">
        <v>3848</v>
      </c>
      <c r="C852" s="10" t="s">
        <v>3849</v>
      </c>
    </row>
    <row r="853" spans="1:3">
      <c r="A853" s="8" t="s">
        <v>2633</v>
      </c>
      <c r="B853" s="9" t="s">
        <v>2634</v>
      </c>
      <c r="C853" s="10" t="s">
        <v>2635</v>
      </c>
    </row>
    <row r="854" spans="1:3">
      <c r="A854" s="8" t="s">
        <v>4766</v>
      </c>
      <c r="B854" s="9" t="s">
        <v>4767</v>
      </c>
      <c r="C854" s="10" t="s">
        <v>4768</v>
      </c>
    </row>
    <row r="855" spans="1:3">
      <c r="A855" s="8" t="s">
        <v>4247</v>
      </c>
      <c r="B855" s="9" t="s">
        <v>4248</v>
      </c>
      <c r="C855" s="10" t="s">
        <v>4199</v>
      </c>
    </row>
    <row r="856" spans="1:3">
      <c r="A856" s="8" t="s">
        <v>1131</v>
      </c>
      <c r="B856" s="9" t="s">
        <v>1130</v>
      </c>
      <c r="C856" s="10" t="s">
        <v>719</v>
      </c>
    </row>
    <row r="857" spans="1:3">
      <c r="A857" s="8" t="s">
        <v>4310</v>
      </c>
      <c r="B857" s="9" t="s">
        <v>4308</v>
      </c>
      <c r="C857" s="10" t="s">
        <v>719</v>
      </c>
    </row>
    <row r="858" spans="1:3">
      <c r="A858" s="8" t="s">
        <v>3451</v>
      </c>
      <c r="B858" s="9" t="s">
        <v>3452</v>
      </c>
      <c r="C858" s="10" t="s">
        <v>3453</v>
      </c>
    </row>
    <row r="859" spans="1:3">
      <c r="A859" s="8" t="s">
        <v>55</v>
      </c>
      <c r="B859" s="9" t="s">
        <v>56</v>
      </c>
      <c r="C859" s="10" t="s">
        <v>57</v>
      </c>
    </row>
    <row r="860" spans="1:3">
      <c r="A860" s="8" t="s">
        <v>109</v>
      </c>
      <c r="B860" s="9" t="s">
        <v>110</v>
      </c>
      <c r="C860" s="10" t="s">
        <v>111</v>
      </c>
    </row>
    <row r="861" spans="1:3">
      <c r="A861" s="8" t="s">
        <v>4690</v>
      </c>
      <c r="B861" s="9" t="s">
        <v>4691</v>
      </c>
      <c r="C861" s="10" t="s">
        <v>719</v>
      </c>
    </row>
    <row r="862" spans="1:3">
      <c r="A862" s="8" t="s">
        <v>40</v>
      </c>
      <c r="B862" s="9" t="s">
        <v>41</v>
      </c>
      <c r="C862" s="10" t="s">
        <v>42</v>
      </c>
    </row>
    <row r="863" spans="1:3">
      <c r="A863" s="8" t="s">
        <v>575</v>
      </c>
      <c r="B863" s="9" t="s">
        <v>576</v>
      </c>
      <c r="C863" s="10" t="s">
        <v>577</v>
      </c>
    </row>
    <row r="864" spans="1:3">
      <c r="A864" s="8" t="s">
        <v>3888</v>
      </c>
      <c r="B864" s="9" t="s">
        <v>3889</v>
      </c>
      <c r="C864" s="10" t="s">
        <v>3890</v>
      </c>
    </row>
    <row r="865" spans="1:3">
      <c r="A865" s="8" t="s">
        <v>2657</v>
      </c>
      <c r="B865" s="9" t="s">
        <v>2658</v>
      </c>
      <c r="C865" s="10" t="s">
        <v>2659</v>
      </c>
    </row>
    <row r="866" spans="1:3">
      <c r="A866" s="8" t="s">
        <v>1066</v>
      </c>
      <c r="B866" s="9" t="s">
        <v>1067</v>
      </c>
      <c r="C866" s="10" t="s">
        <v>1068</v>
      </c>
    </row>
    <row r="867" spans="1:3">
      <c r="A867" s="8" t="s">
        <v>2045</v>
      </c>
      <c r="B867" s="9" t="s">
        <v>2046</v>
      </c>
      <c r="C867" s="10" t="s">
        <v>719</v>
      </c>
    </row>
    <row r="868" spans="1:3">
      <c r="A868" s="8" t="s">
        <v>3020</v>
      </c>
      <c r="B868" s="9" t="s">
        <v>3021</v>
      </c>
      <c r="C868" s="10" t="s">
        <v>3022</v>
      </c>
    </row>
    <row r="869" spans="1:3">
      <c r="A869" s="8" t="s">
        <v>1939</v>
      </c>
      <c r="B869" s="9" t="s">
        <v>1940</v>
      </c>
      <c r="C869" s="10" t="s">
        <v>1941</v>
      </c>
    </row>
    <row r="870" spans="1:3">
      <c r="A870" s="8" t="s">
        <v>632</v>
      </c>
      <c r="B870" s="9" t="s">
        <v>633</v>
      </c>
      <c r="C870" s="10" t="s">
        <v>634</v>
      </c>
    </row>
    <row r="871" spans="1:3">
      <c r="A871" s="8" t="s">
        <v>661</v>
      </c>
      <c r="B871" s="9" t="s">
        <v>662</v>
      </c>
      <c r="C871" s="10" t="s">
        <v>663</v>
      </c>
    </row>
    <row r="872" spans="1:3">
      <c r="A872" s="8" t="s">
        <v>572</v>
      </c>
      <c r="B872" s="9" t="s">
        <v>573</v>
      </c>
      <c r="C872" s="10" t="s">
        <v>574</v>
      </c>
    </row>
    <row r="873" spans="1:3">
      <c r="A873" s="8" t="s">
        <v>1590</v>
      </c>
      <c r="B873" s="9" t="s">
        <v>1591</v>
      </c>
      <c r="C873" s="10" t="s">
        <v>1592</v>
      </c>
    </row>
    <row r="874" spans="1:3">
      <c r="A874" s="8" t="s">
        <v>678</v>
      </c>
      <c r="B874" s="9" t="s">
        <v>679</v>
      </c>
      <c r="C874" s="10" t="s">
        <v>680</v>
      </c>
    </row>
    <row r="875" spans="1:3">
      <c r="A875" s="8" t="s">
        <v>4709</v>
      </c>
      <c r="B875" s="9" t="s">
        <v>4710</v>
      </c>
      <c r="C875" s="10" t="s">
        <v>4711</v>
      </c>
    </row>
    <row r="876" spans="1:3">
      <c r="A876" s="8" t="s">
        <v>4703</v>
      </c>
      <c r="B876" s="9" t="s">
        <v>4704</v>
      </c>
      <c r="C876" s="10" t="s">
        <v>719</v>
      </c>
    </row>
    <row r="877" spans="1:3">
      <c r="A877" s="8" t="s">
        <v>3994</v>
      </c>
      <c r="B877" s="9" t="s">
        <v>3995</v>
      </c>
      <c r="C877" s="10" t="s">
        <v>3996</v>
      </c>
    </row>
    <row r="878" spans="1:3">
      <c r="A878" s="8" t="s">
        <v>5553</v>
      </c>
      <c r="B878" s="9" t="s">
        <v>5554</v>
      </c>
      <c r="C878" s="10" t="s">
        <v>719</v>
      </c>
    </row>
    <row r="879" spans="1:3">
      <c r="A879" s="8" t="s">
        <v>5562</v>
      </c>
      <c r="B879" s="9" t="s">
        <v>5563</v>
      </c>
      <c r="C879" s="10" t="s">
        <v>5564</v>
      </c>
    </row>
    <row r="880" spans="1:3">
      <c r="A880" s="8" t="s">
        <v>5565</v>
      </c>
      <c r="B880" s="9" t="s">
        <v>5566</v>
      </c>
      <c r="C880" s="10" t="s">
        <v>5567</v>
      </c>
    </row>
    <row r="881" spans="1:3">
      <c r="A881" s="8" t="s">
        <v>4504</v>
      </c>
      <c r="B881" s="9" t="s">
        <v>4502</v>
      </c>
      <c r="C881" s="10" t="s">
        <v>719</v>
      </c>
    </row>
    <row r="882" spans="1:3">
      <c r="A882" s="8" t="s">
        <v>721</v>
      </c>
      <c r="B882" s="9" t="s">
        <v>722</v>
      </c>
      <c r="C882" s="10" t="s">
        <v>723</v>
      </c>
    </row>
    <row r="883" spans="1:3">
      <c r="A883" s="8" t="s">
        <v>4146</v>
      </c>
      <c r="B883" s="9" t="s">
        <v>4147</v>
      </c>
      <c r="C883" s="10" t="s">
        <v>4148</v>
      </c>
    </row>
    <row r="884" spans="1:3">
      <c r="A884" s="8" t="s">
        <v>4241</v>
      </c>
      <c r="B884" s="9" t="s">
        <v>4242</v>
      </c>
      <c r="C884" s="10" t="s">
        <v>4243</v>
      </c>
    </row>
    <row r="885" spans="1:3">
      <c r="A885" s="8" t="s">
        <v>556</v>
      </c>
      <c r="B885" s="9" t="s">
        <v>557</v>
      </c>
      <c r="C885" s="10" t="s">
        <v>558</v>
      </c>
    </row>
    <row r="886" spans="1:3">
      <c r="A886" s="8" t="s">
        <v>340</v>
      </c>
      <c r="B886" s="9" t="s">
        <v>341</v>
      </c>
      <c r="C886" s="10" t="s">
        <v>342</v>
      </c>
    </row>
    <row r="887" spans="1:3">
      <c r="A887" s="8" t="s">
        <v>4684</v>
      </c>
      <c r="B887" s="9" t="s">
        <v>4682</v>
      </c>
      <c r="C887" s="10" t="s">
        <v>4683</v>
      </c>
    </row>
    <row r="888" spans="1:3">
      <c r="A888" s="8" t="s">
        <v>3151</v>
      </c>
      <c r="B888" s="9" t="s">
        <v>3149</v>
      </c>
      <c r="C888" s="10" t="s">
        <v>3150</v>
      </c>
    </row>
    <row r="889" spans="1:3">
      <c r="A889" s="8" t="s">
        <v>1319</v>
      </c>
      <c r="B889" s="9" t="s">
        <v>1320</v>
      </c>
      <c r="C889" s="10" t="s">
        <v>719</v>
      </c>
    </row>
    <row r="890" spans="1:3">
      <c r="A890" s="8" t="s">
        <v>353</v>
      </c>
      <c r="B890" s="9" t="s">
        <v>354</v>
      </c>
      <c r="C890" s="10" t="s">
        <v>355</v>
      </c>
    </row>
    <row r="891" spans="1:3">
      <c r="A891" s="8" t="s">
        <v>356</v>
      </c>
      <c r="B891" s="9" t="s">
        <v>357</v>
      </c>
      <c r="C891" s="10" t="s">
        <v>358</v>
      </c>
    </row>
    <row r="892" spans="1:3">
      <c r="A892" s="8" t="s">
        <v>1289</v>
      </c>
      <c r="B892" s="9" t="s">
        <v>1290</v>
      </c>
      <c r="C892" s="10" t="s">
        <v>719</v>
      </c>
    </row>
    <row r="893" spans="1:3">
      <c r="A893" s="8" t="s">
        <v>1283</v>
      </c>
      <c r="B893" s="9" t="s">
        <v>1284</v>
      </c>
      <c r="C893" s="10" t="s">
        <v>1285</v>
      </c>
    </row>
    <row r="894" spans="1:3">
      <c r="A894" s="8" t="s">
        <v>1296</v>
      </c>
      <c r="B894" s="9" t="s">
        <v>1297</v>
      </c>
      <c r="C894" s="10" t="s">
        <v>1298</v>
      </c>
    </row>
    <row r="895" spans="1:3">
      <c r="A895" s="8" t="s">
        <v>2522</v>
      </c>
      <c r="B895" s="9" t="s">
        <v>2523</v>
      </c>
      <c r="C895" s="10" t="s">
        <v>2524</v>
      </c>
    </row>
    <row r="896" spans="1:3">
      <c r="A896" s="8" t="s">
        <v>5120</v>
      </c>
      <c r="B896" s="9" t="s">
        <v>5121</v>
      </c>
      <c r="C896" s="10" t="s">
        <v>5122</v>
      </c>
    </row>
    <row r="897" spans="1:3">
      <c r="A897" s="8" t="s">
        <v>2583</v>
      </c>
      <c r="B897" s="9" t="s">
        <v>2584</v>
      </c>
      <c r="C897" s="10" t="s">
        <v>2585</v>
      </c>
    </row>
    <row r="898" spans="1:3">
      <c r="A898" s="8" t="s">
        <v>2504</v>
      </c>
      <c r="B898" s="9" t="s">
        <v>2505</v>
      </c>
      <c r="C898" s="10" t="s">
        <v>2506</v>
      </c>
    </row>
    <row r="899" spans="1:3">
      <c r="A899" s="8" t="s">
        <v>1044</v>
      </c>
      <c r="B899" s="9" t="s">
        <v>1045</v>
      </c>
      <c r="C899" s="10" t="s">
        <v>1046</v>
      </c>
    </row>
    <row r="900" spans="1:3">
      <c r="A900" s="8" t="s">
        <v>3807</v>
      </c>
      <c r="B900" s="9" t="s">
        <v>3808</v>
      </c>
      <c r="C900" s="10" t="s">
        <v>719</v>
      </c>
    </row>
    <row r="901" spans="1:3">
      <c r="A901" s="8" t="s">
        <v>3807</v>
      </c>
      <c r="B901" s="9" t="s">
        <v>3808</v>
      </c>
      <c r="C901" s="10" t="s">
        <v>719</v>
      </c>
    </row>
    <row r="902" spans="1:3">
      <c r="A902" s="8" t="s">
        <v>3794</v>
      </c>
      <c r="B902" s="9" t="s">
        <v>3795</v>
      </c>
      <c r="C902" s="10" t="s">
        <v>3796</v>
      </c>
    </row>
    <row r="903" spans="1:3">
      <c r="A903" s="8" t="s">
        <v>3797</v>
      </c>
      <c r="B903" s="9" t="s">
        <v>3795</v>
      </c>
      <c r="C903" s="10" t="s">
        <v>3796</v>
      </c>
    </row>
    <row r="904" spans="1:3">
      <c r="A904" s="8" t="s">
        <v>3798</v>
      </c>
      <c r="B904" s="9" t="s">
        <v>3799</v>
      </c>
      <c r="C904" s="10" t="s">
        <v>3800</v>
      </c>
    </row>
    <row r="905" spans="1:3">
      <c r="A905" s="8" t="s">
        <v>4936</v>
      </c>
      <c r="B905" s="9" t="s">
        <v>4937</v>
      </c>
      <c r="C905" s="10" t="s">
        <v>4938</v>
      </c>
    </row>
    <row r="906" spans="1:3">
      <c r="A906" s="8" t="s">
        <v>4823</v>
      </c>
      <c r="B906" s="9" t="s">
        <v>4824</v>
      </c>
      <c r="C906" s="10" t="s">
        <v>719</v>
      </c>
    </row>
    <row r="907" spans="1:3">
      <c r="A907" s="8" t="s">
        <v>4819</v>
      </c>
      <c r="B907" s="9" t="s">
        <v>4820</v>
      </c>
      <c r="C907" s="10" t="s">
        <v>4821</v>
      </c>
    </row>
    <row r="908" spans="1:3">
      <c r="A908" s="8" t="s">
        <v>4301</v>
      </c>
      <c r="B908" s="9" t="s">
        <v>4302</v>
      </c>
      <c r="C908" s="10" t="s">
        <v>4303</v>
      </c>
    </row>
    <row r="909" spans="1:3">
      <c r="A909" s="8" t="s">
        <v>4295</v>
      </c>
      <c r="B909" s="9" t="s">
        <v>4296</v>
      </c>
      <c r="C909" s="10" t="s">
        <v>4297</v>
      </c>
    </row>
    <row r="910" spans="1:3">
      <c r="A910" s="8" t="s">
        <v>4825</v>
      </c>
      <c r="B910" s="9" t="s">
        <v>4826</v>
      </c>
      <c r="C910" s="10" t="s">
        <v>719</v>
      </c>
    </row>
    <row r="911" spans="1:3">
      <c r="A911" s="8" t="s">
        <v>2717</v>
      </c>
      <c r="B911" s="9" t="s">
        <v>2718</v>
      </c>
      <c r="C911" s="10" t="s">
        <v>2719</v>
      </c>
    </row>
    <row r="912" spans="1:3">
      <c r="A912" s="8" t="s">
        <v>2710</v>
      </c>
      <c r="B912" s="9" t="s">
        <v>2711</v>
      </c>
      <c r="C912" s="10" t="s">
        <v>2712</v>
      </c>
    </row>
    <row r="913" spans="1:3">
      <c r="A913" s="8" t="s">
        <v>2713</v>
      </c>
      <c r="B913" s="9" t="s">
        <v>2711</v>
      </c>
      <c r="C913" s="10" t="s">
        <v>2712</v>
      </c>
    </row>
    <row r="914" spans="1:3">
      <c r="A914" s="8" t="s">
        <v>4131</v>
      </c>
      <c r="B914" s="9" t="s">
        <v>4132</v>
      </c>
      <c r="C914" s="10" t="s">
        <v>719</v>
      </c>
    </row>
    <row r="915" spans="1:3">
      <c r="A915" s="8" t="s">
        <v>4133</v>
      </c>
      <c r="B915" s="9" t="s">
        <v>4132</v>
      </c>
      <c r="C915" s="10" t="s">
        <v>719</v>
      </c>
    </row>
    <row r="916" spans="1:3">
      <c r="A916" s="8" t="s">
        <v>741</v>
      </c>
      <c r="B916" s="9" t="s">
        <v>742</v>
      </c>
      <c r="C916" s="10" t="s">
        <v>743</v>
      </c>
    </row>
    <row r="917" spans="1:3">
      <c r="A917" s="8" t="s">
        <v>4134</v>
      </c>
      <c r="B917" s="9" t="s">
        <v>4132</v>
      </c>
      <c r="C917" s="10" t="s">
        <v>719</v>
      </c>
    </row>
    <row r="918" spans="1:3">
      <c r="A918" s="8" t="s">
        <v>4143</v>
      </c>
      <c r="B918" s="9" t="s">
        <v>4144</v>
      </c>
      <c r="C918" s="10" t="s">
        <v>4145</v>
      </c>
    </row>
    <row r="919" spans="1:3">
      <c r="A919" s="8" t="s">
        <v>4705</v>
      </c>
      <c r="B919" s="9" t="s">
        <v>4704</v>
      </c>
      <c r="C919" s="10" t="s">
        <v>719</v>
      </c>
    </row>
    <row r="920" spans="1:3">
      <c r="A920" s="8" t="s">
        <v>256</v>
      </c>
      <c r="B920" s="9" t="s">
        <v>257</v>
      </c>
      <c r="C920" s="10" t="s">
        <v>258</v>
      </c>
    </row>
    <row r="921" spans="1:3">
      <c r="A921" s="8" t="s">
        <v>359</v>
      </c>
      <c r="B921" s="9" t="s">
        <v>357</v>
      </c>
      <c r="C921" s="10" t="s">
        <v>358</v>
      </c>
    </row>
    <row r="922" spans="1:3">
      <c r="A922" s="8" t="s">
        <v>4670</v>
      </c>
      <c r="B922" s="9" t="s">
        <v>4671</v>
      </c>
      <c r="C922" s="10" t="s">
        <v>4672</v>
      </c>
    </row>
    <row r="923" spans="1:3">
      <c r="A923" s="8" t="s">
        <v>4667</v>
      </c>
      <c r="B923" s="9" t="s">
        <v>4668</v>
      </c>
      <c r="C923" s="10" t="s">
        <v>4669</v>
      </c>
    </row>
    <row r="924" spans="1:3">
      <c r="A924" s="8" t="s">
        <v>5538</v>
      </c>
      <c r="B924" s="9" t="s">
        <v>5539</v>
      </c>
      <c r="C924" s="10" t="s">
        <v>719</v>
      </c>
    </row>
    <row r="925" spans="1:3">
      <c r="A925" s="8" t="s">
        <v>3093</v>
      </c>
      <c r="B925" s="9" t="s">
        <v>3094</v>
      </c>
      <c r="C925" s="10" t="s">
        <v>3095</v>
      </c>
    </row>
    <row r="926" spans="1:3">
      <c r="A926" s="8" t="s">
        <v>3090</v>
      </c>
      <c r="B926" s="9" t="s">
        <v>3091</v>
      </c>
      <c r="C926" s="10" t="s">
        <v>3092</v>
      </c>
    </row>
    <row r="927" spans="1:3">
      <c r="A927" s="8" t="s">
        <v>5075</v>
      </c>
      <c r="B927" s="9" t="s">
        <v>5076</v>
      </c>
      <c r="C927" s="10" t="s">
        <v>5077</v>
      </c>
    </row>
    <row r="928" spans="1:3">
      <c r="A928" s="8" t="s">
        <v>5373</v>
      </c>
      <c r="B928" s="9" t="s">
        <v>5374</v>
      </c>
      <c r="C928" s="10" t="s">
        <v>5375</v>
      </c>
    </row>
    <row r="929" spans="1:3">
      <c r="A929" s="8" t="s">
        <v>3375</v>
      </c>
      <c r="B929" s="9" t="s">
        <v>3376</v>
      </c>
      <c r="C929" s="10" t="s">
        <v>3377</v>
      </c>
    </row>
    <row r="930" spans="1:3">
      <c r="A930" s="8" t="s">
        <v>5530</v>
      </c>
      <c r="B930" s="9" t="s">
        <v>5531</v>
      </c>
      <c r="C930" s="10" t="s">
        <v>5532</v>
      </c>
    </row>
    <row r="931" spans="1:3">
      <c r="A931" s="8" t="s">
        <v>2015</v>
      </c>
      <c r="B931" s="9" t="s">
        <v>2016</v>
      </c>
      <c r="C931" s="10" t="s">
        <v>2017</v>
      </c>
    </row>
    <row r="932" spans="1:3">
      <c r="A932" s="8" t="s">
        <v>2018</v>
      </c>
      <c r="B932" s="9" t="s">
        <v>2016</v>
      </c>
      <c r="C932" s="10" t="s">
        <v>2017</v>
      </c>
    </row>
    <row r="933" spans="1:3">
      <c r="A933" s="8" t="s">
        <v>4544</v>
      </c>
      <c r="B933" s="9" t="s">
        <v>4542</v>
      </c>
      <c r="C933" s="10" t="s">
        <v>4543</v>
      </c>
    </row>
    <row r="934" spans="1:3">
      <c r="A934" s="8" t="s">
        <v>4527</v>
      </c>
      <c r="B934" s="9" t="s">
        <v>4528</v>
      </c>
      <c r="C934" s="10" t="s">
        <v>4529</v>
      </c>
    </row>
    <row r="935" spans="1:3">
      <c r="A935" s="8" t="s">
        <v>4673</v>
      </c>
      <c r="B935" s="9" t="s">
        <v>4674</v>
      </c>
      <c r="C935" s="10" t="s">
        <v>4297</v>
      </c>
    </row>
    <row r="936" spans="1:3">
      <c r="A936" s="8" t="s">
        <v>4530</v>
      </c>
      <c r="B936" s="9" t="s">
        <v>4531</v>
      </c>
      <c r="C936" s="10" t="s">
        <v>4532</v>
      </c>
    </row>
    <row r="937" spans="1:3">
      <c r="A937" s="8" t="s">
        <v>5063</v>
      </c>
      <c r="B937" s="9" t="s">
        <v>5064</v>
      </c>
      <c r="C937" s="10" t="s">
        <v>5065</v>
      </c>
    </row>
    <row r="938" spans="1:3">
      <c r="A938" s="8" t="s">
        <v>4868</v>
      </c>
      <c r="B938" s="9" t="s">
        <v>4869</v>
      </c>
      <c r="C938" s="10" t="s">
        <v>4870</v>
      </c>
    </row>
    <row r="939" spans="1:3">
      <c r="A939" s="8" t="s">
        <v>4693</v>
      </c>
      <c r="B939" s="9" t="s">
        <v>4694</v>
      </c>
      <c r="C939" s="10" t="s">
        <v>4695</v>
      </c>
    </row>
    <row r="940" spans="1:3">
      <c r="A940" s="8" t="s">
        <v>1034</v>
      </c>
      <c r="B940" s="9" t="s">
        <v>1035</v>
      </c>
      <c r="C940" s="10" t="s">
        <v>1036</v>
      </c>
    </row>
    <row r="941" spans="1:3">
      <c r="A941" s="8" t="s">
        <v>2528</v>
      </c>
      <c r="B941" s="9" t="s">
        <v>2529</v>
      </c>
      <c r="C941" s="10" t="s">
        <v>2530</v>
      </c>
    </row>
    <row r="942" spans="1:3">
      <c r="A942" s="8" t="s">
        <v>702</v>
      </c>
      <c r="B942" s="9" t="s">
        <v>703</v>
      </c>
      <c r="C942" s="10" t="s">
        <v>704</v>
      </c>
    </row>
    <row r="943" spans="1:3">
      <c r="A943" s="8" t="s">
        <v>457</v>
      </c>
      <c r="B943" s="9" t="s">
        <v>458</v>
      </c>
      <c r="C943" s="10" t="s">
        <v>459</v>
      </c>
    </row>
    <row r="944" spans="1:3">
      <c r="A944" s="8" t="s">
        <v>4097</v>
      </c>
      <c r="B944" s="9" t="s">
        <v>4098</v>
      </c>
      <c r="C944" s="10" t="s">
        <v>4099</v>
      </c>
    </row>
    <row r="945" spans="1:3">
      <c r="A945" s="8" t="s">
        <v>3906</v>
      </c>
      <c r="B945" s="9" t="s">
        <v>3907</v>
      </c>
      <c r="C945" s="10" t="s">
        <v>3908</v>
      </c>
    </row>
    <row r="946" spans="1:3">
      <c r="A946" s="8" t="s">
        <v>1097</v>
      </c>
      <c r="B946" s="9" t="s">
        <v>1098</v>
      </c>
      <c r="C946" s="10" t="s">
        <v>1099</v>
      </c>
    </row>
    <row r="947" spans="1:3">
      <c r="A947" s="8" t="s">
        <v>1086</v>
      </c>
      <c r="B947" s="9" t="s">
        <v>1087</v>
      </c>
      <c r="C947" s="10" t="s">
        <v>1088</v>
      </c>
    </row>
    <row r="948" spans="1:3">
      <c r="A948" s="8" t="s">
        <v>811</v>
      </c>
      <c r="B948" s="9" t="s">
        <v>812</v>
      </c>
      <c r="C948" s="10" t="s">
        <v>813</v>
      </c>
    </row>
    <row r="949" spans="1:3">
      <c r="A949" s="8" t="s">
        <v>4804</v>
      </c>
      <c r="B949" s="9" t="s">
        <v>4805</v>
      </c>
      <c r="C949" s="10" t="s">
        <v>4805</v>
      </c>
    </row>
    <row r="950" spans="1:3">
      <c r="A950" s="8" t="s">
        <v>2135</v>
      </c>
      <c r="B950" s="9" t="s">
        <v>2136</v>
      </c>
      <c r="C950" s="10" t="s">
        <v>2137</v>
      </c>
    </row>
    <row r="951" spans="1:3">
      <c r="A951" s="8" t="s">
        <v>2173</v>
      </c>
      <c r="B951" s="9" t="s">
        <v>2174</v>
      </c>
      <c r="C951" s="10" t="s">
        <v>2175</v>
      </c>
    </row>
    <row r="952" spans="1:3">
      <c r="A952" s="8" t="s">
        <v>2077</v>
      </c>
      <c r="B952" s="9" t="s">
        <v>2078</v>
      </c>
      <c r="C952" s="10" t="s">
        <v>2035</v>
      </c>
    </row>
    <row r="953" spans="1:3">
      <c r="A953" s="8" t="s">
        <v>3784</v>
      </c>
      <c r="B953" s="9" t="s">
        <v>3785</v>
      </c>
      <c r="C953" s="10" t="s">
        <v>3786</v>
      </c>
    </row>
    <row r="954" spans="1:3">
      <c r="A954" s="8" t="s">
        <v>3753</v>
      </c>
      <c r="B954" s="9" t="s">
        <v>3754</v>
      </c>
      <c r="C954" s="10" t="s">
        <v>3755</v>
      </c>
    </row>
    <row r="955" spans="1:3">
      <c r="A955" s="8" t="s">
        <v>5105</v>
      </c>
      <c r="B955" s="9" t="s">
        <v>5106</v>
      </c>
      <c r="C955" s="10" t="s">
        <v>5107</v>
      </c>
    </row>
    <row r="956" spans="1:3">
      <c r="A956" s="8" t="s">
        <v>855</v>
      </c>
      <c r="B956" s="9" t="s">
        <v>856</v>
      </c>
      <c r="C956" s="10" t="s">
        <v>857</v>
      </c>
    </row>
    <row r="957" spans="1:3">
      <c r="A957" s="8" t="s">
        <v>581</v>
      </c>
      <c r="B957" s="9" t="s">
        <v>579</v>
      </c>
      <c r="C957" s="10" t="s">
        <v>580</v>
      </c>
    </row>
    <row r="958" spans="1:3">
      <c r="A958" s="8" t="s">
        <v>3399</v>
      </c>
      <c r="B958" s="9" t="s">
        <v>3400</v>
      </c>
      <c r="C958" s="10" t="s">
        <v>3401</v>
      </c>
    </row>
    <row r="959" spans="1:3">
      <c r="A959" s="8" t="s">
        <v>3764</v>
      </c>
      <c r="B959" s="9" t="s">
        <v>3765</v>
      </c>
      <c r="C959" s="10" t="s">
        <v>3766</v>
      </c>
    </row>
    <row r="960" spans="1:3">
      <c r="A960" s="8" t="s">
        <v>5111</v>
      </c>
      <c r="B960" s="9" t="s">
        <v>5112</v>
      </c>
      <c r="C960" s="10" t="s">
        <v>5112</v>
      </c>
    </row>
    <row r="961" spans="1:3">
      <c r="A961" s="8" t="s">
        <v>5587</v>
      </c>
      <c r="B961" s="9" t="s">
        <v>5585</v>
      </c>
      <c r="C961" s="10" t="s">
        <v>5586</v>
      </c>
    </row>
    <row r="962" spans="1:3">
      <c r="A962" s="8" t="s">
        <v>4089</v>
      </c>
      <c r="B962" s="9" t="s">
        <v>4090</v>
      </c>
      <c r="C962" s="10" t="s">
        <v>719</v>
      </c>
    </row>
    <row r="963" spans="1:3">
      <c r="A963" s="8" t="s">
        <v>2100</v>
      </c>
      <c r="B963" s="9" t="s">
        <v>2101</v>
      </c>
      <c r="C963" s="10" t="s">
        <v>2102</v>
      </c>
    </row>
    <row r="964" spans="1:3">
      <c r="A964" s="8" t="s">
        <v>3002</v>
      </c>
      <c r="B964" s="9" t="s">
        <v>3003</v>
      </c>
      <c r="C964" s="10" t="s">
        <v>3004</v>
      </c>
    </row>
    <row r="965" spans="1:3">
      <c r="A965" s="8" t="s">
        <v>4121</v>
      </c>
      <c r="B965" s="9" t="s">
        <v>4122</v>
      </c>
      <c r="C965" s="10" t="s">
        <v>4123</v>
      </c>
    </row>
    <row r="966" spans="1:3">
      <c r="A966" s="8" t="s">
        <v>4057</v>
      </c>
      <c r="B966" s="9" t="s">
        <v>4058</v>
      </c>
      <c r="C966" s="10" t="s">
        <v>4059</v>
      </c>
    </row>
    <row r="967" spans="1:3">
      <c r="A967" s="8" t="s">
        <v>4939</v>
      </c>
      <c r="B967" s="9" t="s">
        <v>4940</v>
      </c>
      <c r="C967" s="10" t="s">
        <v>4941</v>
      </c>
    </row>
    <row r="968" spans="1:3">
      <c r="A968" s="8" t="s">
        <v>4797</v>
      </c>
      <c r="B968" s="9" t="s">
        <v>4795</v>
      </c>
      <c r="C968" s="10" t="s">
        <v>4796</v>
      </c>
    </row>
    <row r="969" spans="1:3">
      <c r="A969" s="8" t="s">
        <v>4810</v>
      </c>
      <c r="B969" s="9" t="s">
        <v>4811</v>
      </c>
      <c r="C969" s="10" t="s">
        <v>4812</v>
      </c>
    </row>
    <row r="970" spans="1:3">
      <c r="A970" s="8" t="s">
        <v>4789</v>
      </c>
      <c r="B970" s="9" t="s">
        <v>4790</v>
      </c>
      <c r="C970" s="10" t="s">
        <v>4791</v>
      </c>
    </row>
    <row r="971" spans="1:3">
      <c r="A971" s="8" t="s">
        <v>120</v>
      </c>
      <c r="B971" s="9" t="s">
        <v>121</v>
      </c>
      <c r="C971" s="10" t="s">
        <v>122</v>
      </c>
    </row>
    <row r="972" spans="1:3">
      <c r="A972" s="8" t="s">
        <v>4798</v>
      </c>
      <c r="B972" s="9" t="s">
        <v>4795</v>
      </c>
      <c r="C972" s="10" t="s">
        <v>4796</v>
      </c>
    </row>
    <row r="973" spans="1:3">
      <c r="A973" s="8" t="s">
        <v>1791</v>
      </c>
      <c r="B973" s="9" t="s">
        <v>1792</v>
      </c>
      <c r="C973" s="10" t="s">
        <v>1793</v>
      </c>
    </row>
    <row r="974" spans="1:3">
      <c r="A974" s="8" t="s">
        <v>1782</v>
      </c>
      <c r="B974" s="9" t="s">
        <v>1783</v>
      </c>
      <c r="C974" s="10" t="s">
        <v>1784</v>
      </c>
    </row>
    <row r="975" spans="1:3">
      <c r="A975" s="8" t="s">
        <v>1872</v>
      </c>
      <c r="B975" s="9" t="s">
        <v>1873</v>
      </c>
      <c r="C975" s="10" t="s">
        <v>1874</v>
      </c>
    </row>
    <row r="976" spans="1:3">
      <c r="A976" s="8" t="s">
        <v>4291</v>
      </c>
      <c r="B976" s="9" t="s">
        <v>4289</v>
      </c>
      <c r="C976" s="10" t="s">
        <v>4290</v>
      </c>
    </row>
    <row r="977" spans="1:3">
      <c r="A977" s="8" t="s">
        <v>1753</v>
      </c>
      <c r="B977" s="9" t="s">
        <v>1754</v>
      </c>
      <c r="C977" s="10" t="s">
        <v>1755</v>
      </c>
    </row>
    <row r="978" spans="1:3">
      <c r="A978" s="8" t="s">
        <v>1806</v>
      </c>
      <c r="B978" s="9" t="s">
        <v>1807</v>
      </c>
      <c r="C978" s="10" t="s">
        <v>1793</v>
      </c>
    </row>
    <row r="979" spans="1:3">
      <c r="A979" s="8" t="s">
        <v>1808</v>
      </c>
      <c r="B979" s="9" t="s">
        <v>1807</v>
      </c>
      <c r="C979" s="10" t="s">
        <v>1793</v>
      </c>
    </row>
    <row r="980" spans="1:3">
      <c r="A980" s="8" t="s">
        <v>1803</v>
      </c>
      <c r="B980" s="9" t="s">
        <v>1804</v>
      </c>
      <c r="C980" s="10" t="s">
        <v>1805</v>
      </c>
    </row>
    <row r="981" spans="1:3">
      <c r="A981" s="8" t="s">
        <v>4799</v>
      </c>
      <c r="B981" s="9" t="s">
        <v>4800</v>
      </c>
      <c r="C981" s="10" t="s">
        <v>4801</v>
      </c>
    </row>
    <row r="982" spans="1:3">
      <c r="A982" s="8" t="s">
        <v>2601</v>
      </c>
      <c r="B982" s="9" t="s">
        <v>2602</v>
      </c>
      <c r="C982" s="10" t="s">
        <v>2603</v>
      </c>
    </row>
    <row r="983" spans="1:3">
      <c r="A983" s="8" t="s">
        <v>2562</v>
      </c>
      <c r="B983" s="9" t="s">
        <v>2563</v>
      </c>
      <c r="C983" s="10" t="s">
        <v>2564</v>
      </c>
    </row>
    <row r="984" spans="1:3">
      <c r="A984" s="8" t="s">
        <v>1084</v>
      </c>
      <c r="B984" s="9" t="s">
        <v>1085</v>
      </c>
      <c r="C984" s="10" t="s">
        <v>769</v>
      </c>
    </row>
    <row r="985" spans="1:3">
      <c r="A985" s="8" t="s">
        <v>5097</v>
      </c>
      <c r="B985" s="9" t="s">
        <v>5098</v>
      </c>
      <c r="C985" s="10" t="s">
        <v>5099</v>
      </c>
    </row>
    <row r="986" spans="1:3">
      <c r="A986" s="8" t="s">
        <v>4763</v>
      </c>
      <c r="B986" s="9" t="s">
        <v>4764</v>
      </c>
      <c r="C986" s="10" t="s">
        <v>4765</v>
      </c>
    </row>
    <row r="987" spans="1:3">
      <c r="A987" s="8" t="s">
        <v>85</v>
      </c>
      <c r="B987" s="9" t="s">
        <v>86</v>
      </c>
      <c r="C987" s="10" t="s">
        <v>87</v>
      </c>
    </row>
    <row r="988" spans="1:3">
      <c r="A988" s="8" t="s">
        <v>3443</v>
      </c>
      <c r="B988" s="9" t="s">
        <v>3442</v>
      </c>
      <c r="C988" s="10" t="s">
        <v>719</v>
      </c>
    </row>
    <row r="989" spans="1:3">
      <c r="A989" s="8" t="s">
        <v>76</v>
      </c>
      <c r="B989" s="9" t="s">
        <v>77</v>
      </c>
      <c r="C989" s="10" t="s">
        <v>78</v>
      </c>
    </row>
    <row r="990" spans="1:3">
      <c r="A990" s="8" t="s">
        <v>4777</v>
      </c>
      <c r="B990" s="9" t="s">
        <v>4778</v>
      </c>
      <c r="C990" s="10" t="s">
        <v>4779</v>
      </c>
    </row>
    <row r="991" spans="1:3">
      <c r="A991" s="8" t="s">
        <v>4813</v>
      </c>
      <c r="B991" s="9" t="s">
        <v>4814</v>
      </c>
      <c r="C991" s="10" t="s">
        <v>4815</v>
      </c>
    </row>
    <row r="992" spans="1:3">
      <c r="A992" s="8" t="s">
        <v>4618</v>
      </c>
      <c r="B992" s="9" t="s">
        <v>4616</v>
      </c>
      <c r="C992" s="10" t="s">
        <v>4617</v>
      </c>
    </row>
    <row r="993" spans="1:3">
      <c r="A993" s="8" t="s">
        <v>5169</v>
      </c>
      <c r="B993" s="9" t="s">
        <v>5170</v>
      </c>
      <c r="C993" s="10" t="s">
        <v>719</v>
      </c>
    </row>
    <row r="994" spans="1:3">
      <c r="A994" s="8" t="s">
        <v>5171</v>
      </c>
      <c r="B994" s="9" t="s">
        <v>5170</v>
      </c>
      <c r="C994" s="10" t="s">
        <v>719</v>
      </c>
    </row>
    <row r="995" spans="1:3">
      <c r="A995" s="8" t="s">
        <v>2366</v>
      </c>
      <c r="B995" s="9" t="s">
        <v>2367</v>
      </c>
      <c r="C995" s="10" t="s">
        <v>2368</v>
      </c>
    </row>
    <row r="996" spans="1:3">
      <c r="A996" s="8" t="s">
        <v>4802</v>
      </c>
      <c r="B996" s="9" t="s">
        <v>4803</v>
      </c>
      <c r="C996" s="10" t="s">
        <v>719</v>
      </c>
    </row>
    <row r="997" spans="1:3">
      <c r="A997" s="8" t="s">
        <v>5172</v>
      </c>
      <c r="B997" s="9" t="s">
        <v>5170</v>
      </c>
      <c r="C997" s="10" t="s">
        <v>719</v>
      </c>
    </row>
    <row r="998" spans="1:3">
      <c r="A998" s="8" t="s">
        <v>5457</v>
      </c>
      <c r="B998" s="9" t="s">
        <v>5458</v>
      </c>
      <c r="C998" s="10" t="s">
        <v>5459</v>
      </c>
    </row>
    <row r="999" spans="1:3">
      <c r="A999" s="8" t="s">
        <v>4685</v>
      </c>
      <c r="B999" s="9" t="s">
        <v>4686</v>
      </c>
      <c r="C999" s="10" t="s">
        <v>719</v>
      </c>
    </row>
    <row r="1000" spans="1:3">
      <c r="A1000" s="8" t="s">
        <v>1532</v>
      </c>
      <c r="B1000" s="9" t="s">
        <v>1533</v>
      </c>
      <c r="C1000" s="10" t="s">
        <v>1534</v>
      </c>
    </row>
    <row r="1001" spans="1:3">
      <c r="A1001" s="8" t="s">
        <v>1258</v>
      </c>
      <c r="B1001" s="9" t="s">
        <v>1259</v>
      </c>
      <c r="C1001" s="10" t="s">
        <v>1260</v>
      </c>
    </row>
    <row r="1002" spans="1:3">
      <c r="A1002" s="8" t="s">
        <v>1535</v>
      </c>
      <c r="B1002" s="9" t="s">
        <v>1536</v>
      </c>
      <c r="C1002" s="10" t="s">
        <v>1260</v>
      </c>
    </row>
    <row r="1003" spans="1:3">
      <c r="A1003" s="8" t="s">
        <v>5025</v>
      </c>
      <c r="B1003" s="9" t="s">
        <v>5026</v>
      </c>
      <c r="C1003" s="10" t="s">
        <v>719</v>
      </c>
    </row>
    <row r="1004" spans="1:3">
      <c r="A1004" s="8" t="s">
        <v>5030</v>
      </c>
      <c r="B1004" s="9" t="s">
        <v>5031</v>
      </c>
      <c r="C1004" s="10" t="s">
        <v>719</v>
      </c>
    </row>
    <row r="1005" spans="1:3">
      <c r="A1005" s="8" t="s">
        <v>5027</v>
      </c>
      <c r="B1005" s="9" t="s">
        <v>5028</v>
      </c>
      <c r="C1005" s="10" t="s">
        <v>5029</v>
      </c>
    </row>
    <row r="1006" spans="1:3">
      <c r="A1006" s="8" t="s">
        <v>5032</v>
      </c>
      <c r="B1006" s="9" t="s">
        <v>5033</v>
      </c>
      <c r="C1006" s="10" t="s">
        <v>719</v>
      </c>
    </row>
    <row r="1007" spans="1:3">
      <c r="A1007" s="8" t="s">
        <v>5448</v>
      </c>
      <c r="B1007" s="9" t="s">
        <v>5449</v>
      </c>
      <c r="C1007" s="10" t="s">
        <v>5450</v>
      </c>
    </row>
    <row r="1008" spans="1:3">
      <c r="A1008" s="8" t="s">
        <v>5466</v>
      </c>
      <c r="B1008" s="9" t="s">
        <v>5464</v>
      </c>
      <c r="C1008" s="10" t="s">
        <v>5465</v>
      </c>
    </row>
    <row r="1009" spans="1:3">
      <c r="A1009" s="8" t="s">
        <v>5454</v>
      </c>
      <c r="B1009" s="9" t="s">
        <v>5455</v>
      </c>
      <c r="C1009" s="10" t="s">
        <v>5456</v>
      </c>
    </row>
    <row r="1010" spans="1:3">
      <c r="A1010" s="8" t="s">
        <v>4792</v>
      </c>
      <c r="B1010" s="9" t="s">
        <v>4793</v>
      </c>
      <c r="C1010" s="10" t="s">
        <v>719</v>
      </c>
    </row>
    <row r="1011" spans="1:3">
      <c r="A1011" s="8" t="s">
        <v>816</v>
      </c>
      <c r="B1011" s="9" t="s">
        <v>817</v>
      </c>
      <c r="C1011" s="10" t="s">
        <v>818</v>
      </c>
    </row>
    <row r="1012" spans="1:3">
      <c r="A1012" s="8" t="s">
        <v>819</v>
      </c>
      <c r="B1012" s="9" t="s">
        <v>817</v>
      </c>
      <c r="C1012" s="10" t="s">
        <v>818</v>
      </c>
    </row>
    <row r="1013" spans="1:3">
      <c r="A1013" s="8" t="s">
        <v>750</v>
      </c>
      <c r="B1013" s="9" t="s">
        <v>751</v>
      </c>
      <c r="C1013" s="10" t="s">
        <v>752</v>
      </c>
    </row>
    <row r="1014" spans="1:3">
      <c r="A1014" s="8" t="s">
        <v>4942</v>
      </c>
      <c r="B1014" s="9" t="s">
        <v>4943</v>
      </c>
      <c r="C1014" s="10" t="s">
        <v>4944</v>
      </c>
    </row>
    <row r="1015" spans="1:3">
      <c r="A1015" s="8" t="s">
        <v>5037</v>
      </c>
      <c r="B1015" s="9" t="s">
        <v>5038</v>
      </c>
      <c r="C1015" s="10" t="s">
        <v>5039</v>
      </c>
    </row>
    <row r="1016" spans="1:3">
      <c r="A1016" s="8" t="s">
        <v>4494</v>
      </c>
      <c r="B1016" s="9" t="s">
        <v>4492</v>
      </c>
      <c r="C1016" s="10" t="s">
        <v>719</v>
      </c>
    </row>
    <row r="1017" spans="1:3">
      <c r="A1017" s="8" t="s">
        <v>5040</v>
      </c>
      <c r="B1017" s="9" t="s">
        <v>5041</v>
      </c>
      <c r="C1017" s="10" t="s">
        <v>5042</v>
      </c>
    </row>
    <row r="1018" spans="1:3">
      <c r="A1018" s="8" t="s">
        <v>4895</v>
      </c>
      <c r="B1018" s="9" t="s">
        <v>4896</v>
      </c>
      <c r="C1018" s="10" t="s">
        <v>4897</v>
      </c>
    </row>
    <row r="1019" spans="1:3">
      <c r="A1019" s="8" t="s">
        <v>4573</v>
      </c>
      <c r="B1019" s="9" t="s">
        <v>4574</v>
      </c>
      <c r="C1019" s="10" t="s">
        <v>4575</v>
      </c>
    </row>
    <row r="1020" spans="1:3">
      <c r="A1020" s="8" t="s">
        <v>1763</v>
      </c>
      <c r="B1020" s="9" t="s">
        <v>1764</v>
      </c>
      <c r="C1020" s="10" t="s">
        <v>1765</v>
      </c>
    </row>
    <row r="1021" spans="1:3">
      <c r="A1021" s="8" t="s">
        <v>1720</v>
      </c>
      <c r="B1021" s="9" t="s">
        <v>1721</v>
      </c>
      <c r="C1021" s="10" t="s">
        <v>1722</v>
      </c>
    </row>
    <row r="1022" spans="1:3">
      <c r="A1022" s="8" t="s">
        <v>1674</v>
      </c>
      <c r="B1022" s="9" t="s">
        <v>1675</v>
      </c>
      <c r="C1022" s="10" t="s">
        <v>1676</v>
      </c>
    </row>
    <row r="1023" spans="1:3">
      <c r="A1023" s="8" t="s">
        <v>1766</v>
      </c>
      <c r="B1023" s="9" t="s">
        <v>1767</v>
      </c>
      <c r="C1023" s="10" t="s">
        <v>1768</v>
      </c>
    </row>
    <row r="1024" spans="1:3">
      <c r="A1024" s="8" t="s">
        <v>4645</v>
      </c>
      <c r="B1024" s="9" t="s">
        <v>4646</v>
      </c>
      <c r="C1024" s="10" t="s">
        <v>4647</v>
      </c>
    </row>
    <row r="1025" spans="1:3">
      <c r="A1025" s="8" t="s">
        <v>1341</v>
      </c>
      <c r="B1025" s="9" t="s">
        <v>1342</v>
      </c>
      <c r="C1025" s="10" t="s">
        <v>1342</v>
      </c>
    </row>
    <row r="1026" spans="1:3">
      <c r="A1026" s="8" t="s">
        <v>4837</v>
      </c>
      <c r="B1026" s="9" t="s">
        <v>4838</v>
      </c>
      <c r="C1026" s="10" t="s">
        <v>4839</v>
      </c>
    </row>
    <row r="1027" spans="1:3">
      <c r="A1027" s="8" t="s">
        <v>549</v>
      </c>
      <c r="B1027" s="9" t="s">
        <v>550</v>
      </c>
      <c r="C1027" s="10" t="s">
        <v>551</v>
      </c>
    </row>
    <row r="1028" spans="1:3">
      <c r="A1028" s="8" t="s">
        <v>552</v>
      </c>
      <c r="B1028" s="9" t="s">
        <v>550</v>
      </c>
      <c r="C1028" s="10" t="s">
        <v>551</v>
      </c>
    </row>
    <row r="1029" spans="1:3">
      <c r="A1029" s="8" t="s">
        <v>1461</v>
      </c>
      <c r="B1029" s="9" t="s">
        <v>1460</v>
      </c>
      <c r="C1029" s="10" t="s">
        <v>719</v>
      </c>
    </row>
    <row r="1030" spans="1:3">
      <c r="A1030" s="8" t="s">
        <v>553</v>
      </c>
      <c r="B1030" s="9" t="s">
        <v>554</v>
      </c>
      <c r="C1030" s="10" t="s">
        <v>555</v>
      </c>
    </row>
    <row r="1031" spans="1:3">
      <c r="A1031" s="8" t="s">
        <v>3111</v>
      </c>
      <c r="B1031" s="9" t="s">
        <v>3110</v>
      </c>
      <c r="C1031" s="10" t="s">
        <v>3112</v>
      </c>
    </row>
    <row r="1032" spans="1:3">
      <c r="A1032" s="8" t="s">
        <v>4917</v>
      </c>
      <c r="B1032" s="9" t="s">
        <v>4918</v>
      </c>
      <c r="C1032" s="10" t="s">
        <v>4919</v>
      </c>
    </row>
    <row r="1033" spans="1:3">
      <c r="A1033" s="8" t="s">
        <v>3466</v>
      </c>
      <c r="B1033" s="9" t="s">
        <v>3467</v>
      </c>
      <c r="C1033" s="10" t="s">
        <v>719</v>
      </c>
    </row>
    <row r="1034" spans="1:3">
      <c r="A1034" s="8" t="s">
        <v>4186</v>
      </c>
      <c r="B1034" s="9" t="s">
        <v>4187</v>
      </c>
      <c r="C1034" s="10" t="s">
        <v>4188</v>
      </c>
    </row>
    <row r="1035" spans="1:3">
      <c r="A1035" s="8" t="s">
        <v>3826</v>
      </c>
      <c r="B1035" s="9" t="s">
        <v>3827</v>
      </c>
      <c r="C1035" s="10" t="s">
        <v>3828</v>
      </c>
    </row>
    <row r="1036" spans="1:3">
      <c r="A1036" s="8" t="s">
        <v>5867</v>
      </c>
      <c r="B1036" s="9" t="e">
        <v>#N/A</v>
      </c>
      <c r="C1036" s="10" t="e">
        <v>#N/A</v>
      </c>
    </row>
    <row r="1037" spans="1:3">
      <c r="A1037" s="8" t="s">
        <v>4189</v>
      </c>
      <c r="B1037" s="9" t="s">
        <v>4187</v>
      </c>
      <c r="C1037" s="10" t="s">
        <v>4188</v>
      </c>
    </row>
    <row r="1038" spans="1:3">
      <c r="A1038" s="8" t="s">
        <v>4215</v>
      </c>
      <c r="B1038" s="9" t="s">
        <v>4216</v>
      </c>
      <c r="C1038" s="10" t="s">
        <v>4217</v>
      </c>
    </row>
    <row r="1039" spans="1:3">
      <c r="A1039" s="8" t="s">
        <v>4889</v>
      </c>
      <c r="B1039" s="9" t="s">
        <v>4890</v>
      </c>
      <c r="C1039" s="10" t="s">
        <v>4891</v>
      </c>
    </row>
    <row r="1040" spans="1:3">
      <c r="A1040" s="8" t="s">
        <v>4892</v>
      </c>
      <c r="B1040" s="9" t="s">
        <v>4893</v>
      </c>
      <c r="C1040" s="10" t="s">
        <v>4894</v>
      </c>
    </row>
    <row r="1041" spans="1:3">
      <c r="A1041" s="8" t="s">
        <v>4006</v>
      </c>
      <c r="B1041" s="9" t="s">
        <v>4007</v>
      </c>
      <c r="C1041" s="10" t="s">
        <v>4008</v>
      </c>
    </row>
    <row r="1042" spans="1:3">
      <c r="A1042" s="8" t="s">
        <v>4124</v>
      </c>
      <c r="B1042" s="9" t="s">
        <v>4122</v>
      </c>
      <c r="C1042" s="10" t="s">
        <v>4123</v>
      </c>
    </row>
    <row r="1043" spans="1:3">
      <c r="A1043" s="8" t="s">
        <v>3081</v>
      </c>
      <c r="B1043" s="9" t="s">
        <v>3082</v>
      </c>
      <c r="C1043" s="10" t="s">
        <v>3083</v>
      </c>
    </row>
    <row r="1044" spans="1:3">
      <c r="A1044" s="8" t="s">
        <v>3087</v>
      </c>
      <c r="B1044" s="9" t="s">
        <v>3088</v>
      </c>
      <c r="C1044" s="10" t="s">
        <v>3089</v>
      </c>
    </row>
    <row r="1045" spans="1:3">
      <c r="A1045" s="8" t="s">
        <v>1374</v>
      </c>
      <c r="B1045" s="9" t="s">
        <v>1372</v>
      </c>
      <c r="C1045" s="10" t="s">
        <v>719</v>
      </c>
    </row>
    <row r="1046" spans="1:3">
      <c r="A1046" s="8" t="s">
        <v>4712</v>
      </c>
      <c r="B1046" s="9" t="s">
        <v>4713</v>
      </c>
      <c r="C1046" s="10" t="s">
        <v>4714</v>
      </c>
    </row>
    <row r="1047" spans="1:3">
      <c r="A1047" s="8" t="s">
        <v>4675</v>
      </c>
      <c r="B1047" s="9" t="s">
        <v>4676</v>
      </c>
      <c r="C1047" s="10" t="s">
        <v>4677</v>
      </c>
    </row>
    <row r="1048" spans="1:3">
      <c r="A1048" s="8" t="s">
        <v>3611</v>
      </c>
      <c r="B1048" s="9" t="s">
        <v>3607</v>
      </c>
      <c r="C1048" s="10" t="s">
        <v>3608</v>
      </c>
    </row>
    <row r="1049" spans="1:3">
      <c r="A1049" s="8" t="s">
        <v>4905</v>
      </c>
      <c r="B1049" s="9" t="s">
        <v>4906</v>
      </c>
      <c r="C1049" s="10" t="s">
        <v>4907</v>
      </c>
    </row>
    <row r="1050" spans="1:3">
      <c r="A1050" s="8" t="s">
        <v>4899</v>
      </c>
      <c r="B1050" s="9" t="s">
        <v>4900</v>
      </c>
      <c r="C1050" s="10" t="s">
        <v>4901</v>
      </c>
    </row>
    <row r="1051" spans="1:3">
      <c r="A1051" s="8" t="s">
        <v>4898</v>
      </c>
      <c r="B1051" s="9" t="s">
        <v>4896</v>
      </c>
      <c r="C1051" s="10" t="s">
        <v>4897</v>
      </c>
    </row>
    <row r="1052" spans="1:3">
      <c r="A1052" s="8" t="s">
        <v>1222</v>
      </c>
      <c r="B1052" s="9" t="s">
        <v>1223</v>
      </c>
      <c r="C1052" s="10" t="s">
        <v>1224</v>
      </c>
    </row>
    <row r="1053" spans="1:3">
      <c r="A1053" s="8" t="s">
        <v>4345</v>
      </c>
      <c r="B1053" s="9" t="s">
        <v>4346</v>
      </c>
      <c r="C1053" s="10" t="s">
        <v>719</v>
      </c>
    </row>
    <row r="1054" spans="1:3">
      <c r="A1054" s="8" t="s">
        <v>164</v>
      </c>
      <c r="B1054" s="9" t="s">
        <v>165</v>
      </c>
      <c r="C1054" s="10" t="s">
        <v>166</v>
      </c>
    </row>
    <row r="1055" spans="1:3">
      <c r="A1055" s="8" t="s">
        <v>4283</v>
      </c>
      <c r="B1055" s="9" t="s">
        <v>4284</v>
      </c>
      <c r="C1055" s="10" t="s">
        <v>4285</v>
      </c>
    </row>
    <row r="1056" spans="1:3">
      <c r="A1056" s="8" t="s">
        <v>4347</v>
      </c>
      <c r="B1056" s="9" t="s">
        <v>4346</v>
      </c>
      <c r="C1056" s="10" t="s">
        <v>719</v>
      </c>
    </row>
    <row r="1057" spans="1:3">
      <c r="A1057" s="8" t="s">
        <v>4323</v>
      </c>
      <c r="B1057" s="9" t="s">
        <v>4324</v>
      </c>
      <c r="C1057" s="10" t="s">
        <v>4325</v>
      </c>
    </row>
    <row r="1058" spans="1:3">
      <c r="A1058" s="8" t="s">
        <v>1799</v>
      </c>
      <c r="B1058" s="9" t="s">
        <v>1800</v>
      </c>
      <c r="C1058" s="10" t="s">
        <v>1793</v>
      </c>
    </row>
    <row r="1059" spans="1:3">
      <c r="A1059" s="8" t="s">
        <v>4304</v>
      </c>
      <c r="B1059" s="9" t="s">
        <v>4305</v>
      </c>
      <c r="C1059" s="10" t="s">
        <v>4306</v>
      </c>
    </row>
    <row r="1060" spans="1:3">
      <c r="A1060" s="8" t="s">
        <v>4612</v>
      </c>
      <c r="B1060" s="9" t="s">
        <v>4613</v>
      </c>
      <c r="C1060" s="10" t="s">
        <v>4614</v>
      </c>
    </row>
    <row r="1061" spans="1:3">
      <c r="A1061" s="8" t="s">
        <v>955</v>
      </c>
      <c r="B1061" s="9" t="s">
        <v>956</v>
      </c>
      <c r="C1061" s="10" t="s">
        <v>957</v>
      </c>
    </row>
    <row r="1062" spans="1:3">
      <c r="A1062" s="8" t="s">
        <v>949</v>
      </c>
      <c r="B1062" s="9" t="s">
        <v>950</v>
      </c>
      <c r="C1062" s="10" t="s">
        <v>951</v>
      </c>
    </row>
    <row r="1063" spans="1:3">
      <c r="A1063" s="8" t="s">
        <v>2168</v>
      </c>
      <c r="B1063" s="9" t="s">
        <v>2169</v>
      </c>
      <c r="C1063" s="10" t="s">
        <v>2169</v>
      </c>
    </row>
    <row r="1064" spans="1:3">
      <c r="A1064" s="8" t="s">
        <v>1709</v>
      </c>
      <c r="B1064" s="9" t="s">
        <v>1710</v>
      </c>
      <c r="C1064" s="10" t="s">
        <v>1711</v>
      </c>
    </row>
    <row r="1065" spans="1:3">
      <c r="A1065" s="8" t="s">
        <v>1703</v>
      </c>
      <c r="B1065" s="9" t="s">
        <v>1704</v>
      </c>
      <c r="C1065" s="10" t="s">
        <v>1705</v>
      </c>
    </row>
    <row r="1066" spans="1:3">
      <c r="A1066" s="8" t="s">
        <v>1706</v>
      </c>
      <c r="B1066" s="9" t="s">
        <v>1707</v>
      </c>
      <c r="C1066" s="10" t="s">
        <v>1708</v>
      </c>
    </row>
    <row r="1067" spans="1:3">
      <c r="A1067" s="8" t="s">
        <v>2649</v>
      </c>
      <c r="B1067" s="9" t="s">
        <v>2650</v>
      </c>
      <c r="C1067" s="10" t="s">
        <v>719</v>
      </c>
    </row>
    <row r="1068" spans="1:3">
      <c r="A1068" s="8" t="s">
        <v>2651</v>
      </c>
      <c r="B1068" s="9" t="s">
        <v>2652</v>
      </c>
      <c r="C1068" s="10" t="s">
        <v>2653</v>
      </c>
    </row>
    <row r="1069" spans="1:3">
      <c r="A1069" s="8" t="s">
        <v>5546</v>
      </c>
      <c r="B1069" s="9" t="s">
        <v>5547</v>
      </c>
      <c r="C1069" s="10" t="s">
        <v>5548</v>
      </c>
    </row>
    <row r="1070" spans="1:3">
      <c r="A1070" s="8" t="s">
        <v>5521</v>
      </c>
      <c r="B1070" s="9" t="s">
        <v>5522</v>
      </c>
      <c r="C1070" s="10" t="s">
        <v>5523</v>
      </c>
    </row>
    <row r="1071" spans="1:3">
      <c r="A1071" s="8" t="s">
        <v>5540</v>
      </c>
      <c r="B1071" s="9" t="s">
        <v>5541</v>
      </c>
      <c r="C1071" s="10" t="s">
        <v>5542</v>
      </c>
    </row>
    <row r="1072" spans="1:3">
      <c r="A1072" s="8" t="s">
        <v>482</v>
      </c>
      <c r="B1072" s="9" t="s">
        <v>483</v>
      </c>
      <c r="C1072" s="10" t="s">
        <v>484</v>
      </c>
    </row>
    <row r="1073" spans="1:3">
      <c r="A1073" s="8" t="s">
        <v>651</v>
      </c>
      <c r="B1073" s="9" t="s">
        <v>652</v>
      </c>
      <c r="C1073" s="10" t="s">
        <v>653</v>
      </c>
    </row>
    <row r="1074" spans="1:3">
      <c r="A1074" s="8" t="s">
        <v>5515</v>
      </c>
      <c r="B1074" s="9" t="s">
        <v>5516</v>
      </c>
      <c r="C1074" s="10" t="s">
        <v>5517</v>
      </c>
    </row>
    <row r="1075" spans="1:3">
      <c r="A1075" s="8" t="s">
        <v>371</v>
      </c>
      <c r="B1075" s="9" t="s">
        <v>372</v>
      </c>
      <c r="C1075" s="10" t="s">
        <v>373</v>
      </c>
    </row>
    <row r="1076" spans="1:3">
      <c r="A1076" s="8" t="s">
        <v>43</v>
      </c>
      <c r="B1076" s="9" t="s">
        <v>44</v>
      </c>
      <c r="C1076" s="10" t="s">
        <v>45</v>
      </c>
    </row>
    <row r="1077" spans="1:3">
      <c r="A1077" s="8" t="s">
        <v>233</v>
      </c>
      <c r="B1077" s="9" t="s">
        <v>234</v>
      </c>
      <c r="C1077" s="10" t="s">
        <v>235</v>
      </c>
    </row>
    <row r="1078" spans="1:3">
      <c r="A1078" s="8" t="s">
        <v>3105</v>
      </c>
      <c r="B1078" s="9" t="s">
        <v>3103</v>
      </c>
      <c r="C1078" s="10" t="s">
        <v>3104</v>
      </c>
    </row>
    <row r="1079" spans="1:3">
      <c r="A1079" s="8" t="s">
        <v>3838</v>
      </c>
      <c r="B1079" s="9" t="s">
        <v>3839</v>
      </c>
      <c r="C1079" s="10" t="s">
        <v>3840</v>
      </c>
    </row>
    <row r="1080" spans="1:3">
      <c r="A1080" s="8" t="s">
        <v>2284</v>
      </c>
      <c r="B1080" s="9" t="s">
        <v>2285</v>
      </c>
      <c r="C1080" s="10" t="s">
        <v>2286</v>
      </c>
    </row>
    <row r="1081" spans="1:3">
      <c r="A1081" s="8" t="s">
        <v>1884</v>
      </c>
      <c r="B1081" s="9" t="s">
        <v>1885</v>
      </c>
      <c r="C1081" s="10" t="s">
        <v>1886</v>
      </c>
    </row>
    <row r="1082" spans="1:3">
      <c r="A1082" s="8" t="s">
        <v>67</v>
      </c>
      <c r="B1082" s="9" t="s">
        <v>68</v>
      </c>
      <c r="C1082" s="10" t="s">
        <v>719</v>
      </c>
    </row>
    <row r="1083" spans="1:3">
      <c r="A1083" s="8" t="s">
        <v>71</v>
      </c>
      <c r="B1083" s="9" t="s">
        <v>72</v>
      </c>
      <c r="C1083" s="10" t="s">
        <v>73</v>
      </c>
    </row>
    <row r="1084" spans="1:3">
      <c r="A1084" s="8" t="s">
        <v>5389</v>
      </c>
      <c r="B1084" s="9" t="s">
        <v>5390</v>
      </c>
      <c r="C1084" s="10" t="s">
        <v>719</v>
      </c>
    </row>
    <row r="1085" spans="1:3">
      <c r="A1085" s="8" t="s">
        <v>5391</v>
      </c>
      <c r="B1085" s="9" t="s">
        <v>5390</v>
      </c>
      <c r="C1085" s="10" t="s">
        <v>719</v>
      </c>
    </row>
    <row r="1086" spans="1:3">
      <c r="A1086" s="8" t="s">
        <v>865</v>
      </c>
      <c r="B1086" s="9" t="s">
        <v>866</v>
      </c>
      <c r="C1086" s="10" t="s">
        <v>719</v>
      </c>
    </row>
    <row r="1087" spans="1:3">
      <c r="A1087" s="8" t="s">
        <v>1858</v>
      </c>
      <c r="B1087" s="9" t="s">
        <v>1859</v>
      </c>
      <c r="C1087" s="10" t="s">
        <v>1860</v>
      </c>
    </row>
    <row r="1088" spans="1:3">
      <c r="A1088" s="8" t="s">
        <v>1985</v>
      </c>
      <c r="B1088" s="9" t="s">
        <v>1986</v>
      </c>
      <c r="C1088" s="10" t="s">
        <v>1987</v>
      </c>
    </row>
    <row r="1089" spans="1:3">
      <c r="A1089" s="8" t="s">
        <v>3512</v>
      </c>
      <c r="B1089" s="9" t="s">
        <v>3513</v>
      </c>
      <c r="C1089" s="10" t="s">
        <v>3514</v>
      </c>
    </row>
    <row r="1090" spans="1:3">
      <c r="A1090" s="8" t="s">
        <v>4361</v>
      </c>
      <c r="B1090" s="9" t="s">
        <v>4359</v>
      </c>
      <c r="C1090" s="10" t="s">
        <v>4360</v>
      </c>
    </row>
    <row r="1091" spans="1:3">
      <c r="A1091" s="8" t="s">
        <v>4349</v>
      </c>
      <c r="B1091" s="9" t="s">
        <v>4350</v>
      </c>
      <c r="C1091" s="10" t="s">
        <v>4351</v>
      </c>
    </row>
    <row r="1092" spans="1:3">
      <c r="A1092" s="8" t="s">
        <v>1797</v>
      </c>
      <c r="B1092" s="9" t="s">
        <v>1798</v>
      </c>
      <c r="C1092" s="10" t="s">
        <v>719</v>
      </c>
    </row>
    <row r="1093" spans="1:3">
      <c r="A1093" s="8" t="s">
        <v>5113</v>
      </c>
      <c r="B1093" s="9" t="s">
        <v>5112</v>
      </c>
      <c r="C1093" s="10" t="s">
        <v>5112</v>
      </c>
    </row>
    <row r="1094" spans="1:3">
      <c r="A1094" s="8" t="s">
        <v>3568</v>
      </c>
      <c r="B1094" s="9" t="s">
        <v>3569</v>
      </c>
      <c r="C1094" s="10" t="s">
        <v>3570</v>
      </c>
    </row>
    <row r="1095" spans="1:3">
      <c r="A1095" s="8" t="s">
        <v>4996</v>
      </c>
      <c r="B1095" s="9" t="s">
        <v>4997</v>
      </c>
      <c r="C1095" s="10" t="s">
        <v>719</v>
      </c>
    </row>
    <row r="1096" spans="1:3">
      <c r="A1096" s="8" t="s">
        <v>3756</v>
      </c>
      <c r="B1096" s="9" t="s">
        <v>3754</v>
      </c>
      <c r="C1096" s="10" t="s">
        <v>3755</v>
      </c>
    </row>
    <row r="1097" spans="1:3">
      <c r="A1097" s="8" t="s">
        <v>4235</v>
      </c>
      <c r="B1097" s="9" t="s">
        <v>4236</v>
      </c>
      <c r="C1097" s="10" t="s">
        <v>4237</v>
      </c>
    </row>
    <row r="1098" spans="1:3">
      <c r="A1098" s="8" t="s">
        <v>4516</v>
      </c>
      <c r="B1098" s="9" t="s">
        <v>4515</v>
      </c>
      <c r="C1098" s="10" t="s">
        <v>719</v>
      </c>
    </row>
    <row r="1099" spans="1:3">
      <c r="A1099" s="8" t="s">
        <v>3592</v>
      </c>
      <c r="B1099" s="9" t="s">
        <v>3593</v>
      </c>
      <c r="C1099" s="10" t="s">
        <v>3594</v>
      </c>
    </row>
    <row r="1100" spans="1:3">
      <c r="A1100" s="8" t="s">
        <v>3556</v>
      </c>
      <c r="B1100" s="9" t="s">
        <v>3557</v>
      </c>
      <c r="C1100" s="10" t="s">
        <v>3558</v>
      </c>
    </row>
    <row r="1101" spans="1:3">
      <c r="A1101" s="8" t="s">
        <v>3580</v>
      </c>
      <c r="B1101" s="9" t="s">
        <v>3581</v>
      </c>
      <c r="C1101" s="10" t="s">
        <v>3582</v>
      </c>
    </row>
    <row r="1102" spans="1:3">
      <c r="A1102" s="8" t="s">
        <v>4998</v>
      </c>
      <c r="B1102" s="9" t="s">
        <v>4997</v>
      </c>
      <c r="C1102" s="10" t="s">
        <v>719</v>
      </c>
    </row>
    <row r="1103" spans="1:3">
      <c r="A1103" s="8" t="s">
        <v>4999</v>
      </c>
      <c r="B1103" s="9" t="s">
        <v>4997</v>
      </c>
      <c r="C1103" s="10" t="s">
        <v>719</v>
      </c>
    </row>
    <row r="1104" spans="1:3">
      <c r="A1104" s="8" t="s">
        <v>5000</v>
      </c>
      <c r="B1104" s="9" t="s">
        <v>4997</v>
      </c>
      <c r="C1104" s="10" t="s">
        <v>719</v>
      </c>
    </row>
    <row r="1105" spans="1:3">
      <c r="A1105" s="8" t="s">
        <v>4031</v>
      </c>
      <c r="B1105" s="9" t="s">
        <v>4032</v>
      </c>
      <c r="C1105" s="10" t="s">
        <v>4033</v>
      </c>
    </row>
    <row r="1106" spans="1:3">
      <c r="A1106" s="8" t="s">
        <v>265</v>
      </c>
      <c r="B1106" s="9" t="s">
        <v>266</v>
      </c>
      <c r="C1106" s="10" t="s">
        <v>267</v>
      </c>
    </row>
    <row r="1107" spans="1:3">
      <c r="A1107" s="8" t="s">
        <v>245</v>
      </c>
      <c r="B1107" s="9" t="s">
        <v>246</v>
      </c>
      <c r="C1107" s="10" t="s">
        <v>247</v>
      </c>
    </row>
    <row r="1108" spans="1:3">
      <c r="A1108" s="8" t="s">
        <v>252</v>
      </c>
      <c r="B1108" s="9" t="s">
        <v>253</v>
      </c>
      <c r="C1108" s="10" t="s">
        <v>254</v>
      </c>
    </row>
    <row r="1109" spans="1:3">
      <c r="A1109" s="8" t="s">
        <v>4119</v>
      </c>
      <c r="B1109" s="9" t="s">
        <v>4116</v>
      </c>
      <c r="C1109" s="10" t="s">
        <v>719</v>
      </c>
    </row>
    <row r="1110" spans="1:3">
      <c r="A1110" s="8" t="s">
        <v>5280</v>
      </c>
      <c r="B1110" s="9" t="s">
        <v>5281</v>
      </c>
      <c r="C1110" s="10" t="s">
        <v>719</v>
      </c>
    </row>
    <row r="1111" spans="1:3">
      <c r="A1111" s="8" t="s">
        <v>5282</v>
      </c>
      <c r="B1111" s="9" t="s">
        <v>5281</v>
      </c>
      <c r="C1111" s="10" t="s">
        <v>719</v>
      </c>
    </row>
    <row r="1112" spans="1:3">
      <c r="A1112" s="8" t="s">
        <v>1823</v>
      </c>
      <c r="B1112" s="9" t="s">
        <v>1824</v>
      </c>
      <c r="C1112" s="10" t="s">
        <v>1825</v>
      </c>
    </row>
    <row r="1113" spans="1:3">
      <c r="A1113" s="8" t="s">
        <v>3734</v>
      </c>
      <c r="B1113" s="9" t="s">
        <v>3735</v>
      </c>
      <c r="C1113" s="10" t="s">
        <v>3736</v>
      </c>
    </row>
    <row r="1114" spans="1:3">
      <c r="A1114" s="8" t="s">
        <v>799</v>
      </c>
      <c r="B1114" s="9" t="s">
        <v>800</v>
      </c>
      <c r="C1114" s="10" t="s">
        <v>801</v>
      </c>
    </row>
    <row r="1115" spans="1:3">
      <c r="A1115" s="8" t="s">
        <v>5283</v>
      </c>
      <c r="B1115" s="9" t="s">
        <v>5281</v>
      </c>
      <c r="C1115" s="10" t="s">
        <v>719</v>
      </c>
    </row>
    <row r="1116" spans="1:3">
      <c r="A1116" s="8" t="s">
        <v>4932</v>
      </c>
      <c r="B1116" s="9" t="s">
        <v>4930</v>
      </c>
      <c r="C1116" s="10" t="s">
        <v>4931</v>
      </c>
    </row>
    <row r="1117" spans="1:3">
      <c r="A1117" s="8" t="s">
        <v>2685</v>
      </c>
      <c r="B1117" s="9" t="s">
        <v>2686</v>
      </c>
      <c r="C1117" s="10" t="s">
        <v>2687</v>
      </c>
    </row>
    <row r="1118" spans="1:3">
      <c r="A1118" s="8" t="s">
        <v>5072</v>
      </c>
      <c r="B1118" s="9" t="s">
        <v>5073</v>
      </c>
      <c r="C1118" s="10" t="s">
        <v>719</v>
      </c>
    </row>
    <row r="1119" spans="1:3">
      <c r="A1119" s="8" t="s">
        <v>502</v>
      </c>
      <c r="B1119" s="9" t="s">
        <v>503</v>
      </c>
      <c r="C1119" s="10" t="s">
        <v>504</v>
      </c>
    </row>
    <row r="1120" spans="1:3">
      <c r="A1120" s="8" t="s">
        <v>490</v>
      </c>
      <c r="B1120" s="9" t="s">
        <v>491</v>
      </c>
      <c r="C1120" s="10" t="s">
        <v>492</v>
      </c>
    </row>
    <row r="1121" spans="1:3">
      <c r="A1121" s="8" t="s">
        <v>3281</v>
      </c>
      <c r="B1121" s="9" t="s">
        <v>3282</v>
      </c>
      <c r="C1121" s="10" t="s">
        <v>3283</v>
      </c>
    </row>
    <row r="1122" spans="1:3">
      <c r="A1122" s="8" t="s">
        <v>4012</v>
      </c>
      <c r="B1122" s="9" t="s">
        <v>4013</v>
      </c>
      <c r="C1122" s="10" t="s">
        <v>4014</v>
      </c>
    </row>
    <row r="1123" spans="1:3">
      <c r="A1123" s="8" t="s">
        <v>2575</v>
      </c>
      <c r="B1123" s="9" t="s">
        <v>2576</v>
      </c>
      <c r="C1123" s="10" t="s">
        <v>2577</v>
      </c>
    </row>
    <row r="1124" spans="1:3">
      <c r="A1124" s="8" t="s">
        <v>5416</v>
      </c>
      <c r="B1124" s="9" t="s">
        <v>5414</v>
      </c>
      <c r="C1124" s="10" t="s">
        <v>719</v>
      </c>
    </row>
    <row r="1125" spans="1:3">
      <c r="A1125" s="8" t="s">
        <v>2578</v>
      </c>
      <c r="B1125" s="9" t="s">
        <v>2579</v>
      </c>
      <c r="C1125" s="10" t="s">
        <v>2577</v>
      </c>
    </row>
    <row r="1126" spans="1:3">
      <c r="A1126" s="8" t="s">
        <v>4183</v>
      </c>
      <c r="B1126" s="9" t="s">
        <v>4184</v>
      </c>
      <c r="C1126" s="10" t="s">
        <v>4185</v>
      </c>
    </row>
    <row r="1127" spans="1:3">
      <c r="A1127" s="8" t="s">
        <v>3410</v>
      </c>
      <c r="B1127" s="9" t="s">
        <v>3411</v>
      </c>
      <c r="C1127" s="10" t="s">
        <v>3412</v>
      </c>
    </row>
    <row r="1128" spans="1:3">
      <c r="A1128" s="8" t="s">
        <v>3396</v>
      </c>
      <c r="B1128" s="9" t="s">
        <v>3397</v>
      </c>
      <c r="C1128" s="10" t="s">
        <v>3398</v>
      </c>
    </row>
    <row r="1129" spans="1:3">
      <c r="A1129" s="8" t="s">
        <v>2520</v>
      </c>
      <c r="B1129" s="9" t="s">
        <v>2521</v>
      </c>
      <c r="C1129" s="10" t="s">
        <v>2519</v>
      </c>
    </row>
    <row r="1130" spans="1:3">
      <c r="A1130" s="8" t="s">
        <v>1934</v>
      </c>
      <c r="B1130" s="9" t="s">
        <v>1935</v>
      </c>
      <c r="C1130" s="10" t="s">
        <v>719</v>
      </c>
    </row>
    <row r="1131" spans="1:3">
      <c r="A1131" s="8" t="s">
        <v>4875</v>
      </c>
      <c r="B1131" s="9" t="s">
        <v>4876</v>
      </c>
      <c r="C1131" s="10" t="s">
        <v>4876</v>
      </c>
    </row>
    <row r="1132" spans="1:3">
      <c r="A1132" s="8" t="s">
        <v>3463</v>
      </c>
      <c r="B1132" s="9" t="s">
        <v>3464</v>
      </c>
      <c r="C1132" s="10" t="s">
        <v>3465</v>
      </c>
    </row>
    <row r="1133" spans="1:3">
      <c r="A1133" s="8" t="s">
        <v>4553</v>
      </c>
      <c r="B1133" s="9" t="s">
        <v>4550</v>
      </c>
      <c r="C1133" s="10" t="s">
        <v>4551</v>
      </c>
    </row>
    <row r="1134" spans="1:3">
      <c r="A1134" s="8" t="s">
        <v>4536</v>
      </c>
      <c r="B1134" s="9" t="s">
        <v>4534</v>
      </c>
      <c r="C1134" s="10" t="s">
        <v>4535</v>
      </c>
    </row>
    <row r="1135" spans="1:3">
      <c r="A1135" s="8" t="s">
        <v>3471</v>
      </c>
      <c r="B1135" s="9" t="s">
        <v>3472</v>
      </c>
      <c r="C1135" s="10" t="s">
        <v>719</v>
      </c>
    </row>
    <row r="1136" spans="1:3">
      <c r="A1136" s="8" t="s">
        <v>3612</v>
      </c>
      <c r="B1136" s="9" t="s">
        <v>3613</v>
      </c>
      <c r="C1136" s="10" t="s">
        <v>3614</v>
      </c>
    </row>
    <row r="1137" spans="1:3">
      <c r="A1137" s="8" t="s">
        <v>3457</v>
      </c>
      <c r="B1137" s="9" t="s">
        <v>3458</v>
      </c>
      <c r="C1137" s="10" t="s">
        <v>3459</v>
      </c>
    </row>
    <row r="1138" spans="1:3">
      <c r="A1138" s="8" t="s">
        <v>3587</v>
      </c>
      <c r="B1138" s="9" t="s">
        <v>3588</v>
      </c>
      <c r="C1138" s="10" t="s">
        <v>3589</v>
      </c>
    </row>
    <row r="1139" spans="1:3">
      <c r="A1139" s="8" t="s">
        <v>823</v>
      </c>
      <c r="B1139" s="9" t="s">
        <v>824</v>
      </c>
      <c r="C1139" s="10" t="s">
        <v>825</v>
      </c>
    </row>
    <row r="1140" spans="1:3">
      <c r="A1140" s="8" t="s">
        <v>4859</v>
      </c>
      <c r="B1140" s="9" t="s">
        <v>4860</v>
      </c>
      <c r="C1140" s="10" t="s">
        <v>4861</v>
      </c>
    </row>
    <row r="1141" spans="1:3">
      <c r="A1141" s="8" t="s">
        <v>3598</v>
      </c>
      <c r="B1141" s="9" t="s">
        <v>3599</v>
      </c>
      <c r="C1141" s="10" t="s">
        <v>3600</v>
      </c>
    </row>
    <row r="1142" spans="1:3">
      <c r="A1142" s="8" t="s">
        <v>3492</v>
      </c>
      <c r="B1142" s="9" t="s">
        <v>3493</v>
      </c>
      <c r="C1142" s="10" t="s">
        <v>3494</v>
      </c>
    </row>
    <row r="1143" spans="1:3">
      <c r="A1143" s="8" t="s">
        <v>894</v>
      </c>
      <c r="B1143" s="9" t="s">
        <v>895</v>
      </c>
      <c r="C1143" s="10" t="s">
        <v>804</v>
      </c>
    </row>
    <row r="1144" spans="1:3">
      <c r="A1144" s="8" t="s">
        <v>784</v>
      </c>
      <c r="B1144" s="9" t="s">
        <v>785</v>
      </c>
      <c r="C1144" s="10" t="s">
        <v>786</v>
      </c>
    </row>
    <row r="1145" spans="1:3">
      <c r="A1145" s="8" t="s">
        <v>787</v>
      </c>
      <c r="B1145" s="9" t="s">
        <v>788</v>
      </c>
      <c r="C1145" s="10" t="s">
        <v>789</v>
      </c>
    </row>
    <row r="1146" spans="1:3">
      <c r="A1146" s="8" t="s">
        <v>2993</v>
      </c>
      <c r="B1146" s="9" t="s">
        <v>2994</v>
      </c>
      <c r="C1146" s="10" t="s">
        <v>2995</v>
      </c>
    </row>
    <row r="1147" spans="1:3">
      <c r="A1147" s="8" t="s">
        <v>268</v>
      </c>
      <c r="B1147" s="9" t="s">
        <v>266</v>
      </c>
      <c r="C1147" s="10" t="s">
        <v>267</v>
      </c>
    </row>
    <row r="1148" spans="1:3">
      <c r="A1148" s="8" t="s">
        <v>401</v>
      </c>
      <c r="B1148" s="9" t="s">
        <v>402</v>
      </c>
      <c r="C1148" s="10" t="s">
        <v>403</v>
      </c>
    </row>
    <row r="1149" spans="1:3">
      <c r="A1149" s="8" t="s">
        <v>398</v>
      </c>
      <c r="B1149" s="9" t="s">
        <v>399</v>
      </c>
      <c r="C1149" s="10" t="s">
        <v>400</v>
      </c>
    </row>
    <row r="1150" spans="1:3">
      <c r="A1150" s="8" t="s">
        <v>404</v>
      </c>
      <c r="B1150" s="9" t="s">
        <v>402</v>
      </c>
      <c r="C1150" s="10" t="s">
        <v>403</v>
      </c>
    </row>
    <row r="1151" spans="1:3">
      <c r="A1151" s="8" t="s">
        <v>1831</v>
      </c>
      <c r="B1151" s="9" t="s">
        <v>1832</v>
      </c>
      <c r="C1151" s="10" t="s">
        <v>1833</v>
      </c>
    </row>
    <row r="1152" spans="1:3">
      <c r="A1152" s="8" t="s">
        <v>4871</v>
      </c>
      <c r="B1152" s="9" t="s">
        <v>4869</v>
      </c>
      <c r="C1152" s="10" t="s">
        <v>4870</v>
      </c>
    </row>
    <row r="1153" spans="1:3">
      <c r="A1153" s="8" t="s">
        <v>5311</v>
      </c>
      <c r="B1153" s="9" t="s">
        <v>5312</v>
      </c>
      <c r="C1153" s="10" t="s">
        <v>5313</v>
      </c>
    </row>
    <row r="1154" spans="1:3">
      <c r="A1154" s="8" t="s">
        <v>5320</v>
      </c>
      <c r="B1154" s="9" t="s">
        <v>5321</v>
      </c>
      <c r="C1154" s="10" t="s">
        <v>5322</v>
      </c>
    </row>
    <row r="1155" spans="1:3">
      <c r="A1155" s="8" t="s">
        <v>3872</v>
      </c>
      <c r="B1155" s="9" t="s">
        <v>3873</v>
      </c>
      <c r="C1155" s="10" t="s">
        <v>3874</v>
      </c>
    </row>
    <row r="1156" spans="1:3">
      <c r="A1156" s="8" t="s">
        <v>4394</v>
      </c>
      <c r="B1156" s="9" t="s">
        <v>4395</v>
      </c>
      <c r="C1156" s="10" t="s">
        <v>4396</v>
      </c>
    </row>
    <row r="1157" spans="1:3">
      <c r="A1157" s="8" t="s">
        <v>1870</v>
      </c>
      <c r="B1157" s="9" t="s">
        <v>1871</v>
      </c>
      <c r="C1157" s="10" t="s">
        <v>1866</v>
      </c>
    </row>
    <row r="1158" spans="1:3">
      <c r="A1158" s="8" t="s">
        <v>5396</v>
      </c>
      <c r="B1158" s="9" t="s">
        <v>5397</v>
      </c>
      <c r="C1158" s="10" t="s">
        <v>5398</v>
      </c>
    </row>
    <row r="1159" spans="1:3">
      <c r="A1159" s="8" t="s">
        <v>4045</v>
      </c>
      <c r="B1159" s="9" t="s">
        <v>4046</v>
      </c>
      <c r="C1159" s="10" t="s">
        <v>4047</v>
      </c>
    </row>
    <row r="1160" spans="1:3">
      <c r="A1160" s="8" t="s">
        <v>360</v>
      </c>
      <c r="B1160" s="9" t="s">
        <v>361</v>
      </c>
      <c r="C1160" s="10" t="s">
        <v>362</v>
      </c>
    </row>
    <row r="1161" spans="1:3">
      <c r="A1161" s="8" t="s">
        <v>88</v>
      </c>
      <c r="B1161" s="9" t="s">
        <v>86</v>
      </c>
      <c r="C1161" s="10" t="s">
        <v>87</v>
      </c>
    </row>
    <row r="1162" spans="1:3">
      <c r="A1162" s="8" t="s">
        <v>64</v>
      </c>
      <c r="B1162" s="9" t="s">
        <v>62</v>
      </c>
      <c r="C1162" s="10" t="s">
        <v>63</v>
      </c>
    </row>
    <row r="1163" spans="1:3">
      <c r="A1163" s="8" t="s">
        <v>4865</v>
      </c>
      <c r="B1163" s="9" t="s">
        <v>4866</v>
      </c>
      <c r="C1163" s="10" t="s">
        <v>4867</v>
      </c>
    </row>
    <row r="1164" spans="1:3">
      <c r="A1164" s="8" t="s">
        <v>82</v>
      </c>
      <c r="B1164" s="9" t="s">
        <v>83</v>
      </c>
      <c r="C1164" s="10" t="s">
        <v>84</v>
      </c>
    </row>
    <row r="1165" spans="1:3">
      <c r="A1165" s="8" t="s">
        <v>1864</v>
      </c>
      <c r="B1165" s="9" t="s">
        <v>1865</v>
      </c>
      <c r="C1165" s="10" t="s">
        <v>1866</v>
      </c>
    </row>
    <row r="1166" spans="1:3">
      <c r="A1166" s="8" t="s">
        <v>1629</v>
      </c>
      <c r="B1166" s="9" t="s">
        <v>1630</v>
      </c>
      <c r="C1166" s="10" t="s">
        <v>1631</v>
      </c>
    </row>
    <row r="1167" spans="1:3">
      <c r="A1167" s="8" t="s">
        <v>1861</v>
      </c>
      <c r="B1167" s="9" t="s">
        <v>1862</v>
      </c>
      <c r="C1167" s="10" t="s">
        <v>1863</v>
      </c>
    </row>
    <row r="1168" spans="1:3">
      <c r="A1168" s="8" t="s">
        <v>1635</v>
      </c>
      <c r="B1168" s="9" t="s">
        <v>1636</v>
      </c>
      <c r="C1168" s="10" t="s">
        <v>1637</v>
      </c>
    </row>
    <row r="1169" spans="1:3">
      <c r="A1169" s="8" t="s">
        <v>2235</v>
      </c>
      <c r="B1169" s="9" t="s">
        <v>2233</v>
      </c>
      <c r="C1169" s="10" t="s">
        <v>719</v>
      </c>
    </row>
    <row r="1170" spans="1:3">
      <c r="A1170" s="8" t="s">
        <v>5135</v>
      </c>
      <c r="B1170" s="9" t="s">
        <v>5136</v>
      </c>
      <c r="C1170" s="10" t="s">
        <v>5137</v>
      </c>
    </row>
    <row r="1171" spans="1:3">
      <c r="A1171" s="8" t="s">
        <v>2620</v>
      </c>
      <c r="B1171" s="9" t="s">
        <v>2621</v>
      </c>
      <c r="C1171" s="10" t="s">
        <v>5868</v>
      </c>
    </row>
    <row r="1172" spans="1:3">
      <c r="A1172" s="8" t="s">
        <v>2616</v>
      </c>
      <c r="B1172" s="9" t="s">
        <v>2617</v>
      </c>
      <c r="C1172" s="10" t="s">
        <v>2618</v>
      </c>
    </row>
    <row r="1173" spans="1:3">
      <c r="A1173" s="8" t="s">
        <v>2678</v>
      </c>
      <c r="B1173" s="9" t="s">
        <v>2679</v>
      </c>
      <c r="C1173" s="10" t="s">
        <v>2618</v>
      </c>
    </row>
    <row r="1174" spans="1:3">
      <c r="A1174" s="8" t="s">
        <v>5621</v>
      </c>
      <c r="B1174" s="9" t="s">
        <v>5622</v>
      </c>
      <c r="C1174" s="10" t="s">
        <v>5623</v>
      </c>
    </row>
    <row r="1175" spans="1:3">
      <c r="A1175" s="8" t="s">
        <v>439</v>
      </c>
      <c r="B1175" s="9" t="s">
        <v>440</v>
      </c>
      <c r="C1175" s="10" t="s">
        <v>441</v>
      </c>
    </row>
    <row r="1176" spans="1:3">
      <c r="A1176" s="8" t="s">
        <v>4197</v>
      </c>
      <c r="B1176" s="9" t="s">
        <v>4198</v>
      </c>
      <c r="C1176" s="10" t="s">
        <v>4199</v>
      </c>
    </row>
    <row r="1177" spans="1:3">
      <c r="A1177" s="8" t="s">
        <v>5146</v>
      </c>
      <c r="B1177" s="9" t="s">
        <v>5147</v>
      </c>
      <c r="C1177" s="10" t="s">
        <v>5869</v>
      </c>
    </row>
    <row r="1178" spans="1:3">
      <c r="A1178" s="8" t="s">
        <v>208</v>
      </c>
      <c r="B1178" s="9" t="s">
        <v>205</v>
      </c>
      <c r="C1178" s="10" t="s">
        <v>719</v>
      </c>
    </row>
    <row r="1179" spans="1:3">
      <c r="A1179" s="8" t="s">
        <v>161</v>
      </c>
      <c r="B1179" s="9" t="s">
        <v>162</v>
      </c>
      <c r="C1179" s="10" t="s">
        <v>163</v>
      </c>
    </row>
    <row r="1180" spans="1:3">
      <c r="A1180" s="8" t="s">
        <v>159</v>
      </c>
      <c r="B1180" s="9" t="s">
        <v>160</v>
      </c>
      <c r="C1180" s="10" t="s">
        <v>719</v>
      </c>
    </row>
    <row r="1181" spans="1:3">
      <c r="A1181" s="8" t="s">
        <v>3490</v>
      </c>
      <c r="B1181" s="9" t="s">
        <v>3491</v>
      </c>
      <c r="C1181" s="10" t="s">
        <v>719</v>
      </c>
    </row>
    <row r="1182" spans="1:3">
      <c r="A1182" s="8" t="s">
        <v>3439</v>
      </c>
      <c r="B1182" s="9" t="s">
        <v>3440</v>
      </c>
      <c r="C1182" s="10" t="s">
        <v>719</v>
      </c>
    </row>
    <row r="1183" spans="1:3">
      <c r="A1183" s="8" t="s">
        <v>5726</v>
      </c>
      <c r="B1183" s="9" t="s">
        <v>5727</v>
      </c>
      <c r="C1183" s="10" t="s">
        <v>5728</v>
      </c>
    </row>
    <row r="1184" spans="1:3">
      <c r="A1184" s="8" t="s">
        <v>5729</v>
      </c>
      <c r="B1184" s="9" t="s">
        <v>5730</v>
      </c>
      <c r="C1184" s="10" t="s">
        <v>5731</v>
      </c>
    </row>
    <row r="1185" spans="1:3">
      <c r="A1185" s="8" t="s">
        <v>2534</v>
      </c>
      <c r="B1185" s="9" t="s">
        <v>2535</v>
      </c>
      <c r="C1185" s="10" t="s">
        <v>2536</v>
      </c>
    </row>
    <row r="1186" spans="1:3">
      <c r="A1186" s="8" t="s">
        <v>23</v>
      </c>
      <c r="B1186" s="9" t="s">
        <v>24</v>
      </c>
      <c r="C1186" s="10" t="s">
        <v>719</v>
      </c>
    </row>
    <row r="1187" spans="1:3">
      <c r="A1187" s="8" t="s">
        <v>4125</v>
      </c>
      <c r="B1187" s="9" t="s">
        <v>4126</v>
      </c>
      <c r="C1187" s="10" t="s">
        <v>4127</v>
      </c>
    </row>
    <row r="1188" spans="1:3">
      <c r="A1188" s="8" t="s">
        <v>4128</v>
      </c>
      <c r="B1188" s="9" t="s">
        <v>4129</v>
      </c>
      <c r="C1188" s="10" t="s">
        <v>719</v>
      </c>
    </row>
    <row r="1189" spans="1:3">
      <c r="A1189" s="8" t="s">
        <v>4103</v>
      </c>
      <c r="B1189" s="9" t="s">
        <v>4102</v>
      </c>
      <c r="C1189" s="10" t="s">
        <v>719</v>
      </c>
    </row>
    <row r="1190" spans="1:3">
      <c r="A1190" s="8" t="s">
        <v>2607</v>
      </c>
      <c r="B1190" s="9" t="s">
        <v>2608</v>
      </c>
      <c r="C1190" s="10" t="s">
        <v>2609</v>
      </c>
    </row>
    <row r="1191" spans="1:3">
      <c r="A1191" s="8" t="s">
        <v>1187</v>
      </c>
      <c r="B1191" s="9" t="s">
        <v>1188</v>
      </c>
      <c r="C1191" s="10" t="s">
        <v>1189</v>
      </c>
    </row>
    <row r="1192" spans="1:3">
      <c r="A1192" s="8" t="s">
        <v>1178</v>
      </c>
      <c r="B1192" s="9" t="s">
        <v>1179</v>
      </c>
      <c r="C1192" s="10" t="s">
        <v>1180</v>
      </c>
    </row>
    <row r="1193" spans="1:3">
      <c r="A1193" s="8" t="s">
        <v>5154</v>
      </c>
      <c r="B1193" s="9" t="s">
        <v>5155</v>
      </c>
      <c r="C1193" s="10" t="s">
        <v>5156</v>
      </c>
    </row>
    <row r="1194" spans="1:3">
      <c r="A1194" s="8" t="s">
        <v>5151</v>
      </c>
      <c r="B1194" s="9" t="s">
        <v>5152</v>
      </c>
      <c r="C1194" s="10" t="s">
        <v>5153</v>
      </c>
    </row>
    <row r="1195" spans="1:3">
      <c r="A1195" s="8" t="s">
        <v>2033</v>
      </c>
      <c r="B1195" s="9" t="s">
        <v>2034</v>
      </c>
      <c r="C1195" s="10" t="s">
        <v>2035</v>
      </c>
    </row>
    <row r="1196" spans="1:3">
      <c r="A1196" s="8" t="s">
        <v>153</v>
      </c>
      <c r="B1196" s="9" t="s">
        <v>154</v>
      </c>
      <c r="C1196" s="10" t="s">
        <v>155</v>
      </c>
    </row>
    <row r="1197" spans="1:3">
      <c r="A1197" s="8" t="s">
        <v>1907</v>
      </c>
      <c r="B1197" s="9" t="s">
        <v>1908</v>
      </c>
      <c r="C1197" s="10" t="s">
        <v>1909</v>
      </c>
    </row>
    <row r="1198" spans="1:3">
      <c r="A1198" s="8" t="s">
        <v>5493</v>
      </c>
      <c r="B1198" s="9" t="s">
        <v>5494</v>
      </c>
      <c r="C1198" s="10" t="s">
        <v>5495</v>
      </c>
    </row>
    <row r="1199" spans="1:3">
      <c r="A1199" s="8" t="s">
        <v>544</v>
      </c>
      <c r="B1199" s="9" t="s">
        <v>545</v>
      </c>
      <c r="C1199" s="10" t="s">
        <v>719</v>
      </c>
    </row>
    <row r="1200" spans="1:3">
      <c r="A1200" s="8" t="s">
        <v>3708</v>
      </c>
      <c r="B1200" s="9" t="s">
        <v>3709</v>
      </c>
      <c r="C1200" s="10" t="s">
        <v>3710</v>
      </c>
    </row>
    <row r="1201" spans="1:3">
      <c r="A1201" s="8" t="s">
        <v>3060</v>
      </c>
      <c r="B1201" s="9" t="s">
        <v>3061</v>
      </c>
      <c r="C1201" s="10" t="s">
        <v>3062</v>
      </c>
    </row>
    <row r="1202" spans="1:3">
      <c r="A1202" s="8" t="s">
        <v>408</v>
      </c>
      <c r="B1202" s="9" t="s">
        <v>409</v>
      </c>
      <c r="C1202" s="10" t="s">
        <v>410</v>
      </c>
    </row>
    <row r="1203" spans="1:3">
      <c r="A1203" s="8" t="s">
        <v>621</v>
      </c>
      <c r="B1203" s="9" t="s">
        <v>622</v>
      </c>
      <c r="C1203" s="10" t="s">
        <v>623</v>
      </c>
    </row>
    <row r="1204" spans="1:3">
      <c r="A1204" s="8" t="s">
        <v>479</v>
      </c>
      <c r="B1204" s="9" t="s">
        <v>480</v>
      </c>
      <c r="C1204" s="10" t="s">
        <v>481</v>
      </c>
    </row>
    <row r="1205" spans="1:3">
      <c r="A1205" s="8" t="s">
        <v>5533</v>
      </c>
      <c r="B1205" s="9" t="s">
        <v>5534</v>
      </c>
      <c r="C1205" s="10" t="s">
        <v>5535</v>
      </c>
    </row>
    <row r="1206" spans="1:3">
      <c r="A1206" s="8" t="s">
        <v>5543</v>
      </c>
      <c r="B1206" s="9" t="s">
        <v>5544</v>
      </c>
      <c r="C1206" s="10" t="s">
        <v>5545</v>
      </c>
    </row>
    <row r="1207" spans="1:3">
      <c r="A1207" s="8" t="s">
        <v>5527</v>
      </c>
      <c r="B1207" s="9" t="s">
        <v>5528</v>
      </c>
      <c r="C1207" s="10" t="s">
        <v>5529</v>
      </c>
    </row>
    <row r="1208" spans="1:3">
      <c r="A1208" s="8" t="s">
        <v>2540</v>
      </c>
      <c r="B1208" s="9" t="s">
        <v>2541</v>
      </c>
      <c r="C1208" s="10" t="s">
        <v>2542</v>
      </c>
    </row>
    <row r="1209" spans="1:3">
      <c r="A1209" s="8" t="s">
        <v>2490</v>
      </c>
      <c r="B1209" s="9" t="s">
        <v>2491</v>
      </c>
      <c r="C1209" s="10" t="s">
        <v>2492</v>
      </c>
    </row>
    <row r="1210" spans="1:3">
      <c r="A1210" s="8" t="s">
        <v>5518</v>
      </c>
      <c r="B1210" s="9" t="s">
        <v>5519</v>
      </c>
      <c r="C1210" s="10" t="s">
        <v>5520</v>
      </c>
    </row>
    <row r="1211" spans="1:3">
      <c r="A1211" s="8" t="s">
        <v>970</v>
      </c>
      <c r="B1211" s="9" t="s">
        <v>967</v>
      </c>
      <c r="C1211" s="10" t="s">
        <v>968</v>
      </c>
    </row>
    <row r="1212" spans="1:3">
      <c r="A1212" s="8" t="s">
        <v>1063</v>
      </c>
      <c r="B1212" s="9" t="s">
        <v>1064</v>
      </c>
      <c r="C1212" s="10" t="s">
        <v>963</v>
      </c>
    </row>
    <row r="1213" spans="1:3">
      <c r="A1213" s="8" t="s">
        <v>1065</v>
      </c>
      <c r="B1213" s="9" t="s">
        <v>1064</v>
      </c>
      <c r="C1213" s="10" t="s">
        <v>963</v>
      </c>
    </row>
    <row r="1214" spans="1:3">
      <c r="A1214" s="8" t="s">
        <v>624</v>
      </c>
      <c r="B1214" s="9" t="s">
        <v>625</v>
      </c>
      <c r="C1214" s="10" t="s">
        <v>626</v>
      </c>
    </row>
    <row r="1215" spans="1:3">
      <c r="A1215" s="8" t="s">
        <v>1769</v>
      </c>
      <c r="B1215" s="9" t="s">
        <v>1770</v>
      </c>
      <c r="C1215" s="10" t="s">
        <v>1771</v>
      </c>
    </row>
    <row r="1216" spans="1:3">
      <c r="A1216" s="8" t="s">
        <v>5738</v>
      </c>
      <c r="B1216" s="9" t="s">
        <v>5739</v>
      </c>
      <c r="C1216" s="10" t="s">
        <v>719</v>
      </c>
    </row>
    <row r="1217" spans="1:3">
      <c r="A1217" s="8" t="s">
        <v>1887</v>
      </c>
      <c r="B1217" s="9" t="s">
        <v>1888</v>
      </c>
      <c r="C1217" s="10" t="s">
        <v>719</v>
      </c>
    </row>
    <row r="1218" spans="1:3">
      <c r="A1218" s="8" t="s">
        <v>802</v>
      </c>
      <c r="B1218" s="9" t="s">
        <v>803</v>
      </c>
      <c r="C1218" s="10" t="s">
        <v>804</v>
      </c>
    </row>
    <row r="1219" spans="1:3">
      <c r="A1219" s="8" t="s">
        <v>5017</v>
      </c>
      <c r="B1219" s="9" t="s">
        <v>5018</v>
      </c>
      <c r="C1219" s="10" t="s">
        <v>5019</v>
      </c>
    </row>
    <row r="1220" spans="1:3">
      <c r="A1220" s="8" t="s">
        <v>5342</v>
      </c>
      <c r="B1220" s="9" t="s">
        <v>5343</v>
      </c>
      <c r="C1220" s="10" t="s">
        <v>5344</v>
      </c>
    </row>
    <row r="1221" spans="1:3">
      <c r="A1221" s="8" t="s">
        <v>5410</v>
      </c>
      <c r="B1221" s="9" t="s">
        <v>5409</v>
      </c>
      <c r="C1221" s="10" t="s">
        <v>719</v>
      </c>
    </row>
    <row r="1222" spans="1:3">
      <c r="A1222" s="8" t="s">
        <v>5754</v>
      </c>
      <c r="B1222" s="9" t="s">
        <v>5755</v>
      </c>
      <c r="C1222" s="10" t="s">
        <v>5756</v>
      </c>
    </row>
    <row r="1223" spans="1:3">
      <c r="A1223" s="8" t="s">
        <v>4579</v>
      </c>
      <c r="B1223" s="9" t="s">
        <v>4580</v>
      </c>
      <c r="C1223" s="10" t="s">
        <v>4581</v>
      </c>
    </row>
    <row r="1224" spans="1:3">
      <c r="A1224" s="8" t="s">
        <v>2965</v>
      </c>
      <c r="B1224" s="9" t="s">
        <v>2966</v>
      </c>
      <c r="C1224" s="10" t="s">
        <v>2967</v>
      </c>
    </row>
    <row r="1225" spans="1:3">
      <c r="A1225" s="8" t="s">
        <v>4582</v>
      </c>
      <c r="B1225" s="9" t="s">
        <v>4580</v>
      </c>
      <c r="C1225" s="10" t="s">
        <v>4581</v>
      </c>
    </row>
    <row r="1226" spans="1:3">
      <c r="A1226" s="8" t="s">
        <v>221</v>
      </c>
      <c r="B1226" s="9" t="s">
        <v>222</v>
      </c>
      <c r="C1226" s="10" t="s">
        <v>223</v>
      </c>
    </row>
    <row r="1227" spans="1:3">
      <c r="A1227" s="8" t="s">
        <v>2830</v>
      </c>
      <c r="B1227" s="9" t="s">
        <v>2831</v>
      </c>
      <c r="C1227" s="10" t="s">
        <v>2832</v>
      </c>
    </row>
    <row r="1228" spans="1:3">
      <c r="A1228" s="8" t="s">
        <v>2827</v>
      </c>
      <c r="B1228" s="9" t="s">
        <v>2828</v>
      </c>
      <c r="C1228" s="10" t="s">
        <v>2829</v>
      </c>
    </row>
    <row r="1229" spans="1:3">
      <c r="A1229" s="8" t="s">
        <v>5723</v>
      </c>
      <c r="B1229" s="9" t="s">
        <v>5724</v>
      </c>
      <c r="C1229" s="10" t="s">
        <v>5725</v>
      </c>
    </row>
    <row r="1230" spans="1:3">
      <c r="A1230" s="8" t="s">
        <v>5241</v>
      </c>
      <c r="B1230" s="9" t="s">
        <v>5242</v>
      </c>
      <c r="C1230" s="10" t="s">
        <v>719</v>
      </c>
    </row>
    <row r="1231" spans="1:3">
      <c r="A1231" s="8" t="s">
        <v>141</v>
      </c>
      <c r="B1231" s="9" t="s">
        <v>139</v>
      </c>
      <c r="C1231" s="10" t="s">
        <v>139</v>
      </c>
    </row>
    <row r="1232" spans="1:3">
      <c r="A1232" s="8" t="s">
        <v>5001</v>
      </c>
      <c r="B1232" s="9" t="s">
        <v>4997</v>
      </c>
      <c r="C1232" s="10" t="s">
        <v>719</v>
      </c>
    </row>
    <row r="1233" spans="1:3">
      <c r="A1233" s="8" t="s">
        <v>2858</v>
      </c>
      <c r="B1233" s="9" t="s">
        <v>2859</v>
      </c>
      <c r="C1233" s="10" t="s">
        <v>2860</v>
      </c>
    </row>
    <row r="1234" spans="1:3">
      <c r="A1234" s="8" t="s">
        <v>5743</v>
      </c>
      <c r="B1234" s="9" t="s">
        <v>5744</v>
      </c>
      <c r="C1234" s="10" t="s">
        <v>5745</v>
      </c>
    </row>
    <row r="1235" spans="1:3">
      <c r="A1235" s="8" t="s">
        <v>4000</v>
      </c>
      <c r="B1235" s="9" t="s">
        <v>4001</v>
      </c>
      <c r="C1235" s="10" t="s">
        <v>4002</v>
      </c>
    </row>
    <row r="1236" spans="1:3">
      <c r="A1236" s="8" t="s">
        <v>1376</v>
      </c>
      <c r="B1236" s="9" t="s">
        <v>1377</v>
      </c>
      <c r="C1236" s="10" t="s">
        <v>1378</v>
      </c>
    </row>
    <row r="1237" spans="1:3">
      <c r="A1237" s="8" t="s">
        <v>3659</v>
      </c>
      <c r="B1237" s="9" t="s">
        <v>3660</v>
      </c>
      <c r="C1237" s="10" t="s">
        <v>3661</v>
      </c>
    </row>
    <row r="1238" spans="1:3">
      <c r="A1238" s="8" t="s">
        <v>1358</v>
      </c>
      <c r="B1238" s="9" t="s">
        <v>1359</v>
      </c>
      <c r="C1238" s="10" t="s">
        <v>1360</v>
      </c>
    </row>
    <row r="1239" spans="1:3">
      <c r="A1239" s="8" t="s">
        <v>5719</v>
      </c>
      <c r="B1239" s="9" t="s">
        <v>5717</v>
      </c>
      <c r="C1239" s="10" t="s">
        <v>5718</v>
      </c>
    </row>
    <row r="1240" spans="1:3">
      <c r="A1240" s="8" t="s">
        <v>5502</v>
      </c>
      <c r="B1240" s="9" t="s">
        <v>5503</v>
      </c>
      <c r="C1240" s="10" t="s">
        <v>5501</v>
      </c>
    </row>
    <row r="1241" spans="1:3">
      <c r="A1241" s="8" t="s">
        <v>2385</v>
      </c>
      <c r="B1241" s="9" t="s">
        <v>2386</v>
      </c>
      <c r="C1241" s="10" t="s">
        <v>2387</v>
      </c>
    </row>
    <row r="1242" spans="1:3">
      <c r="A1242" s="8" t="s">
        <v>5720</v>
      </c>
      <c r="B1242" s="9" t="s">
        <v>5721</v>
      </c>
      <c r="C1242" s="10" t="s">
        <v>5722</v>
      </c>
    </row>
    <row r="1243" spans="1:3">
      <c r="A1243" s="8" t="s">
        <v>1694</v>
      </c>
      <c r="B1243" s="9" t="s">
        <v>1695</v>
      </c>
      <c r="C1243" s="10" t="s">
        <v>1696</v>
      </c>
    </row>
    <row r="1244" spans="1:3">
      <c r="A1244" s="8" t="s">
        <v>4348</v>
      </c>
      <c r="B1244" s="9" t="s">
        <v>4346</v>
      </c>
      <c r="C1244" s="10" t="s">
        <v>719</v>
      </c>
    </row>
    <row r="1245" spans="1:3">
      <c r="A1245" s="8" t="s">
        <v>513</v>
      </c>
      <c r="B1245" s="9" t="s">
        <v>514</v>
      </c>
      <c r="C1245" s="10" t="s">
        <v>515</v>
      </c>
    </row>
    <row r="1246" spans="1:3">
      <c r="A1246" s="8" t="s">
        <v>1593</v>
      </c>
      <c r="B1246" s="9" t="s">
        <v>1594</v>
      </c>
      <c r="C1246" s="10" t="s">
        <v>1595</v>
      </c>
    </row>
    <row r="1247" spans="1:3">
      <c r="A1247" s="8" t="s">
        <v>428</v>
      </c>
      <c r="B1247" s="9" t="s">
        <v>429</v>
      </c>
      <c r="C1247" s="10" t="s">
        <v>430</v>
      </c>
    </row>
    <row r="1248" spans="1:3">
      <c r="A1248" s="8" t="s">
        <v>425</v>
      </c>
      <c r="B1248" s="9" t="s">
        <v>426</v>
      </c>
      <c r="C1248" s="10" t="s">
        <v>427</v>
      </c>
    </row>
    <row r="1249" spans="1:3">
      <c r="A1249" s="8" t="s">
        <v>1443</v>
      </c>
      <c r="B1249" s="9" t="s">
        <v>1444</v>
      </c>
      <c r="C1249" s="10" t="s">
        <v>719</v>
      </c>
    </row>
    <row r="1250" spans="1:3">
      <c r="A1250" s="8" t="s">
        <v>1445</v>
      </c>
      <c r="B1250" s="9" t="s">
        <v>1446</v>
      </c>
      <c r="C1250" s="10" t="s">
        <v>719</v>
      </c>
    </row>
    <row r="1251" spans="1:3">
      <c r="A1251" s="8" t="s">
        <v>4065</v>
      </c>
      <c r="B1251" s="9" t="s">
        <v>4066</v>
      </c>
      <c r="C1251" s="10" t="s">
        <v>4067</v>
      </c>
    </row>
    <row r="1252" spans="1:3">
      <c r="A1252" s="8" t="s">
        <v>654</v>
      </c>
      <c r="B1252" s="9" t="s">
        <v>655</v>
      </c>
      <c r="C1252" s="10" t="s">
        <v>407</v>
      </c>
    </row>
    <row r="1253" spans="1:3">
      <c r="A1253" s="8" t="s">
        <v>485</v>
      </c>
      <c r="B1253" s="9" t="s">
        <v>486</v>
      </c>
      <c r="C1253" s="10" t="s">
        <v>719</v>
      </c>
    </row>
    <row r="1254" spans="1:3">
      <c r="A1254" s="8" t="s">
        <v>405</v>
      </c>
      <c r="B1254" s="9" t="s">
        <v>406</v>
      </c>
      <c r="C1254" s="10" t="s">
        <v>407</v>
      </c>
    </row>
    <row r="1255" spans="1:3">
      <c r="A1255" s="8" t="s">
        <v>559</v>
      </c>
      <c r="B1255" s="9" t="s">
        <v>560</v>
      </c>
      <c r="C1255" s="10" t="s">
        <v>719</v>
      </c>
    </row>
    <row r="1256" spans="1:3">
      <c r="A1256" s="8" t="s">
        <v>519</v>
      </c>
      <c r="B1256" s="9" t="s">
        <v>520</v>
      </c>
      <c r="C1256" s="10" t="s">
        <v>719</v>
      </c>
    </row>
    <row r="1257" spans="1:3">
      <c r="A1257" s="8" t="s">
        <v>521</v>
      </c>
      <c r="B1257" s="9" t="s">
        <v>522</v>
      </c>
      <c r="C1257" s="10" t="s">
        <v>719</v>
      </c>
    </row>
    <row r="1258" spans="1:3">
      <c r="A1258" s="8" t="s">
        <v>644</v>
      </c>
      <c r="B1258" s="9" t="s">
        <v>645</v>
      </c>
      <c r="C1258" s="10" t="s">
        <v>719</v>
      </c>
    </row>
    <row r="1259" spans="1:3">
      <c r="A1259" s="8" t="s">
        <v>646</v>
      </c>
      <c r="B1259" s="9" t="s">
        <v>647</v>
      </c>
      <c r="C1259" s="10" t="s">
        <v>719</v>
      </c>
    </row>
    <row r="1260" spans="1:3">
      <c r="A1260" s="8" t="s">
        <v>1728</v>
      </c>
      <c r="B1260" s="9" t="s">
        <v>1729</v>
      </c>
      <c r="C1260" s="10" t="s">
        <v>1730</v>
      </c>
    </row>
    <row r="1261" spans="1:3">
      <c r="A1261" s="8" t="s">
        <v>3954</v>
      </c>
      <c r="B1261" s="9" t="s">
        <v>3955</v>
      </c>
      <c r="C1261" s="10" t="s">
        <v>3956</v>
      </c>
    </row>
    <row r="1262" spans="1:3">
      <c r="A1262" s="8" t="s">
        <v>4415</v>
      </c>
      <c r="B1262" s="9" t="s">
        <v>4416</v>
      </c>
      <c r="C1262" s="10" t="s">
        <v>4417</v>
      </c>
    </row>
    <row r="1263" spans="1:3">
      <c r="A1263" s="8" t="s">
        <v>4743</v>
      </c>
      <c r="B1263" s="9" t="s">
        <v>4744</v>
      </c>
      <c r="C1263" s="10" t="s">
        <v>4745</v>
      </c>
    </row>
    <row r="1264" spans="1:3">
      <c r="A1264" s="8" t="s">
        <v>4783</v>
      </c>
      <c r="B1264" s="9" t="s">
        <v>4784</v>
      </c>
      <c r="C1264" s="10" t="s">
        <v>4785</v>
      </c>
    </row>
    <row r="1265" spans="1:3">
      <c r="A1265" s="8" t="s">
        <v>1458</v>
      </c>
      <c r="B1265" s="9" t="s">
        <v>1456</v>
      </c>
      <c r="C1265" s="10" t="s">
        <v>719</v>
      </c>
    </row>
    <row r="1266" spans="1:3">
      <c r="A1266" s="8" t="s">
        <v>1772</v>
      </c>
      <c r="B1266" s="9" t="s">
        <v>1770</v>
      </c>
      <c r="C1266" s="10" t="s">
        <v>1771</v>
      </c>
    </row>
    <row r="1267" spans="1:3">
      <c r="A1267" s="8" t="s">
        <v>3714</v>
      </c>
      <c r="B1267" s="9" t="s">
        <v>3715</v>
      </c>
      <c r="C1267" s="10" t="s">
        <v>3716</v>
      </c>
    </row>
    <row r="1268" spans="1:3">
      <c r="A1268" s="8" t="s">
        <v>937</v>
      </c>
      <c r="B1268" s="9" t="s">
        <v>938</v>
      </c>
      <c r="C1268" s="10" t="s">
        <v>939</v>
      </c>
    </row>
    <row r="1269" spans="1:3">
      <c r="A1269" s="8" t="s">
        <v>911</v>
      </c>
      <c r="B1269" s="9" t="s">
        <v>912</v>
      </c>
      <c r="C1269" s="10" t="s">
        <v>913</v>
      </c>
    </row>
    <row r="1270" spans="1:3">
      <c r="A1270" s="8" t="s">
        <v>1060</v>
      </c>
      <c r="B1270" s="9" t="s">
        <v>1061</v>
      </c>
      <c r="C1270" s="10" t="s">
        <v>1062</v>
      </c>
    </row>
    <row r="1271" spans="1:3">
      <c r="A1271" s="8" t="s">
        <v>952</v>
      </c>
      <c r="B1271" s="9" t="s">
        <v>953</v>
      </c>
      <c r="C1271" s="10" t="s">
        <v>954</v>
      </c>
    </row>
    <row r="1272" spans="1:3">
      <c r="A1272" s="8" t="s">
        <v>2145</v>
      </c>
      <c r="B1272" s="9" t="s">
        <v>2146</v>
      </c>
      <c r="C1272" s="10" t="s">
        <v>2147</v>
      </c>
    </row>
    <row r="1273" spans="1:3">
      <c r="A1273" s="8" t="s">
        <v>5746</v>
      </c>
      <c r="B1273" s="9" t="s">
        <v>5747</v>
      </c>
      <c r="C1273" s="10" t="s">
        <v>5747</v>
      </c>
    </row>
    <row r="1274" spans="1:3">
      <c r="A1274" s="8" t="s">
        <v>3791</v>
      </c>
      <c r="B1274" s="9" t="s">
        <v>3792</v>
      </c>
      <c r="C1274" s="10" t="s">
        <v>3793</v>
      </c>
    </row>
    <row r="1275" spans="1:3">
      <c r="A1275" s="8" t="s">
        <v>2030</v>
      </c>
      <c r="B1275" s="9" t="s">
        <v>2031</v>
      </c>
      <c r="C1275" s="10" t="s">
        <v>2032</v>
      </c>
    </row>
    <row r="1276" spans="1:3">
      <c r="A1276" s="8" t="s">
        <v>2036</v>
      </c>
      <c r="B1276" s="9" t="s">
        <v>2037</v>
      </c>
      <c r="C1276" s="10" t="s">
        <v>2038</v>
      </c>
    </row>
    <row r="1277" spans="1:3">
      <c r="A1277" s="8" t="s">
        <v>1955</v>
      </c>
      <c r="B1277" s="9" t="s">
        <v>1956</v>
      </c>
      <c r="C1277" s="10" t="s">
        <v>1957</v>
      </c>
    </row>
    <row r="1278" spans="1:3">
      <c r="A1278" s="8" t="s">
        <v>3809</v>
      </c>
      <c r="B1278" s="9" t="s">
        <v>3808</v>
      </c>
      <c r="C1278" s="10" t="s">
        <v>719</v>
      </c>
    </row>
    <row r="1279" spans="1:3">
      <c r="A1279" s="8" t="s">
        <v>5275</v>
      </c>
      <c r="B1279" s="9" t="s">
        <v>5276</v>
      </c>
      <c r="C1279" s="10" t="s">
        <v>5277</v>
      </c>
    </row>
    <row r="1280" spans="1:3">
      <c r="A1280" s="8" t="s">
        <v>3801</v>
      </c>
      <c r="B1280" s="9" t="s">
        <v>3802</v>
      </c>
      <c r="C1280" s="10" t="s">
        <v>3803</v>
      </c>
    </row>
    <row r="1281" spans="1:3">
      <c r="A1281" s="8" t="s">
        <v>3781</v>
      </c>
      <c r="B1281" s="9" t="s">
        <v>3782</v>
      </c>
      <c r="C1281" s="10" t="s">
        <v>3783</v>
      </c>
    </row>
    <row r="1282" spans="1:3">
      <c r="A1282" s="8" t="s">
        <v>3720</v>
      </c>
      <c r="B1282" s="9" t="s">
        <v>3721</v>
      </c>
      <c r="C1282" s="10" t="s">
        <v>3722</v>
      </c>
    </row>
    <row r="1283" spans="1:3">
      <c r="A1283" s="8" t="s">
        <v>2064</v>
      </c>
      <c r="B1283" s="9" t="s">
        <v>2065</v>
      </c>
      <c r="C1283" s="10" t="s">
        <v>2066</v>
      </c>
    </row>
    <row r="1284" spans="1:3">
      <c r="A1284" s="8" t="s">
        <v>2049</v>
      </c>
      <c r="B1284" s="9" t="s">
        <v>2050</v>
      </c>
      <c r="C1284" s="10" t="s">
        <v>2051</v>
      </c>
    </row>
    <row r="1285" spans="1:3">
      <c r="A1285" s="8" t="s">
        <v>2070</v>
      </c>
      <c r="B1285" s="9" t="s">
        <v>2068</v>
      </c>
      <c r="C1285" s="10" t="s">
        <v>2069</v>
      </c>
    </row>
    <row r="1286" spans="1:3">
      <c r="A1286" s="8" t="s">
        <v>2071</v>
      </c>
      <c r="B1286" s="9" t="s">
        <v>2072</v>
      </c>
      <c r="C1286" s="10" t="s">
        <v>2073</v>
      </c>
    </row>
    <row r="1287" spans="1:3">
      <c r="A1287" s="8" t="s">
        <v>2097</v>
      </c>
      <c r="B1287" s="9" t="s">
        <v>2098</v>
      </c>
      <c r="C1287" s="10" t="s">
        <v>2099</v>
      </c>
    </row>
    <row r="1288" spans="1:3">
      <c r="A1288" s="8" t="s">
        <v>2088</v>
      </c>
      <c r="B1288" s="9" t="s">
        <v>2089</v>
      </c>
      <c r="C1288" s="10" t="s">
        <v>2090</v>
      </c>
    </row>
    <row r="1289" spans="1:3">
      <c r="A1289" s="8" t="s">
        <v>4403</v>
      </c>
      <c r="B1289" s="9" t="s">
        <v>4404</v>
      </c>
      <c r="C1289" s="10" t="s">
        <v>719</v>
      </c>
    </row>
    <row r="1290" spans="1:3">
      <c r="A1290" s="8" t="s">
        <v>1329</v>
      </c>
      <c r="B1290" s="9" t="s">
        <v>1330</v>
      </c>
      <c r="C1290" s="10" t="s">
        <v>1331</v>
      </c>
    </row>
    <row r="1291" spans="1:3">
      <c r="A1291" s="8" t="s">
        <v>4933</v>
      </c>
      <c r="B1291" s="9" t="s">
        <v>4934</v>
      </c>
      <c r="C1291" s="10" t="s">
        <v>4935</v>
      </c>
    </row>
    <row r="1292" spans="1:3">
      <c r="A1292" s="8" t="s">
        <v>5748</v>
      </c>
      <c r="B1292" s="9" t="s">
        <v>5749</v>
      </c>
      <c r="C1292" s="10" t="s">
        <v>5750</v>
      </c>
    </row>
    <row r="1293" spans="1:3">
      <c r="A1293" s="8" t="s">
        <v>4926</v>
      </c>
      <c r="B1293" s="9" t="s">
        <v>4927</v>
      </c>
      <c r="C1293" s="10" t="s">
        <v>4928</v>
      </c>
    </row>
    <row r="1294" spans="1:3">
      <c r="A1294" s="8" t="s">
        <v>3167</v>
      </c>
      <c r="B1294" s="9" t="s">
        <v>3164</v>
      </c>
      <c r="C1294" s="10" t="s">
        <v>3165</v>
      </c>
    </row>
    <row r="1295" spans="1:3">
      <c r="A1295" s="8" t="s">
        <v>4311</v>
      </c>
      <c r="B1295" s="9" t="s">
        <v>4308</v>
      </c>
      <c r="C1295" s="10" t="s">
        <v>719</v>
      </c>
    </row>
    <row r="1296" spans="1:3">
      <c r="A1296" s="8" t="s">
        <v>738</v>
      </c>
      <c r="B1296" s="9" t="s">
        <v>739</v>
      </c>
      <c r="C1296" s="10" t="s">
        <v>740</v>
      </c>
    </row>
    <row r="1297" spans="1:3">
      <c r="A1297" s="8" t="s">
        <v>4568</v>
      </c>
      <c r="B1297" s="9" t="s">
        <v>4569</v>
      </c>
      <c r="C1297" s="10" t="s">
        <v>4570</v>
      </c>
    </row>
    <row r="1298" spans="1:3">
      <c r="A1298" s="8" t="s">
        <v>4405</v>
      </c>
      <c r="B1298" s="9" t="s">
        <v>4404</v>
      </c>
      <c r="C1298" s="10" t="s">
        <v>719</v>
      </c>
    </row>
    <row r="1299" spans="1:3">
      <c r="A1299" s="8" t="s">
        <v>4563</v>
      </c>
      <c r="B1299" s="9" t="s">
        <v>4564</v>
      </c>
      <c r="C1299" s="10" t="s">
        <v>4565</v>
      </c>
    </row>
    <row r="1300" spans="1:3">
      <c r="A1300" s="8" t="s">
        <v>5556</v>
      </c>
      <c r="B1300" s="9" t="s">
        <v>5557</v>
      </c>
      <c r="C1300" s="10" t="s">
        <v>5559</v>
      </c>
    </row>
    <row r="1301" spans="1:3">
      <c r="A1301" s="8" t="s">
        <v>5558</v>
      </c>
      <c r="B1301" s="9" t="s">
        <v>5557</v>
      </c>
      <c r="C1301" s="10" t="s">
        <v>5559</v>
      </c>
    </row>
    <row r="1302" spans="1:3">
      <c r="A1302" s="8" t="s">
        <v>5614</v>
      </c>
      <c r="B1302" s="9" t="s">
        <v>5615</v>
      </c>
      <c r="C1302" s="10" t="s">
        <v>5616</v>
      </c>
    </row>
    <row r="1303" spans="1:3">
      <c r="A1303" s="8" t="s">
        <v>4809</v>
      </c>
      <c r="B1303" s="9" t="s">
        <v>4807</v>
      </c>
      <c r="C1303" s="10" t="s">
        <v>4808</v>
      </c>
    </row>
    <row r="1304" spans="1:3">
      <c r="A1304" s="8" t="s">
        <v>5123</v>
      </c>
      <c r="B1304" s="9" t="s">
        <v>5124</v>
      </c>
      <c r="C1304" s="10" t="s">
        <v>5125</v>
      </c>
    </row>
    <row r="1305" spans="1:3">
      <c r="A1305" s="8" t="s">
        <v>3930</v>
      </c>
      <c r="B1305" s="9" t="s">
        <v>3931</v>
      </c>
      <c r="C1305" s="10" t="s">
        <v>3932</v>
      </c>
    </row>
    <row r="1306" spans="1:3">
      <c r="A1306" s="8" t="s">
        <v>2210</v>
      </c>
      <c r="B1306" s="9" t="s">
        <v>2211</v>
      </c>
      <c r="C1306" s="10" t="s">
        <v>2212</v>
      </c>
    </row>
    <row r="1307" spans="1:3">
      <c r="A1307" s="8" t="s">
        <v>2215</v>
      </c>
      <c r="B1307" s="9" t="s">
        <v>2216</v>
      </c>
      <c r="C1307" s="10" t="s">
        <v>2217</v>
      </c>
    </row>
    <row r="1308" spans="1:3">
      <c r="A1308" s="8" t="s">
        <v>3431</v>
      </c>
      <c r="B1308" s="9" t="s">
        <v>3432</v>
      </c>
      <c r="C1308" s="10" t="s">
        <v>3433</v>
      </c>
    </row>
    <row r="1309" spans="1:3">
      <c r="A1309" s="8" t="s">
        <v>2028</v>
      </c>
      <c r="B1309" s="9" t="s">
        <v>2029</v>
      </c>
      <c r="C1309" s="10" t="s">
        <v>5870</v>
      </c>
    </row>
    <row r="1310" spans="1:3">
      <c r="A1310" s="8" t="s">
        <v>3975</v>
      </c>
      <c r="B1310" s="9" t="s">
        <v>3976</v>
      </c>
      <c r="C1310" s="10" t="s">
        <v>3977</v>
      </c>
    </row>
    <row r="1311" spans="1:3">
      <c r="A1311" s="8" t="s">
        <v>474</v>
      </c>
      <c r="B1311" s="9" t="s">
        <v>475</v>
      </c>
      <c r="C1311" s="10" t="s">
        <v>476</v>
      </c>
    </row>
    <row r="1312" spans="1:3">
      <c r="A1312" s="8" t="s">
        <v>4945</v>
      </c>
      <c r="B1312" s="9" t="s">
        <v>4946</v>
      </c>
      <c r="C1312" s="10" t="s">
        <v>4947</v>
      </c>
    </row>
    <row r="1313" spans="1:3">
      <c r="A1313" s="8" t="s">
        <v>635</v>
      </c>
      <c r="B1313" s="9" t="s">
        <v>636</v>
      </c>
      <c r="C1313" s="10" t="s">
        <v>637</v>
      </c>
    </row>
    <row r="1314" spans="1:3">
      <c r="A1314" s="8" t="s">
        <v>5773</v>
      </c>
      <c r="B1314" s="9" t="s">
        <v>5774</v>
      </c>
      <c r="C1314" s="10" t="s">
        <v>719</v>
      </c>
    </row>
    <row r="1315" spans="1:3">
      <c r="A1315" s="8" t="s">
        <v>5775</v>
      </c>
      <c r="B1315" s="9" t="s">
        <v>5774</v>
      </c>
      <c r="C1315" s="10" t="s">
        <v>719</v>
      </c>
    </row>
    <row r="1316" spans="1:3">
      <c r="A1316" s="8" t="s">
        <v>5560</v>
      </c>
      <c r="B1316" s="9" t="s">
        <v>5557</v>
      </c>
      <c r="C1316" s="10" t="s">
        <v>5559</v>
      </c>
    </row>
    <row r="1317" spans="1:3">
      <c r="A1317" s="8" t="s">
        <v>1481</v>
      </c>
      <c r="B1317" s="9" t="s">
        <v>1482</v>
      </c>
      <c r="C1317" s="10" t="s">
        <v>719</v>
      </c>
    </row>
    <row r="1318" spans="1:3">
      <c r="A1318" s="8" t="s">
        <v>5673</v>
      </c>
      <c r="B1318" s="9" t="s">
        <v>5672</v>
      </c>
      <c r="C1318" s="10" t="s">
        <v>5654</v>
      </c>
    </row>
    <row r="1319" spans="1:3">
      <c r="A1319" s="8" t="s">
        <v>5649</v>
      </c>
      <c r="B1319" s="9" t="s">
        <v>5650</v>
      </c>
      <c r="C1319" s="10" t="s">
        <v>5650</v>
      </c>
    </row>
    <row r="1320" spans="1:3">
      <c r="A1320" s="8" t="s">
        <v>4120</v>
      </c>
      <c r="B1320" s="9" t="s">
        <v>4116</v>
      </c>
      <c r="C1320" s="10" t="s">
        <v>719</v>
      </c>
    </row>
    <row r="1321" spans="1:3">
      <c r="A1321" s="8" t="s">
        <v>74</v>
      </c>
      <c r="B1321" s="9" t="s">
        <v>72</v>
      </c>
      <c r="C1321" s="10" t="s">
        <v>73</v>
      </c>
    </row>
    <row r="1322" spans="1:3">
      <c r="A1322" s="8" t="s">
        <v>3468</v>
      </c>
      <c r="B1322" s="9" t="s">
        <v>3469</v>
      </c>
      <c r="C1322" s="10" t="s">
        <v>3470</v>
      </c>
    </row>
    <row r="1323" spans="1:3">
      <c r="A1323" s="8" t="s">
        <v>3683</v>
      </c>
      <c r="B1323" s="9" t="s">
        <v>3684</v>
      </c>
      <c r="C1323" s="10" t="s">
        <v>3685</v>
      </c>
    </row>
    <row r="1324" spans="1:3">
      <c r="A1324" s="8" t="s">
        <v>3680</v>
      </c>
      <c r="B1324" s="9" t="s">
        <v>3681</v>
      </c>
      <c r="C1324" s="10" t="s">
        <v>3682</v>
      </c>
    </row>
    <row r="1325" spans="1:3">
      <c r="A1325" s="8" t="s">
        <v>3761</v>
      </c>
      <c r="B1325" s="9" t="s">
        <v>3762</v>
      </c>
      <c r="C1325" s="10" t="s">
        <v>3763</v>
      </c>
    </row>
    <row r="1326" spans="1:3">
      <c r="A1326" s="8" t="s">
        <v>5655</v>
      </c>
      <c r="B1326" s="9" t="s">
        <v>5656</v>
      </c>
      <c r="C1326" s="10" t="s">
        <v>5657</v>
      </c>
    </row>
    <row r="1327" spans="1:3">
      <c r="A1327" s="8" t="s">
        <v>1103</v>
      </c>
      <c r="B1327" s="9" t="s">
        <v>1104</v>
      </c>
      <c r="C1327" s="10" t="s">
        <v>719</v>
      </c>
    </row>
    <row r="1328" spans="1:3">
      <c r="A1328" s="8" t="s">
        <v>1105</v>
      </c>
      <c r="B1328" s="9" t="s">
        <v>1104</v>
      </c>
      <c r="C1328" s="10" t="s">
        <v>719</v>
      </c>
    </row>
    <row r="1329" spans="1:3">
      <c r="A1329" s="8" t="s">
        <v>1107</v>
      </c>
      <c r="B1329" s="9" t="s">
        <v>1108</v>
      </c>
      <c r="C1329" s="10" t="s">
        <v>719</v>
      </c>
    </row>
    <row r="1330" spans="1:3">
      <c r="A1330" s="8" t="s">
        <v>3678</v>
      </c>
      <c r="B1330" s="9" t="s">
        <v>3679</v>
      </c>
      <c r="C1330" s="10" t="s">
        <v>719</v>
      </c>
    </row>
    <row r="1331" spans="1:3">
      <c r="A1331" s="8" t="s">
        <v>3770</v>
      </c>
      <c r="B1331" s="9" t="s">
        <v>3771</v>
      </c>
      <c r="C1331" s="10" t="s">
        <v>3772</v>
      </c>
    </row>
    <row r="1332" spans="1:3">
      <c r="A1332" s="8" t="s">
        <v>3703</v>
      </c>
      <c r="B1332" s="9" t="s">
        <v>3704</v>
      </c>
      <c r="C1332" s="10" t="s">
        <v>3705</v>
      </c>
    </row>
    <row r="1333" spans="1:3">
      <c r="A1333" s="8" t="s">
        <v>4025</v>
      </c>
      <c r="B1333" s="9" t="s">
        <v>4026</v>
      </c>
      <c r="C1333" s="10" t="s">
        <v>4027</v>
      </c>
    </row>
    <row r="1334" spans="1:3">
      <c r="A1334" s="8" t="s">
        <v>4524</v>
      </c>
      <c r="B1334" s="9" t="s">
        <v>4525</v>
      </c>
      <c r="C1334" s="10" t="s">
        <v>4526</v>
      </c>
    </row>
    <row r="1335" spans="1:3">
      <c r="A1335" s="8" t="s">
        <v>5651</v>
      </c>
      <c r="B1335" s="9" t="s">
        <v>5650</v>
      </c>
      <c r="C1335" s="10" t="s">
        <v>5650</v>
      </c>
    </row>
    <row r="1336" spans="1:3">
      <c r="A1336" s="8" t="s">
        <v>5646</v>
      </c>
      <c r="B1336" s="9" t="s">
        <v>5647</v>
      </c>
      <c r="C1336" s="10" t="s">
        <v>5648</v>
      </c>
    </row>
    <row r="1337" spans="1:3">
      <c r="A1337" s="8" t="s">
        <v>3358</v>
      </c>
      <c r="B1337" s="9" t="s">
        <v>3359</v>
      </c>
      <c r="C1337" s="10" t="s">
        <v>719</v>
      </c>
    </row>
    <row r="1338" spans="1:3">
      <c r="A1338" s="8" t="s">
        <v>3360</v>
      </c>
      <c r="B1338" s="9" t="s">
        <v>3359</v>
      </c>
      <c r="C1338" s="10" t="s">
        <v>719</v>
      </c>
    </row>
    <row r="1339" spans="1:3">
      <c r="A1339" s="8" t="s">
        <v>3319</v>
      </c>
      <c r="B1339" s="9" t="s">
        <v>3320</v>
      </c>
      <c r="C1339" s="10" t="s">
        <v>3321</v>
      </c>
    </row>
    <row r="1340" spans="1:3">
      <c r="A1340" s="8" t="s">
        <v>3310</v>
      </c>
      <c r="B1340" s="9" t="s">
        <v>3311</v>
      </c>
      <c r="C1340" s="10" t="s">
        <v>3312</v>
      </c>
    </row>
    <row r="1341" spans="1:3">
      <c r="A1341" s="8" t="s">
        <v>3304</v>
      </c>
      <c r="B1341" s="9" t="s">
        <v>3305</v>
      </c>
      <c r="C1341" s="10" t="s">
        <v>3306</v>
      </c>
    </row>
    <row r="1342" spans="1:3">
      <c r="A1342" s="8" t="s">
        <v>3366</v>
      </c>
      <c r="B1342" s="9" t="s">
        <v>3367</v>
      </c>
      <c r="C1342" s="10" t="s">
        <v>3368</v>
      </c>
    </row>
    <row r="1343" spans="1:3">
      <c r="A1343" s="8" t="s">
        <v>3313</v>
      </c>
      <c r="B1343" s="9" t="s">
        <v>3314</v>
      </c>
      <c r="C1343" s="10" t="s">
        <v>3315</v>
      </c>
    </row>
    <row r="1344" spans="1:3">
      <c r="A1344" s="8" t="s">
        <v>3182</v>
      </c>
      <c r="B1344" s="9" t="s">
        <v>3183</v>
      </c>
      <c r="C1344" s="10" t="s">
        <v>3184</v>
      </c>
    </row>
    <row r="1345" spans="1:3">
      <c r="A1345" s="8" t="s">
        <v>3194</v>
      </c>
      <c r="B1345" s="9" t="s">
        <v>3195</v>
      </c>
      <c r="C1345" s="10" t="s">
        <v>5871</v>
      </c>
    </row>
    <row r="1346" spans="1:3">
      <c r="A1346" s="8" t="s">
        <v>3173</v>
      </c>
      <c r="B1346" s="9" t="s">
        <v>3174</v>
      </c>
      <c r="C1346" s="10" t="s">
        <v>3175</v>
      </c>
    </row>
    <row r="1347" spans="1:3">
      <c r="A1347" s="8" t="s">
        <v>3191</v>
      </c>
      <c r="B1347" s="9" t="s">
        <v>3192</v>
      </c>
      <c r="C1347" s="10" t="s">
        <v>3193</v>
      </c>
    </row>
    <row r="1348" spans="1:3">
      <c r="A1348" s="8" t="s">
        <v>5767</v>
      </c>
      <c r="B1348" s="9" t="s">
        <v>5768</v>
      </c>
      <c r="C1348" s="10" t="s">
        <v>5769</v>
      </c>
    </row>
    <row r="1349" spans="1:3">
      <c r="A1349" s="8" t="s">
        <v>3418</v>
      </c>
      <c r="B1349" s="9" t="s">
        <v>3419</v>
      </c>
      <c r="C1349" s="10" t="s">
        <v>719</v>
      </c>
    </row>
    <row r="1350" spans="1:3">
      <c r="A1350" s="8" t="s">
        <v>5619</v>
      </c>
      <c r="B1350" s="9" t="s">
        <v>5620</v>
      </c>
      <c r="C1350" s="10" t="s">
        <v>5620</v>
      </c>
    </row>
    <row r="1351" spans="1:3">
      <c r="A1351" s="8" t="s">
        <v>3205</v>
      </c>
      <c r="B1351" s="9" t="s">
        <v>3206</v>
      </c>
      <c r="C1351" s="10" t="s">
        <v>3207</v>
      </c>
    </row>
    <row r="1352" spans="1:3">
      <c r="A1352" s="8" t="s">
        <v>711</v>
      </c>
      <c r="B1352" s="9" t="s">
        <v>712</v>
      </c>
      <c r="C1352" s="10" t="s">
        <v>713</v>
      </c>
    </row>
    <row r="1353" spans="1:3">
      <c r="A1353" s="8" t="s">
        <v>3069</v>
      </c>
      <c r="B1353" s="9" t="s">
        <v>3070</v>
      </c>
      <c r="C1353" s="10" t="s">
        <v>3071</v>
      </c>
    </row>
    <row r="1354" spans="1:3">
      <c r="A1354" s="8" t="s">
        <v>5392</v>
      </c>
      <c r="B1354" s="9" t="s">
        <v>5390</v>
      </c>
      <c r="C1354" s="10" t="s">
        <v>719</v>
      </c>
    </row>
    <row r="1355" spans="1:3">
      <c r="A1355" s="8" t="s">
        <v>2123</v>
      </c>
      <c r="B1355" s="9" t="s">
        <v>2124</v>
      </c>
      <c r="C1355" s="10" t="s">
        <v>2125</v>
      </c>
    </row>
    <row r="1356" spans="1:3">
      <c r="A1356" s="8" t="s">
        <v>2126</v>
      </c>
      <c r="B1356" s="9" t="s">
        <v>2127</v>
      </c>
      <c r="C1356" s="10" t="s">
        <v>2128</v>
      </c>
    </row>
    <row r="1357" spans="1:3">
      <c r="A1357" s="8" t="s">
        <v>4495</v>
      </c>
      <c r="B1357" s="9" t="s">
        <v>4496</v>
      </c>
      <c r="C1357" s="10" t="s">
        <v>1990</v>
      </c>
    </row>
    <row r="1358" spans="1:3">
      <c r="A1358" s="8" t="s">
        <v>3422</v>
      </c>
      <c r="B1358" s="9" t="s">
        <v>3423</v>
      </c>
      <c r="C1358" s="10" t="s">
        <v>3424</v>
      </c>
    </row>
    <row r="1359" spans="1:3">
      <c r="A1359" s="8" t="s">
        <v>3032</v>
      </c>
      <c r="B1359" s="9" t="s">
        <v>3033</v>
      </c>
      <c r="C1359" s="10" t="s">
        <v>3034</v>
      </c>
    </row>
    <row r="1360" spans="1:3">
      <c r="A1360" s="8" t="s">
        <v>4190</v>
      </c>
      <c r="B1360" s="9" t="s">
        <v>4191</v>
      </c>
      <c r="C1360" s="10" t="s">
        <v>4192</v>
      </c>
    </row>
    <row r="1361" spans="1:3">
      <c r="A1361" s="8" t="s">
        <v>1580</v>
      </c>
      <c r="B1361" s="9" t="s">
        <v>1581</v>
      </c>
      <c r="C1361" s="10" t="s">
        <v>1582</v>
      </c>
    </row>
    <row r="1362" spans="1:3">
      <c r="A1362" s="8" t="s">
        <v>5751</v>
      </c>
      <c r="B1362" s="9" t="s">
        <v>5752</v>
      </c>
      <c r="C1362" s="10" t="s">
        <v>5753</v>
      </c>
    </row>
    <row r="1363" spans="1:3">
      <c r="A1363" s="8" t="s">
        <v>5569</v>
      </c>
      <c r="B1363" s="9" t="s">
        <v>5570</v>
      </c>
      <c r="C1363" s="10" t="s">
        <v>5571</v>
      </c>
    </row>
    <row r="1364" spans="1:3">
      <c r="A1364" s="8" t="s">
        <v>2354</v>
      </c>
      <c r="B1364" s="9" t="s">
        <v>2355</v>
      </c>
      <c r="C1364" s="10" t="s">
        <v>2356</v>
      </c>
    </row>
    <row r="1365" spans="1:3">
      <c r="A1365" s="8" t="s">
        <v>2345</v>
      </c>
      <c r="B1365" s="9" t="s">
        <v>2346</v>
      </c>
      <c r="C1365" s="10" t="s">
        <v>2347</v>
      </c>
    </row>
    <row r="1366" spans="1:3">
      <c r="A1366" s="8" t="s">
        <v>2487</v>
      </c>
      <c r="B1366" s="9" t="s">
        <v>2488</v>
      </c>
      <c r="C1366" s="10" t="s">
        <v>2489</v>
      </c>
    </row>
    <row r="1367" spans="1:3">
      <c r="A1367" s="8" t="s">
        <v>1910</v>
      </c>
      <c r="B1367" s="9" t="s">
        <v>1911</v>
      </c>
      <c r="C1367" s="10" t="s">
        <v>1912</v>
      </c>
    </row>
    <row r="1368" spans="1:3">
      <c r="A1368" s="8" t="s">
        <v>348</v>
      </c>
      <c r="B1368" s="9" t="s">
        <v>349</v>
      </c>
      <c r="C1368" s="10" t="s">
        <v>350</v>
      </c>
    </row>
    <row r="1369" spans="1:3">
      <c r="A1369" s="8" t="s">
        <v>4977</v>
      </c>
      <c r="B1369" s="9" t="s">
        <v>4978</v>
      </c>
      <c r="C1369" s="10" t="s">
        <v>4979</v>
      </c>
    </row>
    <row r="1370" spans="1:3">
      <c r="A1370" s="8" t="s">
        <v>5479</v>
      </c>
      <c r="B1370" s="9" t="s">
        <v>5480</v>
      </c>
      <c r="C1370" s="10" t="s">
        <v>719</v>
      </c>
    </row>
    <row r="1371" spans="1:3">
      <c r="A1371" s="8" t="s">
        <v>4715</v>
      </c>
      <c r="B1371" s="9" t="s">
        <v>4716</v>
      </c>
      <c r="C1371" s="10" t="s">
        <v>4717</v>
      </c>
    </row>
    <row r="1372" spans="1:3">
      <c r="A1372" s="8" t="s">
        <v>5577</v>
      </c>
      <c r="B1372" s="9" t="s">
        <v>5575</v>
      </c>
      <c r="C1372" s="10" t="s">
        <v>719</v>
      </c>
    </row>
    <row r="1373" spans="1:3">
      <c r="A1373" s="8" t="s">
        <v>4312</v>
      </c>
      <c r="B1373" s="9" t="s">
        <v>4308</v>
      </c>
      <c r="C1373" s="10" t="s">
        <v>719</v>
      </c>
    </row>
    <row r="1374" spans="1:3">
      <c r="A1374" s="8" t="s">
        <v>570</v>
      </c>
      <c r="B1374" s="9" t="s">
        <v>571</v>
      </c>
      <c r="C1374" s="10" t="s">
        <v>719</v>
      </c>
    </row>
    <row r="1375" spans="1:3">
      <c r="A1375" s="8" t="s">
        <v>564</v>
      </c>
      <c r="B1375" s="9" t="s">
        <v>565</v>
      </c>
      <c r="C1375" s="10" t="s">
        <v>566</v>
      </c>
    </row>
    <row r="1376" spans="1:3">
      <c r="A1376" s="8" t="s">
        <v>5334</v>
      </c>
      <c r="B1376" s="9" t="s">
        <v>5335</v>
      </c>
      <c r="C1376" s="10" t="s">
        <v>5336</v>
      </c>
    </row>
    <row r="1377" spans="1:3">
      <c r="A1377" s="8" t="s">
        <v>5350</v>
      </c>
      <c r="B1377" s="9" t="s">
        <v>5351</v>
      </c>
      <c r="C1377" s="10" t="s">
        <v>5352</v>
      </c>
    </row>
    <row r="1378" spans="1:3">
      <c r="A1378" s="8" t="s">
        <v>5345</v>
      </c>
      <c r="B1378" s="9" t="s">
        <v>5343</v>
      </c>
      <c r="C1378" s="10" t="s">
        <v>5344</v>
      </c>
    </row>
    <row r="1379" spans="1:3">
      <c r="A1379" s="8" t="s">
        <v>4609</v>
      </c>
      <c r="B1379" s="9" t="s">
        <v>4610</v>
      </c>
      <c r="C1379" s="10" t="s">
        <v>4611</v>
      </c>
    </row>
    <row r="1380" spans="1:3">
      <c r="A1380" s="8" t="s">
        <v>227</v>
      </c>
      <c r="B1380" s="9" t="s">
        <v>225</v>
      </c>
      <c r="C1380" s="10" t="s">
        <v>226</v>
      </c>
    </row>
    <row r="1381" spans="1:3">
      <c r="A1381" s="8" t="s">
        <v>212</v>
      </c>
      <c r="B1381" s="9" t="s">
        <v>213</v>
      </c>
      <c r="C1381" s="10" t="s">
        <v>214</v>
      </c>
    </row>
    <row r="1382" spans="1:3">
      <c r="A1382" s="8" t="s">
        <v>239</v>
      </c>
      <c r="B1382" s="9" t="s">
        <v>240</v>
      </c>
      <c r="C1382" s="10" t="s">
        <v>241</v>
      </c>
    </row>
    <row r="1383" spans="1:3">
      <c r="A1383" s="8" t="s">
        <v>4397</v>
      </c>
      <c r="B1383" s="9" t="s">
        <v>4398</v>
      </c>
      <c r="C1383" s="10" t="s">
        <v>4399</v>
      </c>
    </row>
    <row r="1384" spans="1:3">
      <c r="A1384" s="8" t="s">
        <v>5328</v>
      </c>
      <c r="B1384" s="9" t="s">
        <v>5329</v>
      </c>
      <c r="C1384" s="10" t="s">
        <v>5330</v>
      </c>
    </row>
    <row r="1385" spans="1:3">
      <c r="A1385" s="8" t="s">
        <v>3737</v>
      </c>
      <c r="B1385" s="9" t="s">
        <v>3738</v>
      </c>
      <c r="C1385" s="10" t="s">
        <v>3739</v>
      </c>
    </row>
    <row r="1386" spans="1:3">
      <c r="A1386" s="8" t="s">
        <v>4571</v>
      </c>
      <c r="B1386" s="9" t="s">
        <v>4569</v>
      </c>
      <c r="C1386" s="10" t="s">
        <v>4570</v>
      </c>
    </row>
    <row r="1387" spans="1:3">
      <c r="A1387" s="8" t="s">
        <v>4566</v>
      </c>
      <c r="B1387" s="9" t="s">
        <v>4564</v>
      </c>
      <c r="C1387" s="10" t="s">
        <v>4565</v>
      </c>
    </row>
    <row r="1388" spans="1:3">
      <c r="A1388" s="8" t="s">
        <v>919</v>
      </c>
      <c r="B1388" s="9" t="s">
        <v>920</v>
      </c>
      <c r="C1388" s="10" t="s">
        <v>921</v>
      </c>
    </row>
    <row r="1389" spans="1:3">
      <c r="A1389" s="8" t="s">
        <v>4560</v>
      </c>
      <c r="B1389" s="9" t="s">
        <v>4561</v>
      </c>
      <c r="C1389" s="10" t="s">
        <v>4562</v>
      </c>
    </row>
    <row r="1390" spans="1:3">
      <c r="A1390" s="8" t="s">
        <v>925</v>
      </c>
      <c r="B1390" s="9" t="s">
        <v>926</v>
      </c>
      <c r="C1390" s="10" t="s">
        <v>927</v>
      </c>
    </row>
    <row r="1391" spans="1:3">
      <c r="A1391" s="8" t="s">
        <v>759</v>
      </c>
      <c r="B1391" s="9" t="s">
        <v>760</v>
      </c>
      <c r="C1391" s="10" t="s">
        <v>761</v>
      </c>
    </row>
    <row r="1392" spans="1:3">
      <c r="A1392" s="8" t="s">
        <v>3179</v>
      </c>
      <c r="B1392" s="9" t="s">
        <v>3180</v>
      </c>
      <c r="C1392" s="10" t="s">
        <v>3181</v>
      </c>
    </row>
    <row r="1393" spans="1:3">
      <c r="A1393" s="8" t="s">
        <v>1540</v>
      </c>
      <c r="B1393" s="9" t="s">
        <v>1541</v>
      </c>
      <c r="C1393" s="10" t="s">
        <v>1542</v>
      </c>
    </row>
    <row r="1394" spans="1:3">
      <c r="A1394" s="8" t="s">
        <v>1325</v>
      </c>
      <c r="B1394" s="9" t="s">
        <v>1326</v>
      </c>
      <c r="C1394" s="10" t="s">
        <v>1327</v>
      </c>
    </row>
    <row r="1395" spans="1:3">
      <c r="A1395" s="8" t="s">
        <v>1499</v>
      </c>
      <c r="B1395" s="9" t="s">
        <v>1500</v>
      </c>
      <c r="C1395" s="10" t="s">
        <v>1501</v>
      </c>
    </row>
    <row r="1396" spans="1:3">
      <c r="A1396" s="8" t="s">
        <v>2555</v>
      </c>
      <c r="B1396" s="9" t="s">
        <v>2556</v>
      </c>
      <c r="C1396" s="10" t="s">
        <v>2557</v>
      </c>
    </row>
    <row r="1397" spans="1:3">
      <c r="A1397" s="8" t="s">
        <v>2552</v>
      </c>
      <c r="B1397" s="9" t="s">
        <v>2553</v>
      </c>
      <c r="C1397" s="10" t="s">
        <v>2554</v>
      </c>
    </row>
    <row r="1398" spans="1:3">
      <c r="A1398" s="8" t="s">
        <v>2549</v>
      </c>
      <c r="B1398" s="9" t="s">
        <v>2550</v>
      </c>
      <c r="C1398" s="10" t="s">
        <v>2551</v>
      </c>
    </row>
    <row r="1399" spans="1:3">
      <c r="A1399" s="8" t="s">
        <v>5631</v>
      </c>
      <c r="B1399" s="9" t="s">
        <v>5632</v>
      </c>
      <c r="C1399" s="10" t="s">
        <v>5633</v>
      </c>
    </row>
    <row r="1400" spans="1:3">
      <c r="A1400" s="8" t="s">
        <v>3372</v>
      </c>
      <c r="B1400" s="9" t="s">
        <v>3373</v>
      </c>
      <c r="C1400" s="10" t="s">
        <v>3374</v>
      </c>
    </row>
    <row r="1401" spans="1:3">
      <c r="A1401" s="8" t="s">
        <v>2436</v>
      </c>
      <c r="B1401" s="9" t="s">
        <v>2437</v>
      </c>
      <c r="C1401" s="10" t="s">
        <v>2387</v>
      </c>
    </row>
    <row r="1402" spans="1:3">
      <c r="A1402" s="8" t="s">
        <v>3444</v>
      </c>
      <c r="B1402" s="9" t="s">
        <v>3442</v>
      </c>
      <c r="C1402" s="10" t="s">
        <v>719</v>
      </c>
    </row>
    <row r="1403" spans="1:3">
      <c r="A1403" s="8" t="s">
        <v>1537</v>
      </c>
      <c r="B1403" s="9" t="s">
        <v>1538</v>
      </c>
      <c r="C1403" s="10" t="s">
        <v>1539</v>
      </c>
    </row>
    <row r="1404" spans="1:3">
      <c r="A1404" s="8" t="s">
        <v>874</v>
      </c>
      <c r="B1404" s="9" t="s">
        <v>875</v>
      </c>
      <c r="C1404" s="10" t="s">
        <v>876</v>
      </c>
    </row>
    <row r="1405" spans="1:3">
      <c r="A1405" s="8" t="s">
        <v>3813</v>
      </c>
      <c r="B1405" s="9" t="s">
        <v>3814</v>
      </c>
      <c r="C1405" s="10" t="s">
        <v>3815</v>
      </c>
    </row>
    <row r="1406" spans="1:3">
      <c r="A1406" s="8" t="s">
        <v>2103</v>
      </c>
      <c r="B1406" s="9" t="s">
        <v>2104</v>
      </c>
      <c r="C1406" s="10" t="s">
        <v>719</v>
      </c>
    </row>
    <row r="1407" spans="1:3">
      <c r="A1407" s="8" t="s">
        <v>2669</v>
      </c>
      <c r="B1407" s="9" t="s">
        <v>2670</v>
      </c>
      <c r="C1407" s="10" t="s">
        <v>2671</v>
      </c>
    </row>
    <row r="1408" spans="1:3">
      <c r="A1408" s="8" t="s">
        <v>2654</v>
      </c>
      <c r="B1408" s="9" t="s">
        <v>2655</v>
      </c>
      <c r="C1408" s="10" t="s">
        <v>2656</v>
      </c>
    </row>
    <row r="1409" spans="1:3">
      <c r="A1409" s="8" t="s">
        <v>3005</v>
      </c>
      <c r="B1409" s="9" t="s">
        <v>3006</v>
      </c>
      <c r="C1409" s="10" t="s">
        <v>3007</v>
      </c>
    </row>
    <row r="1410" spans="1:3">
      <c r="A1410" s="8" t="s">
        <v>5561</v>
      </c>
      <c r="B1410" s="9" t="s">
        <v>5557</v>
      </c>
      <c r="C1410" s="10" t="s">
        <v>5559</v>
      </c>
    </row>
    <row r="1411" spans="1:3">
      <c r="A1411" s="8" t="s">
        <v>714</v>
      </c>
      <c r="B1411" s="9" t="s">
        <v>712</v>
      </c>
      <c r="C1411" s="10" t="s">
        <v>713</v>
      </c>
    </row>
    <row r="1412" spans="1:3">
      <c r="A1412" s="8" t="s">
        <v>5568</v>
      </c>
      <c r="B1412" s="9" t="s">
        <v>5566</v>
      </c>
      <c r="C1412" s="10" t="s">
        <v>5567</v>
      </c>
    </row>
    <row r="1413" spans="1:3">
      <c r="A1413" s="8" t="s">
        <v>1198</v>
      </c>
      <c r="B1413" s="9" t="s">
        <v>1199</v>
      </c>
      <c r="C1413" s="10" t="s">
        <v>719</v>
      </c>
    </row>
    <row r="1414" spans="1:3">
      <c r="A1414" s="8" t="s">
        <v>1193</v>
      </c>
      <c r="B1414" s="9" t="s">
        <v>1194</v>
      </c>
      <c r="C1414" s="10" t="s">
        <v>719</v>
      </c>
    </row>
    <row r="1415" spans="1:3">
      <c r="A1415" s="8" t="s">
        <v>1054</v>
      </c>
      <c r="B1415" s="9" t="s">
        <v>1055</v>
      </c>
      <c r="C1415" s="10" t="s">
        <v>1056</v>
      </c>
    </row>
    <row r="1416" spans="1:3">
      <c r="A1416" s="8" t="s">
        <v>4313</v>
      </c>
      <c r="B1416" s="9" t="s">
        <v>4308</v>
      </c>
      <c r="C1416" s="10" t="s">
        <v>719</v>
      </c>
    </row>
    <row r="1417" spans="1:3">
      <c r="A1417" s="8" t="s">
        <v>3692</v>
      </c>
      <c r="B1417" s="9" t="s">
        <v>3693</v>
      </c>
      <c r="C1417" s="10" t="s">
        <v>3694</v>
      </c>
    </row>
    <row r="1418" spans="1:3">
      <c r="A1418" s="8" t="s">
        <v>2138</v>
      </c>
      <c r="B1418" s="9" t="s">
        <v>2139</v>
      </c>
      <c r="C1418" s="10" t="s">
        <v>2140</v>
      </c>
    </row>
    <row r="1419" spans="1:3">
      <c r="A1419" s="8" t="s">
        <v>3924</v>
      </c>
      <c r="B1419" s="9" t="s">
        <v>3925</v>
      </c>
      <c r="C1419" s="10" t="s">
        <v>3926</v>
      </c>
    </row>
    <row r="1420" spans="1:3">
      <c r="A1420" s="8" t="s">
        <v>4135</v>
      </c>
      <c r="B1420" s="9" t="s">
        <v>4132</v>
      </c>
      <c r="C1420" s="10" t="s">
        <v>719</v>
      </c>
    </row>
    <row r="1421" spans="1:3">
      <c r="A1421" s="8" t="s">
        <v>4136</v>
      </c>
      <c r="B1421" s="9" t="s">
        <v>4137</v>
      </c>
      <c r="C1421" s="10" t="s">
        <v>4138</v>
      </c>
    </row>
    <row r="1422" spans="1:3">
      <c r="A1422" s="8" t="s">
        <v>4159</v>
      </c>
      <c r="B1422" s="9" t="s">
        <v>4157</v>
      </c>
      <c r="C1422" s="10" t="s">
        <v>4158</v>
      </c>
    </row>
    <row r="1423" spans="1:3">
      <c r="A1423" s="8" t="s">
        <v>2569</v>
      </c>
      <c r="B1423" s="9" t="s">
        <v>2570</v>
      </c>
      <c r="C1423" s="10" t="s">
        <v>2571</v>
      </c>
    </row>
    <row r="1424" spans="1:3">
      <c r="A1424" s="8" t="s">
        <v>2622</v>
      </c>
      <c r="B1424" s="9" t="s">
        <v>2623</v>
      </c>
      <c r="C1424" s="10" t="s">
        <v>719</v>
      </c>
    </row>
    <row r="1425" spans="1:3">
      <c r="A1425" s="8" t="s">
        <v>2586</v>
      </c>
      <c r="B1425" s="9" t="s">
        <v>2587</v>
      </c>
      <c r="C1425" s="10" t="s">
        <v>719</v>
      </c>
    </row>
    <row r="1426" spans="1:3">
      <c r="A1426" s="8" t="s">
        <v>2619</v>
      </c>
      <c r="B1426" s="9" t="s">
        <v>2617</v>
      </c>
      <c r="C1426" s="10" t="s">
        <v>2618</v>
      </c>
    </row>
    <row r="1427" spans="1:3">
      <c r="A1427" s="8" t="s">
        <v>462</v>
      </c>
      <c r="B1427" s="9" t="s">
        <v>463</v>
      </c>
      <c r="C1427" s="10" t="s">
        <v>464</v>
      </c>
    </row>
    <row r="1428" spans="1:3">
      <c r="A1428" s="8" t="s">
        <v>469</v>
      </c>
      <c r="B1428" s="9" t="s">
        <v>470</v>
      </c>
      <c r="C1428" s="10" t="s">
        <v>471</v>
      </c>
    </row>
    <row r="1429" spans="1:3">
      <c r="A1429" s="8" t="s">
        <v>4746</v>
      </c>
      <c r="B1429" s="9" t="s">
        <v>4744</v>
      </c>
      <c r="C1429" s="10" t="s">
        <v>4745</v>
      </c>
    </row>
    <row r="1430" spans="1:3">
      <c r="A1430" s="8" t="s">
        <v>5402</v>
      </c>
      <c r="B1430" s="9" t="s">
        <v>5403</v>
      </c>
      <c r="C1430" s="10" t="s">
        <v>5404</v>
      </c>
    </row>
    <row r="1431" spans="1:3">
      <c r="A1431" s="8" t="s">
        <v>5384</v>
      </c>
      <c r="B1431" s="9" t="s">
        <v>5382</v>
      </c>
      <c r="C1431" s="10" t="s">
        <v>719</v>
      </c>
    </row>
    <row r="1432" spans="1:3">
      <c r="A1432" s="8" t="s">
        <v>1423</v>
      </c>
      <c r="B1432" s="9" t="s">
        <v>1424</v>
      </c>
      <c r="C1432" s="10" t="s">
        <v>1425</v>
      </c>
    </row>
    <row r="1433" spans="1:3">
      <c r="A1433" s="8" t="s">
        <v>5488</v>
      </c>
      <c r="B1433" s="9" t="s">
        <v>5489</v>
      </c>
      <c r="C1433" s="10" t="s">
        <v>5490</v>
      </c>
    </row>
    <row r="1434" spans="1:3">
      <c r="A1434" s="8" t="s">
        <v>2543</v>
      </c>
      <c r="B1434" s="9" t="s">
        <v>2544</v>
      </c>
      <c r="C1434" s="10" t="s">
        <v>2545</v>
      </c>
    </row>
    <row r="1435" spans="1:3">
      <c r="A1435" s="8" t="s">
        <v>3927</v>
      </c>
      <c r="B1435" s="9" t="s">
        <v>3928</v>
      </c>
      <c r="C1435" s="10" t="s">
        <v>3929</v>
      </c>
    </row>
    <row r="1436" spans="1:3">
      <c r="A1436" s="8" t="s">
        <v>129</v>
      </c>
      <c r="B1436" s="9" t="s">
        <v>130</v>
      </c>
      <c r="C1436" s="10" t="s">
        <v>131</v>
      </c>
    </row>
    <row r="1437" spans="1:3">
      <c r="A1437" s="8" t="s">
        <v>3936</v>
      </c>
      <c r="B1437" s="9" t="s">
        <v>3937</v>
      </c>
      <c r="C1437" s="10" t="s">
        <v>3938</v>
      </c>
    </row>
    <row r="1438" spans="1:3">
      <c r="A1438" s="8" t="s">
        <v>3508</v>
      </c>
      <c r="B1438" s="9" t="s">
        <v>3509</v>
      </c>
      <c r="C1438" s="10" t="s">
        <v>719</v>
      </c>
    </row>
    <row r="1439" spans="1:3">
      <c r="A1439" s="8" t="s">
        <v>3500</v>
      </c>
      <c r="B1439" s="9" t="s">
        <v>3501</v>
      </c>
      <c r="C1439" s="10" t="s">
        <v>719</v>
      </c>
    </row>
    <row r="1440" spans="1:3">
      <c r="A1440" s="8" t="s">
        <v>2546</v>
      </c>
      <c r="B1440" s="9" t="s">
        <v>2547</v>
      </c>
      <c r="C1440" s="10" t="s">
        <v>2548</v>
      </c>
    </row>
    <row r="1441" spans="1:3">
      <c r="A1441" s="8" t="s">
        <v>4166</v>
      </c>
      <c r="B1441" s="9" t="s">
        <v>4167</v>
      </c>
      <c r="C1441" s="10" t="s">
        <v>4168</v>
      </c>
    </row>
    <row r="1442" spans="1:3">
      <c r="A1442" s="8" t="s">
        <v>4169</v>
      </c>
      <c r="B1442" s="9" t="s">
        <v>4167</v>
      </c>
      <c r="C1442" s="10" t="s">
        <v>4168</v>
      </c>
    </row>
    <row r="1443" spans="1:3">
      <c r="A1443" s="8" t="s">
        <v>2630</v>
      </c>
      <c r="B1443" s="9" t="s">
        <v>2631</v>
      </c>
      <c r="C1443" s="10" t="s">
        <v>2530</v>
      </c>
    </row>
    <row r="1444" spans="1:3">
      <c r="A1444" s="8" t="s">
        <v>1375</v>
      </c>
      <c r="B1444" s="9" t="s">
        <v>1372</v>
      </c>
      <c r="C1444" s="10" t="s">
        <v>719</v>
      </c>
    </row>
    <row r="1445" spans="1:3">
      <c r="A1445" s="8" t="s">
        <v>3330</v>
      </c>
      <c r="B1445" s="9" t="s">
        <v>3331</v>
      </c>
      <c r="C1445" s="10" t="s">
        <v>3332</v>
      </c>
    </row>
    <row r="1446" spans="1:3">
      <c r="A1446" s="8" t="s">
        <v>2307</v>
      </c>
      <c r="B1446" s="9" t="s">
        <v>2308</v>
      </c>
      <c r="C1446" s="10" t="s">
        <v>2309</v>
      </c>
    </row>
    <row r="1447" spans="1:3">
      <c r="A1447" s="8" t="s">
        <v>2502</v>
      </c>
      <c r="B1447" s="9" t="s">
        <v>2503</v>
      </c>
      <c r="C1447" s="10" t="s">
        <v>5872</v>
      </c>
    </row>
    <row r="1448" spans="1:3">
      <c r="A1448" s="8" t="s">
        <v>2484</v>
      </c>
      <c r="B1448" s="9" t="s">
        <v>2485</v>
      </c>
      <c r="C1448" s="10" t="s">
        <v>2486</v>
      </c>
    </row>
    <row r="1449" spans="1:3">
      <c r="A1449" s="8" t="s">
        <v>2480</v>
      </c>
      <c r="B1449" s="9" t="s">
        <v>2481</v>
      </c>
      <c r="C1449" s="10" t="s">
        <v>2482</v>
      </c>
    </row>
    <row r="1450" spans="1:3">
      <c r="A1450" s="8" t="s">
        <v>69</v>
      </c>
      <c r="B1450" s="9" t="s">
        <v>68</v>
      </c>
      <c r="C1450" s="10" t="s">
        <v>719</v>
      </c>
    </row>
    <row r="1451" spans="1:3">
      <c r="A1451" s="8" t="s">
        <v>3510</v>
      </c>
      <c r="B1451" s="9" t="s">
        <v>3511</v>
      </c>
      <c r="C1451" s="10" t="s">
        <v>719</v>
      </c>
    </row>
    <row r="1452" spans="1:3">
      <c r="A1452" s="8" t="s">
        <v>2302</v>
      </c>
      <c r="B1452" s="9" t="s">
        <v>2303</v>
      </c>
      <c r="C1452" s="10" t="s">
        <v>2304</v>
      </c>
    </row>
    <row r="1453" spans="1:3">
      <c r="A1453" s="8" t="s">
        <v>58</v>
      </c>
      <c r="B1453" s="9" t="s">
        <v>59</v>
      </c>
      <c r="C1453" s="10" t="s">
        <v>60</v>
      </c>
    </row>
    <row r="1454" spans="1:3">
      <c r="A1454" s="8" t="s">
        <v>1142</v>
      </c>
      <c r="B1454" s="9" t="s">
        <v>1143</v>
      </c>
      <c r="C1454" s="10" t="s">
        <v>1144</v>
      </c>
    </row>
    <row r="1455" spans="1:3">
      <c r="A1455" s="8" t="s">
        <v>4333</v>
      </c>
      <c r="B1455" s="9" t="s">
        <v>4334</v>
      </c>
      <c r="C1455" s="10" t="s">
        <v>4335</v>
      </c>
    </row>
    <row r="1456" spans="1:3">
      <c r="A1456" s="8" t="s">
        <v>2588</v>
      </c>
      <c r="B1456" s="9" t="s">
        <v>2587</v>
      </c>
      <c r="C1456" s="10" t="s">
        <v>719</v>
      </c>
    </row>
    <row r="1457" spans="1:3">
      <c r="A1457" s="8" t="s">
        <v>2704</v>
      </c>
      <c r="B1457" s="9" t="s">
        <v>2705</v>
      </c>
      <c r="C1457" s="10" t="s">
        <v>2706</v>
      </c>
    </row>
    <row r="1458" spans="1:3">
      <c r="A1458" s="8" t="s">
        <v>1106</v>
      </c>
      <c r="B1458" s="9" t="s">
        <v>1104</v>
      </c>
      <c r="C1458" s="10" t="s">
        <v>719</v>
      </c>
    </row>
    <row r="1459" spans="1:3">
      <c r="A1459" s="8" t="s">
        <v>1229</v>
      </c>
      <c r="B1459" s="9" t="s">
        <v>1230</v>
      </c>
      <c r="C1459" s="10" t="s">
        <v>719</v>
      </c>
    </row>
    <row r="1460" spans="1:3">
      <c r="A1460" s="8" t="s">
        <v>1209</v>
      </c>
      <c r="B1460" s="9" t="s">
        <v>1210</v>
      </c>
      <c r="C1460" s="10" t="s">
        <v>719</v>
      </c>
    </row>
    <row r="1461" spans="1:3">
      <c r="A1461" s="8" t="s">
        <v>1574</v>
      </c>
      <c r="B1461" s="9" t="s">
        <v>1575</v>
      </c>
      <c r="C1461" s="10" t="s">
        <v>1576</v>
      </c>
    </row>
    <row r="1462" spans="1:3">
      <c r="A1462" s="8" t="s">
        <v>1321</v>
      </c>
      <c r="B1462" s="9" t="s">
        <v>1320</v>
      </c>
      <c r="C1462" s="10" t="s">
        <v>719</v>
      </c>
    </row>
    <row r="1463" spans="1:3">
      <c r="A1463" s="8" t="s">
        <v>5263</v>
      </c>
      <c r="B1463" s="9" t="s">
        <v>5264</v>
      </c>
      <c r="C1463" s="10" t="s">
        <v>5265</v>
      </c>
    </row>
    <row r="1464" spans="1:3">
      <c r="A1464" s="8" t="s">
        <v>5689</v>
      </c>
      <c r="B1464" s="9" t="s">
        <v>5690</v>
      </c>
      <c r="C1464" s="10" t="s">
        <v>5691</v>
      </c>
    </row>
    <row r="1465" spans="1:3">
      <c r="A1465" s="8" t="s">
        <v>4028</v>
      </c>
      <c r="B1465" s="9" t="s">
        <v>4029</v>
      </c>
      <c r="C1465" s="10" t="s">
        <v>719</v>
      </c>
    </row>
    <row r="1466" spans="1:3">
      <c r="A1466" s="8" t="s">
        <v>5002</v>
      </c>
      <c r="B1466" s="9" t="s">
        <v>4997</v>
      </c>
      <c r="C1466" s="10" t="s">
        <v>719</v>
      </c>
    </row>
    <row r="1467" spans="1:3">
      <c r="A1467" s="8" t="s">
        <v>5003</v>
      </c>
      <c r="B1467" s="9" t="s">
        <v>4997</v>
      </c>
      <c r="C1467" s="10" t="s">
        <v>719</v>
      </c>
    </row>
    <row r="1468" spans="1:3">
      <c r="A1468" s="8" t="s">
        <v>1931</v>
      </c>
      <c r="B1468" s="9" t="s">
        <v>1932</v>
      </c>
      <c r="C1468" s="10" t="s">
        <v>1933</v>
      </c>
    </row>
    <row r="1469" spans="1:3">
      <c r="A1469" s="8" t="s">
        <v>2167</v>
      </c>
      <c r="B1469" s="9" t="s">
        <v>2166</v>
      </c>
      <c r="C1469" s="10" t="s">
        <v>719</v>
      </c>
    </row>
    <row r="1470" spans="1:3">
      <c r="A1470" s="8" t="s">
        <v>2196</v>
      </c>
      <c r="B1470" s="9" t="s">
        <v>2197</v>
      </c>
      <c r="C1470" s="10" t="s">
        <v>2198</v>
      </c>
    </row>
    <row r="1471" spans="1:3">
      <c r="A1471" s="8" t="s">
        <v>2159</v>
      </c>
      <c r="B1471" s="9" t="s">
        <v>2160</v>
      </c>
      <c r="C1471" s="10" t="s">
        <v>2161</v>
      </c>
    </row>
    <row r="1472" spans="1:3">
      <c r="A1472" s="8" t="s">
        <v>1216</v>
      </c>
      <c r="B1472" s="9" t="s">
        <v>1217</v>
      </c>
      <c r="C1472" s="10" t="s">
        <v>1218</v>
      </c>
    </row>
    <row r="1473" spans="1:3">
      <c r="A1473" s="8" t="s">
        <v>1343</v>
      </c>
      <c r="B1473" s="9" t="s">
        <v>1344</v>
      </c>
      <c r="C1473" s="10" t="s">
        <v>1345</v>
      </c>
    </row>
    <row r="1474" spans="1:3">
      <c r="A1474" s="8" t="s">
        <v>4060</v>
      </c>
      <c r="B1474" s="9" t="s">
        <v>4061</v>
      </c>
      <c r="C1474" s="10" t="s">
        <v>4062</v>
      </c>
    </row>
    <row r="1475" spans="1:3">
      <c r="A1475" s="8" t="s">
        <v>1308</v>
      </c>
      <c r="B1475" s="9" t="s">
        <v>1309</v>
      </c>
      <c r="C1475" s="10" t="s">
        <v>719</v>
      </c>
    </row>
    <row r="1476" spans="1:3">
      <c r="A1476" s="8" t="s">
        <v>3535</v>
      </c>
      <c r="B1476" s="9" t="s">
        <v>3536</v>
      </c>
      <c r="C1476" s="10" t="s">
        <v>3537</v>
      </c>
    </row>
    <row r="1477" spans="1:3">
      <c r="A1477" s="8" t="s">
        <v>1571</v>
      </c>
      <c r="B1477" s="9" t="s">
        <v>1572</v>
      </c>
      <c r="C1477" s="10" t="s">
        <v>1573</v>
      </c>
    </row>
    <row r="1478" spans="1:3">
      <c r="A1478" s="8" t="s">
        <v>1577</v>
      </c>
      <c r="B1478" s="9" t="s">
        <v>1578</v>
      </c>
      <c r="C1478" s="10" t="s">
        <v>1579</v>
      </c>
    </row>
    <row r="1479" spans="1:3">
      <c r="A1479" s="8" t="s">
        <v>4030</v>
      </c>
      <c r="B1479" s="9" t="s">
        <v>4029</v>
      </c>
      <c r="C1479" s="10" t="s">
        <v>719</v>
      </c>
    </row>
    <row r="1480" spans="1:3">
      <c r="A1480" s="8" t="s">
        <v>1626</v>
      </c>
      <c r="B1480" s="9" t="s">
        <v>1627</v>
      </c>
      <c r="C1480" s="10" t="s">
        <v>1628</v>
      </c>
    </row>
    <row r="1481" spans="1:3">
      <c r="A1481" s="8" t="s">
        <v>1228</v>
      </c>
      <c r="B1481" s="9" t="s">
        <v>1226</v>
      </c>
      <c r="C1481" s="10" t="s">
        <v>719</v>
      </c>
    </row>
    <row r="1482" spans="1:3">
      <c r="A1482" s="8" t="s">
        <v>4752</v>
      </c>
      <c r="B1482" s="9" t="s">
        <v>4753</v>
      </c>
      <c r="C1482" s="10" t="s">
        <v>4745</v>
      </c>
    </row>
    <row r="1483" spans="1:3">
      <c r="A1483" s="8" t="s">
        <v>1355</v>
      </c>
      <c r="B1483" s="9" t="s">
        <v>1356</v>
      </c>
      <c r="C1483" s="10" t="s">
        <v>1357</v>
      </c>
    </row>
    <row r="1484" spans="1:3">
      <c r="A1484" s="8" t="s">
        <v>2108</v>
      </c>
      <c r="B1484" s="9" t="s">
        <v>2109</v>
      </c>
      <c r="C1484" s="10" t="s">
        <v>2110</v>
      </c>
    </row>
    <row r="1485" spans="1:3">
      <c r="A1485" s="8" t="s">
        <v>5353</v>
      </c>
      <c r="B1485" s="9" t="s">
        <v>5354</v>
      </c>
      <c r="C1485" s="10" t="s">
        <v>5355</v>
      </c>
    </row>
    <row r="1486" spans="1:3">
      <c r="A1486" s="8" t="s">
        <v>5612</v>
      </c>
      <c r="B1486" s="9" t="s">
        <v>5613</v>
      </c>
      <c r="C1486" s="10" t="s">
        <v>719</v>
      </c>
    </row>
    <row r="1487" spans="1:3">
      <c r="A1487" s="8" t="s">
        <v>3000</v>
      </c>
      <c r="B1487" s="9" t="s">
        <v>3001</v>
      </c>
      <c r="C1487" s="10" t="s">
        <v>3037</v>
      </c>
    </row>
    <row r="1488" spans="1:3">
      <c r="A1488" s="8" t="s">
        <v>3747</v>
      </c>
      <c r="B1488" s="9" t="s">
        <v>3748</v>
      </c>
      <c r="C1488" s="10" t="s">
        <v>3749</v>
      </c>
    </row>
    <row r="1489" spans="1:3">
      <c r="A1489" s="8" t="s">
        <v>37</v>
      </c>
      <c r="B1489" s="9" t="s">
        <v>38</v>
      </c>
      <c r="C1489" s="10" t="s">
        <v>39</v>
      </c>
    </row>
    <row r="1490" spans="1:3">
      <c r="A1490" s="8" t="s">
        <v>1668</v>
      </c>
      <c r="B1490" s="9" t="s">
        <v>1669</v>
      </c>
      <c r="C1490" s="10" t="s">
        <v>1661</v>
      </c>
    </row>
    <row r="1491" spans="1:3">
      <c r="A1491" s="8" t="s">
        <v>2382</v>
      </c>
      <c r="B1491" s="9" t="s">
        <v>2383</v>
      </c>
      <c r="C1491" s="10" t="s">
        <v>2384</v>
      </c>
    </row>
    <row r="1492" spans="1:3">
      <c r="A1492" s="8" t="s">
        <v>2369</v>
      </c>
      <c r="B1492" s="9" t="s">
        <v>2370</v>
      </c>
      <c r="C1492" s="10" t="s">
        <v>2371</v>
      </c>
    </row>
    <row r="1493" spans="1:3">
      <c r="A1493" s="8" t="s">
        <v>5628</v>
      </c>
      <c r="B1493" s="9" t="s">
        <v>5629</v>
      </c>
      <c r="C1493" s="10" t="s">
        <v>5630</v>
      </c>
    </row>
    <row r="1494" spans="1:3">
      <c r="A1494" s="8" t="s">
        <v>4538</v>
      </c>
      <c r="B1494" s="9" t="s">
        <v>4539</v>
      </c>
      <c r="C1494" s="10" t="s">
        <v>4540</v>
      </c>
    </row>
    <row r="1495" spans="1:3">
      <c r="A1495" s="8" t="s">
        <v>2613</v>
      </c>
      <c r="B1495" s="9" t="s">
        <v>2614</v>
      </c>
      <c r="C1495" s="10" t="s">
        <v>719</v>
      </c>
    </row>
    <row r="1496" spans="1:3">
      <c r="A1496" s="8" t="s">
        <v>2639</v>
      </c>
      <c r="B1496" s="9" t="s">
        <v>2640</v>
      </c>
      <c r="C1496" s="10" t="s">
        <v>2641</v>
      </c>
    </row>
    <row r="1497" spans="1:3">
      <c r="A1497" s="8" t="s">
        <v>2636</v>
      </c>
      <c r="B1497" s="9" t="s">
        <v>2637</v>
      </c>
      <c r="C1497" s="10" t="s">
        <v>2638</v>
      </c>
    </row>
    <row r="1498" spans="1:3">
      <c r="A1498" s="8" t="s">
        <v>2589</v>
      </c>
      <c r="B1498" s="9" t="s">
        <v>2590</v>
      </c>
      <c r="C1498" s="10" t="s">
        <v>2591</v>
      </c>
    </row>
    <row r="1499" spans="1:3">
      <c r="A1499" s="8" t="s">
        <v>2646</v>
      </c>
      <c r="B1499" s="9" t="s">
        <v>2647</v>
      </c>
      <c r="C1499" s="10" t="s">
        <v>2648</v>
      </c>
    </row>
    <row r="1500" spans="1:3">
      <c r="A1500" s="8" t="s">
        <v>2615</v>
      </c>
      <c r="B1500" s="9" t="s">
        <v>2614</v>
      </c>
      <c r="C1500" s="10" t="s">
        <v>719</v>
      </c>
    </row>
    <row r="1501" spans="1:3">
      <c r="A1501" s="8" t="s">
        <v>2475</v>
      </c>
      <c r="B1501" s="9" t="s">
        <v>2476</v>
      </c>
      <c r="C1501" s="10" t="s">
        <v>2477</v>
      </c>
    </row>
    <row r="1502" spans="1:3">
      <c r="A1502" s="8" t="s">
        <v>1680</v>
      </c>
      <c r="B1502" s="9" t="s">
        <v>1681</v>
      </c>
      <c r="C1502" s="10" t="s">
        <v>1682</v>
      </c>
    </row>
    <row r="1503" spans="1:3">
      <c r="A1503" s="8" t="s">
        <v>1716</v>
      </c>
      <c r="B1503" s="9" t="s">
        <v>1713</v>
      </c>
      <c r="C1503" s="10" t="s">
        <v>1714</v>
      </c>
    </row>
    <row r="1504" spans="1:3">
      <c r="A1504" s="8" t="s">
        <v>3420</v>
      </c>
      <c r="B1504" s="9" t="s">
        <v>3421</v>
      </c>
      <c r="C1504" s="10" t="s">
        <v>5873</v>
      </c>
    </row>
    <row r="1505" spans="1:3">
      <c r="A1505" s="8" t="s">
        <v>3072</v>
      </c>
      <c r="B1505" s="9" t="s">
        <v>3070</v>
      </c>
      <c r="C1505" s="10" t="s">
        <v>3071</v>
      </c>
    </row>
    <row r="1506" spans="1:3">
      <c r="A1506" s="8" t="s">
        <v>508</v>
      </c>
      <c r="B1506" s="9" t="s">
        <v>509</v>
      </c>
      <c r="C1506" s="10" t="s">
        <v>509</v>
      </c>
    </row>
    <row r="1507" spans="1:3">
      <c r="A1507" s="8" t="s">
        <v>516</v>
      </c>
      <c r="B1507" s="9" t="s">
        <v>517</v>
      </c>
      <c r="C1507" s="10" t="s">
        <v>518</v>
      </c>
    </row>
    <row r="1508" spans="1:3">
      <c r="A1508" s="8" t="s">
        <v>1677</v>
      </c>
      <c r="B1508" s="9" t="s">
        <v>1678</v>
      </c>
      <c r="C1508" s="10" t="s">
        <v>1679</v>
      </c>
    </row>
    <row r="1509" spans="1:3">
      <c r="A1509" s="8" t="s">
        <v>1647</v>
      </c>
      <c r="B1509" s="9" t="s">
        <v>1648</v>
      </c>
      <c r="C1509" s="10" t="s">
        <v>1649</v>
      </c>
    </row>
    <row r="1510" spans="1:3">
      <c r="A1510" s="8" t="s">
        <v>5008</v>
      </c>
      <c r="B1510" s="9" t="s">
        <v>5009</v>
      </c>
      <c r="C1510" s="10" t="s">
        <v>5010</v>
      </c>
    </row>
    <row r="1511" spans="1:3">
      <c r="A1511" s="8" t="s">
        <v>2751</v>
      </c>
      <c r="B1511" s="9" t="s">
        <v>2752</v>
      </c>
      <c r="C1511" s="10" t="s">
        <v>2752</v>
      </c>
    </row>
    <row r="1512" spans="1:3">
      <c r="A1512" s="8" t="s">
        <v>3778</v>
      </c>
      <c r="B1512" s="9" t="s">
        <v>3779</v>
      </c>
      <c r="C1512" s="10" t="s">
        <v>3780</v>
      </c>
    </row>
    <row r="1513" spans="1:3">
      <c r="A1513" s="8" t="s">
        <v>4275</v>
      </c>
      <c r="B1513" s="9" t="s">
        <v>4276</v>
      </c>
      <c r="C1513" s="10" t="s">
        <v>5874</v>
      </c>
    </row>
    <row r="1514" spans="1:3">
      <c r="A1514" s="8" t="s">
        <v>3023</v>
      </c>
      <c r="B1514" s="9" t="s">
        <v>3024</v>
      </c>
      <c r="C1514" s="10" t="s">
        <v>3025</v>
      </c>
    </row>
    <row r="1515" spans="1:3">
      <c r="A1515" s="8" t="s">
        <v>2014</v>
      </c>
      <c r="B1515" s="9" t="s">
        <v>2013</v>
      </c>
      <c r="C1515" s="10" t="s">
        <v>719</v>
      </c>
    </row>
    <row r="1516" spans="1:3">
      <c r="A1516" s="8" t="s">
        <v>2019</v>
      </c>
      <c r="B1516" s="9" t="s">
        <v>2020</v>
      </c>
      <c r="C1516" s="10" t="s">
        <v>2021</v>
      </c>
    </row>
    <row r="1517" spans="1:3">
      <c r="A1517" s="8" t="s">
        <v>2105</v>
      </c>
      <c r="B1517" s="9" t="s">
        <v>2106</v>
      </c>
      <c r="C1517" s="10" t="s">
        <v>2107</v>
      </c>
    </row>
    <row r="1518" spans="1:3">
      <c r="A1518" s="8" t="s">
        <v>4908</v>
      </c>
      <c r="B1518" s="9" t="s">
        <v>4909</v>
      </c>
      <c r="C1518" s="10" t="s">
        <v>4910</v>
      </c>
    </row>
    <row r="1519" spans="1:3">
      <c r="A1519" s="8" t="s">
        <v>4880</v>
      </c>
      <c r="B1519" s="9" t="s">
        <v>4881</v>
      </c>
      <c r="C1519" s="10" t="s">
        <v>4882</v>
      </c>
    </row>
    <row r="1520" spans="1:3">
      <c r="A1520" s="8" t="s">
        <v>4816</v>
      </c>
      <c r="B1520" s="9" t="s">
        <v>4817</v>
      </c>
      <c r="C1520" s="10" t="s">
        <v>4818</v>
      </c>
    </row>
    <row r="1521" spans="1:3">
      <c r="A1521" s="8" t="s">
        <v>914</v>
      </c>
      <c r="B1521" s="9" t="s">
        <v>912</v>
      </c>
      <c r="C1521" s="10" t="s">
        <v>913</v>
      </c>
    </row>
    <row r="1522" spans="1:3">
      <c r="A1522" s="8" t="s">
        <v>374</v>
      </c>
      <c r="B1522" s="9" t="s">
        <v>375</v>
      </c>
      <c r="C1522" s="10" t="s">
        <v>376</v>
      </c>
    </row>
    <row r="1523" spans="1:3">
      <c r="A1523" s="8" t="s">
        <v>242</v>
      </c>
      <c r="B1523" s="9" t="s">
        <v>243</v>
      </c>
      <c r="C1523" s="10" t="s">
        <v>244</v>
      </c>
    </row>
    <row r="1524" spans="1:3">
      <c r="A1524" s="8" t="s">
        <v>1531</v>
      </c>
      <c r="B1524" s="9" t="s">
        <v>1529</v>
      </c>
      <c r="C1524" s="10" t="s">
        <v>1530</v>
      </c>
    </row>
    <row r="1525" spans="1:3">
      <c r="A1525" s="8" t="s">
        <v>1136</v>
      </c>
      <c r="B1525" s="9" t="s">
        <v>1137</v>
      </c>
      <c r="C1525" s="10" t="s">
        <v>1138</v>
      </c>
    </row>
    <row r="1526" spans="1:3">
      <c r="A1526" s="8" t="s">
        <v>715</v>
      </c>
      <c r="B1526" s="9" t="s">
        <v>716</v>
      </c>
      <c r="C1526" s="10" t="s">
        <v>719</v>
      </c>
    </row>
    <row r="1527" spans="1:3">
      <c r="A1527" s="8" t="s">
        <v>2008</v>
      </c>
      <c r="B1527" s="9" t="s">
        <v>2009</v>
      </c>
      <c r="C1527" s="10" t="s">
        <v>2010</v>
      </c>
    </row>
    <row r="1528" spans="1:3">
      <c r="A1528" s="8" t="s">
        <v>980</v>
      </c>
      <c r="B1528" s="9" t="s">
        <v>981</v>
      </c>
      <c r="C1528" s="10" t="s">
        <v>982</v>
      </c>
    </row>
    <row r="1529" spans="1:3">
      <c r="A1529" s="8" t="s">
        <v>343</v>
      </c>
      <c r="B1529" s="9" t="s">
        <v>344</v>
      </c>
      <c r="C1529" s="10" t="s">
        <v>719</v>
      </c>
    </row>
    <row r="1530" spans="1:3">
      <c r="A1530" s="8" t="s">
        <v>330</v>
      </c>
      <c r="B1530" s="9" t="s">
        <v>331</v>
      </c>
      <c r="C1530" s="10" t="s">
        <v>719</v>
      </c>
    </row>
    <row r="1531" spans="1:3">
      <c r="A1531" s="8" t="s">
        <v>4218</v>
      </c>
      <c r="B1531" s="9" t="s">
        <v>4219</v>
      </c>
      <c r="C1531" s="10" t="s">
        <v>4220</v>
      </c>
    </row>
    <row r="1532" spans="1:3">
      <c r="A1532" s="8" t="s">
        <v>3966</v>
      </c>
      <c r="B1532" s="9" t="s">
        <v>3967</v>
      </c>
      <c r="C1532" s="10" t="s">
        <v>3968</v>
      </c>
    </row>
    <row r="1533" spans="1:3">
      <c r="A1533" s="8" t="s">
        <v>4068</v>
      </c>
      <c r="B1533" s="9" t="s">
        <v>4069</v>
      </c>
      <c r="C1533" s="10" t="s">
        <v>4070</v>
      </c>
    </row>
    <row r="1534" spans="1:3">
      <c r="A1534" s="8" t="s">
        <v>4606</v>
      </c>
      <c r="B1534" s="9" t="s">
        <v>4607</v>
      </c>
      <c r="C1534" s="10" t="s">
        <v>4608</v>
      </c>
    </row>
    <row r="1535" spans="1:3">
      <c r="A1535" s="8" t="s">
        <v>1773</v>
      </c>
      <c r="B1535" s="9" t="s">
        <v>1774</v>
      </c>
      <c r="C1535" s="10" t="s">
        <v>1775</v>
      </c>
    </row>
    <row r="1536" spans="1:3">
      <c r="A1536" s="8" t="s">
        <v>2418</v>
      </c>
      <c r="B1536" s="9" t="s">
        <v>2419</v>
      </c>
      <c r="C1536" s="10" t="s">
        <v>2420</v>
      </c>
    </row>
    <row r="1537" spans="1:3">
      <c r="A1537" s="8" t="s">
        <v>5670</v>
      </c>
      <c r="B1537" s="9" t="s">
        <v>5669</v>
      </c>
      <c r="C1537" s="10" t="s">
        <v>719</v>
      </c>
    </row>
    <row r="1538" spans="1:3">
      <c r="A1538" s="8" t="s">
        <v>5670</v>
      </c>
      <c r="B1538" s="9" t="s">
        <v>5669</v>
      </c>
      <c r="C1538" s="10" t="s">
        <v>719</v>
      </c>
    </row>
    <row r="1539" spans="1:3">
      <c r="A1539" s="8" t="s">
        <v>3284</v>
      </c>
      <c r="B1539" s="9" t="s">
        <v>3285</v>
      </c>
      <c r="C1539" s="10" t="s">
        <v>3286</v>
      </c>
    </row>
    <row r="1540" spans="1:3">
      <c r="A1540" s="8" t="s">
        <v>5661</v>
      </c>
      <c r="B1540" s="9" t="s">
        <v>5662</v>
      </c>
      <c r="C1540" s="10" t="s">
        <v>5663</v>
      </c>
    </row>
    <row r="1541" spans="1:3">
      <c r="A1541" s="8" t="s">
        <v>5681</v>
      </c>
      <c r="B1541" s="9" t="s">
        <v>5679</v>
      </c>
      <c r="C1541" s="10" t="s">
        <v>5680</v>
      </c>
    </row>
    <row r="1542" spans="1:3">
      <c r="A1542" s="8" t="s">
        <v>3278</v>
      </c>
      <c r="B1542" s="9" t="s">
        <v>3279</v>
      </c>
      <c r="C1542" s="10" t="s">
        <v>3280</v>
      </c>
    </row>
    <row r="1543" spans="1:3">
      <c r="A1543" s="8" t="s">
        <v>2836</v>
      </c>
      <c r="B1543" s="9" t="s">
        <v>2837</v>
      </c>
      <c r="C1543" s="10" t="s">
        <v>2837</v>
      </c>
    </row>
    <row r="1544" spans="1:3">
      <c r="A1544" s="8" t="s">
        <v>5634</v>
      </c>
      <c r="B1544" s="9" t="s">
        <v>5635</v>
      </c>
      <c r="C1544" s="10" t="s">
        <v>5636</v>
      </c>
    </row>
    <row r="1545" spans="1:3">
      <c r="A1545" s="8" t="s">
        <v>5640</v>
      </c>
      <c r="B1545" s="9" t="s">
        <v>5641</v>
      </c>
      <c r="C1545" s="10" t="s">
        <v>5642</v>
      </c>
    </row>
    <row r="1546" spans="1:3">
      <c r="A1546" s="8" t="s">
        <v>3264</v>
      </c>
      <c r="B1546" s="9" t="s">
        <v>3265</v>
      </c>
      <c r="C1546" s="10" t="s">
        <v>3266</v>
      </c>
    </row>
    <row r="1547" spans="1:3">
      <c r="A1547" s="8" t="s">
        <v>2757</v>
      </c>
      <c r="B1547" s="9" t="s">
        <v>2758</v>
      </c>
      <c r="C1547" s="10" t="s">
        <v>719</v>
      </c>
    </row>
    <row r="1548" spans="1:3">
      <c r="A1548" s="8" t="s">
        <v>5875</v>
      </c>
      <c r="B1548" s="9" t="s">
        <v>5380</v>
      </c>
      <c r="C1548" s="10" t="s">
        <v>719</v>
      </c>
    </row>
    <row r="1549" spans="1:3">
      <c r="A1549" s="8" t="s">
        <v>4500</v>
      </c>
      <c r="B1549" s="9" t="s">
        <v>4498</v>
      </c>
      <c r="C1549" s="10" t="s">
        <v>4499</v>
      </c>
    </row>
    <row r="1550" spans="1:3">
      <c r="A1550" s="8" t="s">
        <v>5129</v>
      </c>
      <c r="B1550" s="9" t="s">
        <v>5130</v>
      </c>
      <c r="C1550" s="10" t="s">
        <v>5131</v>
      </c>
    </row>
    <row r="1551" spans="1:3">
      <c r="A1551" s="8" t="s">
        <v>1596</v>
      </c>
      <c r="B1551" s="9" t="s">
        <v>1597</v>
      </c>
      <c r="C1551" s="10" t="s">
        <v>1598</v>
      </c>
    </row>
    <row r="1552" spans="1:3">
      <c r="A1552" s="8" t="s">
        <v>2753</v>
      </c>
      <c r="B1552" s="9" t="s">
        <v>2754</v>
      </c>
      <c r="C1552" s="10" t="s">
        <v>2754</v>
      </c>
    </row>
    <row r="1553" spans="1:3">
      <c r="A1553" s="8" t="s">
        <v>2764</v>
      </c>
      <c r="B1553" s="9" t="s">
        <v>2765</v>
      </c>
      <c r="C1553" s="10" t="s">
        <v>2766</v>
      </c>
    </row>
    <row r="1554" spans="1:3">
      <c r="A1554" s="8" t="s">
        <v>2759</v>
      </c>
      <c r="B1554" s="9" t="s">
        <v>2760</v>
      </c>
      <c r="C1554" s="10" t="s">
        <v>719</v>
      </c>
    </row>
    <row r="1555" spans="1:3">
      <c r="A1555" s="8" t="s">
        <v>3014</v>
      </c>
      <c r="B1555" s="9" t="s">
        <v>3015</v>
      </c>
      <c r="C1555" s="10" t="s">
        <v>3016</v>
      </c>
    </row>
    <row r="1556" spans="1:3">
      <c r="A1556" s="8" t="s">
        <v>1656</v>
      </c>
      <c r="B1556" s="9" t="s">
        <v>1657</v>
      </c>
      <c r="C1556" s="10" t="s">
        <v>1658</v>
      </c>
    </row>
    <row r="1557" spans="1:3">
      <c r="A1557" s="8" t="s">
        <v>2117</v>
      </c>
      <c r="B1557" s="9" t="s">
        <v>2118</v>
      </c>
      <c r="C1557" s="10" t="s">
        <v>2119</v>
      </c>
    </row>
    <row r="1558" spans="1:3">
      <c r="A1558" s="8" t="s">
        <v>1602</v>
      </c>
      <c r="B1558" s="9" t="s">
        <v>1603</v>
      </c>
      <c r="C1558" s="10" t="s">
        <v>1604</v>
      </c>
    </row>
    <row r="1559" spans="1:3">
      <c r="A1559" s="8" t="s">
        <v>25</v>
      </c>
      <c r="B1559" s="9" t="s">
        <v>24</v>
      </c>
      <c r="C1559" s="10" t="s">
        <v>719</v>
      </c>
    </row>
    <row r="1560" spans="1:3">
      <c r="A1560" s="8" t="s">
        <v>20</v>
      </c>
      <c r="B1560" s="9" t="s">
        <v>21</v>
      </c>
      <c r="C1560" s="10" t="s">
        <v>22</v>
      </c>
    </row>
    <row r="1561" spans="1:3">
      <c r="A1561" s="8" t="s">
        <v>1756</v>
      </c>
      <c r="B1561" s="9" t="s">
        <v>1754</v>
      </c>
      <c r="C1561" s="10" t="s">
        <v>1755</v>
      </c>
    </row>
    <row r="1562" spans="1:3">
      <c r="A1562" s="8" t="s">
        <v>4009</v>
      </c>
      <c r="B1562" s="9" t="s">
        <v>4010</v>
      </c>
      <c r="C1562" s="10" t="s">
        <v>4011</v>
      </c>
    </row>
    <row r="1563" spans="1:3">
      <c r="A1563" s="8" t="s">
        <v>3948</v>
      </c>
      <c r="B1563" s="9" t="s">
        <v>3949</v>
      </c>
      <c r="C1563" s="10" t="s">
        <v>3950</v>
      </c>
    </row>
    <row r="1564" spans="1:3">
      <c r="A1564" s="8" t="s">
        <v>2782</v>
      </c>
      <c r="B1564" s="9" t="s">
        <v>2783</v>
      </c>
      <c r="C1564" s="10" t="s">
        <v>5876</v>
      </c>
    </row>
    <row r="1565" spans="1:3">
      <c r="A1565" s="8" t="s">
        <v>3804</v>
      </c>
      <c r="B1565" s="9" t="s">
        <v>3805</v>
      </c>
      <c r="C1565" s="10" t="s">
        <v>3806</v>
      </c>
    </row>
    <row r="1566" spans="1:3">
      <c r="A1566" s="8" t="s">
        <v>2672</v>
      </c>
      <c r="B1566" s="9" t="s">
        <v>2673</v>
      </c>
      <c r="C1566" s="10" t="s">
        <v>2674</v>
      </c>
    </row>
    <row r="1567" spans="1:3">
      <c r="A1567" s="8" t="s">
        <v>4846</v>
      </c>
      <c r="B1567" s="9" t="s">
        <v>4844</v>
      </c>
      <c r="C1567" s="10" t="s">
        <v>4845</v>
      </c>
    </row>
    <row r="1568" spans="1:3">
      <c r="A1568" s="8" t="s">
        <v>4856</v>
      </c>
      <c r="B1568" s="9" t="s">
        <v>4857</v>
      </c>
      <c r="C1568" s="10" t="s">
        <v>4858</v>
      </c>
    </row>
    <row r="1569" spans="1:3">
      <c r="A1569" s="8" t="s">
        <v>4371</v>
      </c>
      <c r="B1569" s="9" t="s">
        <v>4372</v>
      </c>
      <c r="C1569" s="10" t="s">
        <v>719</v>
      </c>
    </row>
    <row r="1570" spans="1:3">
      <c r="A1570" s="8" t="s">
        <v>4521</v>
      </c>
      <c r="B1570" s="9" t="s">
        <v>4522</v>
      </c>
      <c r="C1570" s="10" t="s">
        <v>4523</v>
      </c>
    </row>
    <row r="1571" spans="1:3">
      <c r="A1571" s="8" t="s">
        <v>2774</v>
      </c>
      <c r="B1571" s="9" t="s">
        <v>2775</v>
      </c>
      <c r="C1571" s="10" t="s">
        <v>719</v>
      </c>
    </row>
    <row r="1572" spans="1:3">
      <c r="A1572" s="8" t="s">
        <v>5045</v>
      </c>
      <c r="B1572" s="9" t="s">
        <v>5044</v>
      </c>
      <c r="C1572" s="10" t="s">
        <v>719</v>
      </c>
    </row>
    <row r="1573" spans="1:3">
      <c r="A1573" s="8" t="s">
        <v>2802</v>
      </c>
      <c r="B1573" s="9" t="s">
        <v>2803</v>
      </c>
      <c r="C1573" s="10" t="s">
        <v>2804</v>
      </c>
    </row>
    <row r="1574" spans="1:3">
      <c r="A1574" s="8" t="s">
        <v>3134</v>
      </c>
      <c r="B1574" s="9" t="s">
        <v>3135</v>
      </c>
      <c r="C1574" s="10" t="s">
        <v>3136</v>
      </c>
    </row>
    <row r="1575" spans="1:3">
      <c r="A1575" s="8" t="s">
        <v>2011</v>
      </c>
      <c r="B1575" s="9" t="s">
        <v>2009</v>
      </c>
      <c r="C1575" s="10" t="s">
        <v>2010</v>
      </c>
    </row>
    <row r="1576" spans="1:3">
      <c r="A1576" s="8" t="s">
        <v>1916</v>
      </c>
      <c r="B1576" s="9" t="s">
        <v>1917</v>
      </c>
      <c r="C1576" s="10" t="s">
        <v>1918</v>
      </c>
    </row>
    <row r="1577" spans="1:3">
      <c r="A1577" s="8" t="s">
        <v>1958</v>
      </c>
      <c r="B1577" s="9" t="s">
        <v>1959</v>
      </c>
      <c r="C1577" s="10" t="s">
        <v>1960</v>
      </c>
    </row>
    <row r="1578" spans="1:3">
      <c r="A1578" s="8" t="s">
        <v>4460</v>
      </c>
      <c r="B1578" s="9" t="s">
        <v>4461</v>
      </c>
      <c r="C1578" s="10" t="s">
        <v>4462</v>
      </c>
    </row>
    <row r="1579" spans="1:3">
      <c r="A1579" s="8" t="s">
        <v>4440</v>
      </c>
      <c r="B1579" s="9" t="s">
        <v>4441</v>
      </c>
      <c r="C1579" s="10" t="s">
        <v>4442</v>
      </c>
    </row>
    <row r="1580" spans="1:3">
      <c r="A1580" s="8" t="s">
        <v>4225</v>
      </c>
      <c r="B1580" s="9" t="s">
        <v>4226</v>
      </c>
      <c r="C1580" s="10" t="s">
        <v>4227</v>
      </c>
    </row>
    <row r="1581" spans="1:3">
      <c r="A1581" s="8" t="s">
        <v>4224</v>
      </c>
      <c r="B1581" s="9" t="s">
        <v>4222</v>
      </c>
      <c r="C1581" s="10" t="s">
        <v>4223</v>
      </c>
    </row>
    <row r="1582" spans="1:3">
      <c r="A1582" s="8" t="s">
        <v>4212</v>
      </c>
      <c r="B1582" s="9" t="s">
        <v>4213</v>
      </c>
      <c r="C1582" s="10" t="s">
        <v>4214</v>
      </c>
    </row>
    <row r="1583" spans="1:3">
      <c r="A1583" s="8" t="s">
        <v>4545</v>
      </c>
      <c r="B1583" s="9" t="s">
        <v>4542</v>
      </c>
      <c r="C1583" s="10" t="s">
        <v>4543</v>
      </c>
    </row>
    <row r="1584" spans="1:3">
      <c r="A1584" s="8" t="s">
        <v>4537</v>
      </c>
      <c r="B1584" s="9" t="s">
        <v>4534</v>
      </c>
      <c r="C1584" s="10" t="s">
        <v>4535</v>
      </c>
    </row>
    <row r="1585" spans="1:3">
      <c r="A1585" s="8" t="s">
        <v>2767</v>
      </c>
      <c r="B1585" s="9" t="s">
        <v>2768</v>
      </c>
      <c r="C1585" s="10" t="s">
        <v>2769</v>
      </c>
    </row>
    <row r="1586" spans="1:3">
      <c r="A1586" s="8" t="s">
        <v>4083</v>
      </c>
      <c r="B1586" s="9" t="s">
        <v>4084</v>
      </c>
      <c r="C1586" s="10" t="s">
        <v>4085</v>
      </c>
    </row>
    <row r="1587" spans="1:3">
      <c r="A1587" s="8" t="s">
        <v>4086</v>
      </c>
      <c r="B1587" s="9" t="s">
        <v>4087</v>
      </c>
      <c r="C1587" s="10" t="s">
        <v>4088</v>
      </c>
    </row>
    <row r="1588" spans="1:3">
      <c r="A1588" s="8" t="s">
        <v>3405</v>
      </c>
      <c r="B1588" s="9" t="s">
        <v>3406</v>
      </c>
      <c r="C1588" s="10" t="s">
        <v>3407</v>
      </c>
    </row>
    <row r="1589" spans="1:3">
      <c r="A1589" s="8" t="s">
        <v>5682</v>
      </c>
      <c r="B1589" s="9" t="s">
        <v>5679</v>
      </c>
      <c r="C1589" s="10" t="s">
        <v>5680</v>
      </c>
    </row>
    <row r="1590" spans="1:3">
      <c r="A1590" s="8" t="s">
        <v>5050</v>
      </c>
      <c r="B1590" s="9" t="s">
        <v>5051</v>
      </c>
      <c r="C1590" s="10" t="s">
        <v>5052</v>
      </c>
    </row>
    <row r="1591" spans="1:3">
      <c r="A1591" s="8" t="s">
        <v>992</v>
      </c>
      <c r="B1591" s="9" t="s">
        <v>993</v>
      </c>
      <c r="C1591" s="10" t="s">
        <v>994</v>
      </c>
    </row>
    <row r="1592" spans="1:3">
      <c r="A1592" s="8" t="s">
        <v>4721</v>
      </c>
      <c r="B1592" s="9" t="s">
        <v>4722</v>
      </c>
      <c r="C1592" s="10" t="s">
        <v>4723</v>
      </c>
    </row>
    <row r="1593" spans="1:3">
      <c r="A1593" s="8" t="s">
        <v>2872</v>
      </c>
      <c r="B1593" s="9" t="s">
        <v>2873</v>
      </c>
      <c r="C1593" s="10" t="s">
        <v>2873</v>
      </c>
    </row>
    <row r="1594" spans="1:3">
      <c r="A1594" s="8" t="s">
        <v>4619</v>
      </c>
      <c r="B1594" s="9" t="s">
        <v>4620</v>
      </c>
      <c r="C1594" s="10" t="s">
        <v>4621</v>
      </c>
    </row>
    <row r="1595" spans="1:3">
      <c r="A1595" s="8" t="s">
        <v>4576</v>
      </c>
      <c r="B1595" s="9" t="s">
        <v>4577</v>
      </c>
      <c r="C1595" s="10" t="s">
        <v>4578</v>
      </c>
    </row>
    <row r="1596" spans="1:3">
      <c r="A1596" s="8" t="s">
        <v>1007</v>
      </c>
      <c r="B1596" s="9" t="s">
        <v>1005</v>
      </c>
      <c r="C1596" s="10" t="s">
        <v>719</v>
      </c>
    </row>
    <row r="1597" spans="1:3">
      <c r="A1597" s="8" t="s">
        <v>5473</v>
      </c>
      <c r="B1597" s="9" t="s">
        <v>5470</v>
      </c>
      <c r="C1597" s="10" t="s">
        <v>719</v>
      </c>
    </row>
    <row r="1598" spans="1:3">
      <c r="A1598" s="8" t="s">
        <v>172</v>
      </c>
      <c r="B1598" s="9" t="s">
        <v>173</v>
      </c>
      <c r="C1598" s="10" t="s">
        <v>174</v>
      </c>
    </row>
    <row r="1599" spans="1:3">
      <c r="A1599" s="8" t="s">
        <v>1313</v>
      </c>
      <c r="B1599" s="9" t="s">
        <v>1314</v>
      </c>
      <c r="C1599" s="10" t="s">
        <v>1315</v>
      </c>
    </row>
    <row r="1600" spans="1:3">
      <c r="A1600" s="8" t="s">
        <v>4080</v>
      </c>
      <c r="B1600" s="9" t="s">
        <v>4081</v>
      </c>
      <c r="C1600" s="10" t="s">
        <v>4082</v>
      </c>
    </row>
    <row r="1601" spans="1:3">
      <c r="A1601" s="8" t="s">
        <v>4457</v>
      </c>
      <c r="B1601" s="9" t="s">
        <v>4458</v>
      </c>
      <c r="C1601" s="10" t="s">
        <v>4459</v>
      </c>
    </row>
    <row r="1602" spans="1:3">
      <c r="A1602" s="8" t="s">
        <v>1967</v>
      </c>
      <c r="B1602" s="9" t="s">
        <v>1968</v>
      </c>
      <c r="C1602" s="10" t="s">
        <v>1969</v>
      </c>
    </row>
    <row r="1603" spans="1:3">
      <c r="A1603" s="8" t="s">
        <v>2779</v>
      </c>
      <c r="B1603" s="9" t="s">
        <v>2780</v>
      </c>
      <c r="C1603" s="10" t="s">
        <v>2781</v>
      </c>
    </row>
    <row r="1604" spans="1:3">
      <c r="A1604" s="8" t="s">
        <v>2796</v>
      </c>
      <c r="B1604" s="9" t="s">
        <v>2797</v>
      </c>
      <c r="C1604" s="10" t="s">
        <v>2798</v>
      </c>
    </row>
    <row r="1605" spans="1:3">
      <c r="A1605" s="8" t="s">
        <v>2790</v>
      </c>
      <c r="B1605" s="9" t="s">
        <v>2791</v>
      </c>
      <c r="C1605" s="10" t="s">
        <v>2792</v>
      </c>
    </row>
    <row r="1606" spans="1:3">
      <c r="A1606" s="8" t="s">
        <v>3140</v>
      </c>
      <c r="B1606" s="9" t="s">
        <v>3141</v>
      </c>
      <c r="C1606" s="10" t="s">
        <v>3142</v>
      </c>
    </row>
    <row r="1607" spans="1:3">
      <c r="A1607" s="8" t="s">
        <v>687</v>
      </c>
      <c r="B1607" s="9" t="s">
        <v>688</v>
      </c>
      <c r="C1607" s="10" t="s">
        <v>689</v>
      </c>
    </row>
    <row r="1608" spans="1:3">
      <c r="A1608" s="8" t="s">
        <v>1583</v>
      </c>
      <c r="B1608" s="9" t="s">
        <v>1584</v>
      </c>
      <c r="C1608" s="10" t="s">
        <v>1585</v>
      </c>
    </row>
    <row r="1609" spans="1:3">
      <c r="A1609" s="8" t="s">
        <v>3132</v>
      </c>
      <c r="B1609" s="9" t="s">
        <v>3133</v>
      </c>
      <c r="C1609" s="10" t="s">
        <v>719</v>
      </c>
    </row>
    <row r="1610" spans="1:3">
      <c r="A1610" s="8" t="s">
        <v>3119</v>
      </c>
      <c r="B1610" s="9" t="s">
        <v>3120</v>
      </c>
      <c r="C1610" s="10" t="s">
        <v>719</v>
      </c>
    </row>
    <row r="1611" spans="1:3">
      <c r="A1611" s="8" t="s">
        <v>183</v>
      </c>
      <c r="B1611" s="9" t="s">
        <v>184</v>
      </c>
      <c r="C1611" s="10" t="s">
        <v>185</v>
      </c>
    </row>
    <row r="1612" spans="1:3">
      <c r="A1612" s="8" t="s">
        <v>300</v>
      </c>
      <c r="B1612" s="9" t="s">
        <v>301</v>
      </c>
      <c r="C1612" s="10" t="s">
        <v>302</v>
      </c>
    </row>
    <row r="1613" spans="1:3">
      <c r="A1613" s="8" t="s">
        <v>1928</v>
      </c>
      <c r="B1613" s="9" t="s">
        <v>1929</v>
      </c>
      <c r="C1613" s="10" t="s">
        <v>1930</v>
      </c>
    </row>
    <row r="1614" spans="1:3">
      <c r="A1614" s="8" t="s">
        <v>1925</v>
      </c>
      <c r="B1614" s="9" t="s">
        <v>1926</v>
      </c>
      <c r="C1614" s="10" t="s">
        <v>1927</v>
      </c>
    </row>
    <row r="1615" spans="1:3">
      <c r="A1615" s="8" t="s">
        <v>5411</v>
      </c>
      <c r="B1615" s="9" t="s">
        <v>5409</v>
      </c>
      <c r="C1615" s="10" t="s">
        <v>719</v>
      </c>
    </row>
    <row r="1616" spans="1:3">
      <c r="A1616" s="8" t="s">
        <v>499</v>
      </c>
      <c r="B1616" s="9" t="s">
        <v>500</v>
      </c>
      <c r="C1616" s="10" t="s">
        <v>501</v>
      </c>
    </row>
    <row r="1617" spans="1:3">
      <c r="A1617" s="8" t="s">
        <v>5014</v>
      </c>
      <c r="B1617" s="9" t="s">
        <v>5015</v>
      </c>
      <c r="C1617" s="10" t="s">
        <v>5016</v>
      </c>
    </row>
    <row r="1618" spans="1:3">
      <c r="A1618" s="8" t="s">
        <v>3700</v>
      </c>
      <c r="B1618" s="9" t="s">
        <v>3701</v>
      </c>
      <c r="C1618" s="10" t="s">
        <v>3702</v>
      </c>
    </row>
    <row r="1619" spans="1:3">
      <c r="A1619" s="8" t="s">
        <v>5581</v>
      </c>
      <c r="B1619" s="9" t="s">
        <v>5582</v>
      </c>
      <c r="C1619" s="10" t="s">
        <v>5583</v>
      </c>
    </row>
    <row r="1620" spans="1:3">
      <c r="A1620" s="8" t="s">
        <v>2818</v>
      </c>
      <c r="B1620" s="9" t="s">
        <v>2819</v>
      </c>
      <c r="C1620" s="10" t="s">
        <v>2820</v>
      </c>
    </row>
    <row r="1621" spans="1:3">
      <c r="A1621" s="8" t="s">
        <v>2112</v>
      </c>
      <c r="B1621" s="9" t="s">
        <v>2113</v>
      </c>
      <c r="C1621" s="10" t="s">
        <v>2114</v>
      </c>
    </row>
    <row r="1622" spans="1:3">
      <c r="A1622" s="8" t="s">
        <v>1075</v>
      </c>
      <c r="B1622" s="9" t="s">
        <v>1076</v>
      </c>
      <c r="C1622" s="10" t="s">
        <v>1077</v>
      </c>
    </row>
    <row r="1623" spans="1:3">
      <c r="A1623" s="8" t="s">
        <v>820</v>
      </c>
      <c r="B1623" s="9" t="s">
        <v>821</v>
      </c>
      <c r="C1623" s="10" t="s">
        <v>822</v>
      </c>
    </row>
    <row r="1624" spans="1:3">
      <c r="A1624" s="8" t="s">
        <v>5427</v>
      </c>
      <c r="B1624" s="9" t="s">
        <v>5428</v>
      </c>
      <c r="C1624" s="10" t="s">
        <v>5429</v>
      </c>
    </row>
    <row r="1625" spans="1:3">
      <c r="A1625" s="8" t="s">
        <v>5235</v>
      </c>
      <c r="B1625" s="9" t="s">
        <v>5236</v>
      </c>
      <c r="C1625" s="10" t="s">
        <v>5237</v>
      </c>
    </row>
    <row r="1626" spans="1:3">
      <c r="A1626" s="8" t="s">
        <v>5412</v>
      </c>
      <c r="B1626" s="9" t="s">
        <v>5409</v>
      </c>
      <c r="C1626" s="10" t="s">
        <v>719</v>
      </c>
    </row>
    <row r="1627" spans="1:3">
      <c r="A1627" s="8" t="s">
        <v>1349</v>
      </c>
      <c r="B1627" s="9" t="s">
        <v>1350</v>
      </c>
      <c r="C1627" s="10" t="s">
        <v>1351</v>
      </c>
    </row>
    <row r="1628" spans="1:3">
      <c r="A1628" s="8" t="s">
        <v>477</v>
      </c>
      <c r="B1628" s="9" t="s">
        <v>478</v>
      </c>
      <c r="C1628" s="10" t="s">
        <v>719</v>
      </c>
    </row>
    <row r="1629" spans="1:3">
      <c r="A1629" s="8" t="s">
        <v>1896</v>
      </c>
      <c r="B1629" s="9" t="s">
        <v>1897</v>
      </c>
      <c r="C1629" s="10" t="s">
        <v>719</v>
      </c>
    </row>
    <row r="1630" spans="1:3">
      <c r="A1630" s="8" t="s">
        <v>3050</v>
      </c>
      <c r="B1630" s="9" t="s">
        <v>3051</v>
      </c>
      <c r="C1630" s="10" t="s">
        <v>3052</v>
      </c>
    </row>
    <row r="1631" spans="1:3">
      <c r="A1631" s="8" t="s">
        <v>3047</v>
      </c>
      <c r="B1631" s="9" t="s">
        <v>3048</v>
      </c>
      <c r="C1631" s="10" t="s">
        <v>3049</v>
      </c>
    </row>
    <row r="1632" spans="1:3">
      <c r="A1632" s="8" t="s">
        <v>561</v>
      </c>
      <c r="B1632" s="9" t="s">
        <v>562</v>
      </c>
      <c r="C1632" s="10" t="s">
        <v>563</v>
      </c>
    </row>
    <row r="1633" spans="1:3">
      <c r="A1633" s="8" t="s">
        <v>451</v>
      </c>
      <c r="B1633" s="9" t="s">
        <v>452</v>
      </c>
      <c r="C1633" s="10" t="s">
        <v>453</v>
      </c>
    </row>
    <row r="1634" spans="1:3">
      <c r="A1634" s="8" t="s">
        <v>1184</v>
      </c>
      <c r="B1634" s="9" t="s">
        <v>1185</v>
      </c>
      <c r="C1634" s="10" t="s">
        <v>719</v>
      </c>
    </row>
    <row r="1635" spans="1:3">
      <c r="A1635" s="8" t="s">
        <v>2787</v>
      </c>
      <c r="B1635" s="9" t="s">
        <v>2788</v>
      </c>
      <c r="C1635" s="10" t="s">
        <v>2789</v>
      </c>
    </row>
    <row r="1636" spans="1:3">
      <c r="A1636" s="8" t="s">
        <v>5229</v>
      </c>
      <c r="B1636" s="9" t="s">
        <v>5230</v>
      </c>
      <c r="C1636" s="10" t="s">
        <v>5231</v>
      </c>
    </row>
    <row r="1637" spans="1:3">
      <c r="A1637" s="8" t="s">
        <v>2415</v>
      </c>
      <c r="B1637" s="9" t="s">
        <v>2416</v>
      </c>
      <c r="C1637" s="10" t="s">
        <v>2417</v>
      </c>
    </row>
    <row r="1638" spans="1:3">
      <c r="A1638" s="8" t="s">
        <v>2415</v>
      </c>
      <c r="B1638" s="9" t="s">
        <v>2416</v>
      </c>
      <c r="C1638" s="10" t="s">
        <v>2417</v>
      </c>
    </row>
    <row r="1639" spans="1:3">
      <c r="A1639" s="8" t="s">
        <v>442</v>
      </c>
      <c r="B1639" s="9" t="s">
        <v>443</v>
      </c>
      <c r="C1639" s="10" t="s">
        <v>444</v>
      </c>
    </row>
    <row r="1640" spans="1:3">
      <c r="A1640" s="8" t="s">
        <v>648</v>
      </c>
      <c r="B1640" s="9" t="s">
        <v>649</v>
      </c>
      <c r="C1640" s="10" t="s">
        <v>650</v>
      </c>
    </row>
    <row r="1641" spans="1:3">
      <c r="A1641" s="8" t="s">
        <v>175</v>
      </c>
      <c r="B1641" s="9" t="s">
        <v>176</v>
      </c>
      <c r="C1641" s="10" t="s">
        <v>719</v>
      </c>
    </row>
    <row r="1642" spans="1:3">
      <c r="A1642" s="8" t="s">
        <v>510</v>
      </c>
      <c r="B1642" s="9" t="s">
        <v>511</v>
      </c>
      <c r="C1642" s="10" t="s">
        <v>512</v>
      </c>
    </row>
    <row r="1643" spans="1:3">
      <c r="A1643" s="8" t="s">
        <v>5243</v>
      </c>
      <c r="B1643" s="9" t="s">
        <v>5242</v>
      </c>
      <c r="C1643" s="10" t="s">
        <v>719</v>
      </c>
    </row>
    <row r="1644" spans="1:3">
      <c r="A1644" s="8" t="s">
        <v>5290</v>
      </c>
      <c r="B1644" s="9" t="s">
        <v>5291</v>
      </c>
      <c r="C1644" s="10" t="s">
        <v>5292</v>
      </c>
    </row>
    <row r="1645" spans="1:3">
      <c r="A1645" s="8" t="s">
        <v>1186</v>
      </c>
      <c r="B1645" s="9" t="s">
        <v>1185</v>
      </c>
      <c r="C1645" s="10" t="s">
        <v>719</v>
      </c>
    </row>
    <row r="1646" spans="1:3">
      <c r="A1646" s="8" t="s">
        <v>1181</v>
      </c>
      <c r="B1646" s="9" t="s">
        <v>1182</v>
      </c>
      <c r="C1646" s="10" t="s">
        <v>1183</v>
      </c>
    </row>
    <row r="1647" spans="1:3">
      <c r="A1647" s="8" t="s">
        <v>465</v>
      </c>
      <c r="B1647" s="9" t="s">
        <v>463</v>
      </c>
      <c r="C1647" s="10" t="s">
        <v>464</v>
      </c>
    </row>
    <row r="1648" spans="1:3">
      <c r="A1648" s="8" t="s">
        <v>2776</v>
      </c>
      <c r="B1648" s="9" t="s">
        <v>2777</v>
      </c>
      <c r="C1648" s="10" t="s">
        <v>2778</v>
      </c>
    </row>
    <row r="1649" spans="1:3">
      <c r="A1649" s="8" t="s">
        <v>2874</v>
      </c>
      <c r="B1649" s="9" t="s">
        <v>2875</v>
      </c>
      <c r="C1649" s="10" t="s">
        <v>719</v>
      </c>
    </row>
    <row r="1650" spans="1:3">
      <c r="A1650" s="8" t="s">
        <v>867</v>
      </c>
      <c r="B1650" s="9" t="s">
        <v>866</v>
      </c>
      <c r="C1650" s="10" t="s">
        <v>719</v>
      </c>
    </row>
    <row r="1651" spans="1:3">
      <c r="A1651" s="8" t="s">
        <v>618</v>
      </c>
      <c r="B1651" s="9" t="s">
        <v>615</v>
      </c>
      <c r="C1651" s="10" t="s">
        <v>616</v>
      </c>
    </row>
    <row r="1652" spans="1:3">
      <c r="A1652" s="8" t="s">
        <v>3502</v>
      </c>
      <c r="B1652" s="9" t="s">
        <v>3503</v>
      </c>
      <c r="C1652" s="10" t="s">
        <v>3504</v>
      </c>
    </row>
    <row r="1653" spans="1:3">
      <c r="A1653" s="8" t="s">
        <v>3653</v>
      </c>
      <c r="B1653" s="9" t="s">
        <v>3654</v>
      </c>
      <c r="C1653" s="10" t="s">
        <v>3655</v>
      </c>
    </row>
    <row r="1654" spans="1:3">
      <c r="A1654" s="8" t="s">
        <v>3656</v>
      </c>
      <c r="B1654" s="9" t="s">
        <v>3657</v>
      </c>
      <c r="C1654" s="10" t="s">
        <v>3658</v>
      </c>
    </row>
    <row r="1655" spans="1:3">
      <c r="A1655" s="8" t="s">
        <v>433</v>
      </c>
      <c r="B1655" s="9" t="s">
        <v>434</v>
      </c>
      <c r="C1655" s="10" t="s">
        <v>435</v>
      </c>
    </row>
    <row r="1656" spans="1:3">
      <c r="A1656" s="8" t="s">
        <v>2852</v>
      </c>
      <c r="B1656" s="9" t="s">
        <v>2853</v>
      </c>
      <c r="C1656" s="10" t="s">
        <v>2854</v>
      </c>
    </row>
    <row r="1657" spans="1:3">
      <c r="A1657" s="8" t="s">
        <v>2849</v>
      </c>
      <c r="B1657" s="9" t="s">
        <v>2850</v>
      </c>
      <c r="C1657" s="10" t="s">
        <v>2851</v>
      </c>
    </row>
    <row r="1658" spans="1:3">
      <c r="A1658" s="8" t="s">
        <v>4330</v>
      </c>
      <c r="B1658" s="9" t="s">
        <v>4331</v>
      </c>
      <c r="C1658" s="10" t="s">
        <v>4332</v>
      </c>
    </row>
    <row r="1659" spans="1:3">
      <c r="A1659" s="8" t="s">
        <v>2241</v>
      </c>
      <c r="B1659" s="9" t="s">
        <v>2242</v>
      </c>
      <c r="C1659" s="10" t="s">
        <v>2243</v>
      </c>
    </row>
    <row r="1660" spans="1:3">
      <c r="A1660" s="8" t="s">
        <v>70</v>
      </c>
      <c r="B1660" s="9" t="s">
        <v>68</v>
      </c>
      <c r="C1660" s="10" t="s">
        <v>719</v>
      </c>
    </row>
    <row r="1661" spans="1:3">
      <c r="A1661" s="8" t="s">
        <v>4326</v>
      </c>
      <c r="B1661" s="9" t="s">
        <v>4327</v>
      </c>
      <c r="C1661" s="10" t="s">
        <v>4328</v>
      </c>
    </row>
    <row r="1662" spans="1:3">
      <c r="A1662" s="8" t="s">
        <v>4329</v>
      </c>
      <c r="B1662" s="9" t="s">
        <v>4327</v>
      </c>
      <c r="C1662" s="10" t="s">
        <v>4328</v>
      </c>
    </row>
    <row r="1663" spans="1:3">
      <c r="A1663" s="8" t="s">
        <v>75</v>
      </c>
      <c r="B1663" s="9" t="s">
        <v>72</v>
      </c>
      <c r="C1663" s="10" t="s">
        <v>73</v>
      </c>
    </row>
    <row r="1664" spans="1:3">
      <c r="A1664" s="8" t="s">
        <v>3915</v>
      </c>
      <c r="B1664" s="9" t="s">
        <v>3916</v>
      </c>
      <c r="C1664" s="10" t="s">
        <v>3917</v>
      </c>
    </row>
    <row r="1665" spans="1:3">
      <c r="A1665" s="8" t="s">
        <v>2861</v>
      </c>
      <c r="B1665" s="9" t="s">
        <v>2862</v>
      </c>
      <c r="C1665" s="10" t="s">
        <v>2863</v>
      </c>
    </row>
    <row r="1666" spans="1:3">
      <c r="A1666" s="8" t="s">
        <v>3063</v>
      </c>
      <c r="B1666" s="9" t="s">
        <v>3064</v>
      </c>
      <c r="C1666" s="10" t="s">
        <v>3065</v>
      </c>
    </row>
    <row r="1667" spans="1:3">
      <c r="A1667" s="8" t="s">
        <v>305</v>
      </c>
      <c r="B1667" s="9" t="s">
        <v>306</v>
      </c>
      <c r="C1667" s="10" t="s">
        <v>719</v>
      </c>
    </row>
    <row r="1668" spans="1:3">
      <c r="A1668" s="8" t="s">
        <v>303</v>
      </c>
      <c r="B1668" s="9" t="s">
        <v>304</v>
      </c>
      <c r="C1668" s="10" t="s">
        <v>5877</v>
      </c>
    </row>
    <row r="1669" spans="1:3">
      <c r="A1669" s="8" t="s">
        <v>308</v>
      </c>
      <c r="B1669" s="9" t="s">
        <v>309</v>
      </c>
      <c r="C1669" s="10" t="s">
        <v>310</v>
      </c>
    </row>
    <row r="1670" spans="1:3">
      <c r="A1670" s="8" t="s">
        <v>2594</v>
      </c>
      <c r="B1670" s="9" t="s">
        <v>2595</v>
      </c>
      <c r="C1670" s="10" t="s">
        <v>2596</v>
      </c>
    </row>
    <row r="1671" spans="1:3">
      <c r="A1671" s="8" t="s">
        <v>4991</v>
      </c>
      <c r="B1671" s="9" t="s">
        <v>4992</v>
      </c>
      <c r="C1671" s="10" t="s">
        <v>4992</v>
      </c>
    </row>
    <row r="1672" spans="1:3">
      <c r="A1672" s="8" t="s">
        <v>2598</v>
      </c>
      <c r="B1672" s="9" t="s">
        <v>2599</v>
      </c>
      <c r="C1672" s="10" t="s">
        <v>2600</v>
      </c>
    </row>
    <row r="1673" spans="1:3">
      <c r="A1673" s="8" t="s">
        <v>2511</v>
      </c>
      <c r="B1673" s="9" t="s">
        <v>2512</v>
      </c>
      <c r="C1673" s="10" t="s">
        <v>2513</v>
      </c>
    </row>
    <row r="1674" spans="1:3">
      <c r="A1674" s="8" t="s">
        <v>2218</v>
      </c>
      <c r="B1674" s="9" t="s">
        <v>2219</v>
      </c>
      <c r="C1674" s="10" t="s">
        <v>2220</v>
      </c>
    </row>
    <row r="1675" spans="1:3">
      <c r="A1675" s="8" t="s">
        <v>156</v>
      </c>
      <c r="B1675" s="9" t="s">
        <v>157</v>
      </c>
      <c r="C1675" s="10" t="s">
        <v>158</v>
      </c>
    </row>
    <row r="1676" spans="1:3">
      <c r="A1676" s="8" t="s">
        <v>3529</v>
      </c>
      <c r="B1676" s="9" t="s">
        <v>3530</v>
      </c>
      <c r="C1676" s="10" t="s">
        <v>3531</v>
      </c>
    </row>
    <row r="1677" spans="1:3">
      <c r="A1677" s="8" t="s">
        <v>3532</v>
      </c>
      <c r="B1677" s="9" t="s">
        <v>3533</v>
      </c>
      <c r="C1677" s="10" t="s">
        <v>3534</v>
      </c>
    </row>
    <row r="1678" spans="1:3">
      <c r="A1678" s="8" t="s">
        <v>1997</v>
      </c>
      <c r="B1678" s="9" t="s">
        <v>1998</v>
      </c>
      <c r="C1678" s="10" t="s">
        <v>1999</v>
      </c>
    </row>
    <row r="1679" spans="1:3">
      <c r="A1679" s="8" t="s">
        <v>3188</v>
      </c>
      <c r="B1679" s="9" t="s">
        <v>3189</v>
      </c>
      <c r="C1679" s="10" t="s">
        <v>3190</v>
      </c>
    </row>
    <row r="1680" spans="1:3">
      <c r="A1680" s="8" t="s">
        <v>3393</v>
      </c>
      <c r="B1680" s="9" t="s">
        <v>3394</v>
      </c>
      <c r="C1680" s="10" t="s">
        <v>3395</v>
      </c>
    </row>
    <row r="1681" spans="1:3">
      <c r="A1681" s="8" t="s">
        <v>3218</v>
      </c>
      <c r="B1681" s="9" t="s">
        <v>3219</v>
      </c>
      <c r="C1681" s="10" t="s">
        <v>3220</v>
      </c>
    </row>
    <row r="1682" spans="1:3">
      <c r="A1682" s="8" t="s">
        <v>3208</v>
      </c>
      <c r="B1682" s="9" t="s">
        <v>3206</v>
      </c>
      <c r="C1682" s="10" t="s">
        <v>3207</v>
      </c>
    </row>
    <row r="1683" spans="1:3">
      <c r="A1683" s="8" t="s">
        <v>3202</v>
      </c>
      <c r="B1683" s="9" t="s">
        <v>3203</v>
      </c>
      <c r="C1683" s="10" t="s">
        <v>3204</v>
      </c>
    </row>
    <row r="1684" spans="1:3">
      <c r="A1684" s="8" t="s">
        <v>3209</v>
      </c>
      <c r="B1684" s="9" t="s">
        <v>3210</v>
      </c>
      <c r="C1684" s="10" t="s">
        <v>3211</v>
      </c>
    </row>
    <row r="1685" spans="1:3">
      <c r="A1685" s="8" t="s">
        <v>4272</v>
      </c>
      <c r="B1685" s="9" t="s">
        <v>4273</v>
      </c>
      <c r="C1685" s="10" t="s">
        <v>4274</v>
      </c>
    </row>
    <row r="1686" spans="1:3">
      <c r="A1686" s="8" t="s">
        <v>2421</v>
      </c>
      <c r="B1686" s="9" t="s">
        <v>2422</v>
      </c>
      <c r="C1686" s="10" t="s">
        <v>2423</v>
      </c>
    </row>
    <row r="1687" spans="1:3">
      <c r="A1687" s="8" t="s">
        <v>1964</v>
      </c>
      <c r="B1687" s="9" t="s">
        <v>1965</v>
      </c>
      <c r="C1687" s="10" t="s">
        <v>1966</v>
      </c>
    </row>
    <row r="1688" spans="1:3">
      <c r="A1688" s="8" t="s">
        <v>4063</v>
      </c>
      <c r="B1688" s="9" t="s">
        <v>4064</v>
      </c>
      <c r="C1688" s="10" t="s">
        <v>4014</v>
      </c>
    </row>
    <row r="1689" spans="1:3">
      <c r="A1689" s="8" t="s">
        <v>5046</v>
      </c>
      <c r="B1689" s="9" t="s">
        <v>5044</v>
      </c>
      <c r="C1689" s="10" t="s">
        <v>719</v>
      </c>
    </row>
    <row r="1690" spans="1:3">
      <c r="A1690" s="8" t="s">
        <v>5005</v>
      </c>
      <c r="B1690" s="9" t="s">
        <v>5006</v>
      </c>
      <c r="C1690" s="10" t="s">
        <v>5007</v>
      </c>
    </row>
    <row r="1691" spans="1:3">
      <c r="A1691" s="8" t="s">
        <v>5878</v>
      </c>
      <c r="B1691" s="9" t="e">
        <v>#N/A</v>
      </c>
      <c r="C1691" s="10" t="e">
        <v>#N/A</v>
      </c>
    </row>
    <row r="1692" spans="1:3">
      <c r="A1692" s="8" t="s">
        <v>5034</v>
      </c>
      <c r="B1692" s="9" t="s">
        <v>5035</v>
      </c>
      <c r="C1692" s="10" t="s">
        <v>5036</v>
      </c>
    </row>
    <row r="1693" spans="1:3">
      <c r="A1693" s="8" t="s">
        <v>5022</v>
      </c>
      <c r="B1693" s="9" t="s">
        <v>5023</v>
      </c>
      <c r="C1693" s="10" t="s">
        <v>5024</v>
      </c>
    </row>
    <row r="1694" spans="1:3">
      <c r="A1694" s="8" t="s">
        <v>5433</v>
      </c>
      <c r="B1694" s="9" t="s">
        <v>5434</v>
      </c>
      <c r="C1694" s="10" t="s">
        <v>5435</v>
      </c>
    </row>
    <row r="1695" spans="1:3">
      <c r="A1695" s="8" t="s">
        <v>5103</v>
      </c>
      <c r="B1695" s="9" t="s">
        <v>5104</v>
      </c>
      <c r="C1695" s="10" t="s">
        <v>5104</v>
      </c>
    </row>
    <row r="1696" spans="1:3">
      <c r="A1696" s="8" t="s">
        <v>2493</v>
      </c>
      <c r="B1696" s="9" t="s">
        <v>2494</v>
      </c>
      <c r="C1696" s="10" t="s">
        <v>2495</v>
      </c>
    </row>
    <row r="1697" spans="1:3">
      <c r="A1697" s="8" t="s">
        <v>2496</v>
      </c>
      <c r="B1697" s="9" t="s">
        <v>2497</v>
      </c>
      <c r="C1697" s="10" t="s">
        <v>2498</v>
      </c>
    </row>
    <row r="1698" spans="1:3">
      <c r="A1698" s="8" t="s">
        <v>4177</v>
      </c>
      <c r="B1698" s="9" t="s">
        <v>4178</v>
      </c>
      <c r="C1698" s="10" t="s">
        <v>4179</v>
      </c>
    </row>
    <row r="1699" spans="1:3">
      <c r="A1699" s="8" t="s">
        <v>1605</v>
      </c>
      <c r="B1699" s="9" t="s">
        <v>1606</v>
      </c>
      <c r="C1699" s="10" t="s">
        <v>1607</v>
      </c>
    </row>
    <row r="1700" spans="1:3">
      <c r="A1700" s="8" t="s">
        <v>3273</v>
      </c>
      <c r="B1700" s="9" t="s">
        <v>3274</v>
      </c>
      <c r="C1700" s="10" t="s">
        <v>3145</v>
      </c>
    </row>
    <row r="1701" spans="1:3">
      <c r="A1701" s="8" t="s">
        <v>4232</v>
      </c>
      <c r="B1701" s="9" t="s">
        <v>4233</v>
      </c>
      <c r="C1701" s="10" t="s">
        <v>4234</v>
      </c>
    </row>
    <row r="1702" spans="1:3">
      <c r="A1702" s="8" t="s">
        <v>4180</v>
      </c>
      <c r="B1702" s="9" t="s">
        <v>4181</v>
      </c>
      <c r="C1702" s="10" t="s">
        <v>4182</v>
      </c>
    </row>
    <row r="1703" spans="1:3">
      <c r="A1703" s="8" t="s">
        <v>3339</v>
      </c>
      <c r="B1703" s="9" t="s">
        <v>3340</v>
      </c>
      <c r="C1703" s="10" t="s">
        <v>3324</v>
      </c>
    </row>
    <row r="1704" spans="1:3">
      <c r="A1704" s="8" t="s">
        <v>3267</v>
      </c>
      <c r="B1704" s="9" t="s">
        <v>3268</v>
      </c>
      <c r="C1704" s="10" t="s">
        <v>3269</v>
      </c>
    </row>
    <row r="1705" spans="1:3">
      <c r="A1705" s="8" t="s">
        <v>3318</v>
      </c>
      <c r="B1705" s="9" t="s">
        <v>3317</v>
      </c>
      <c r="C1705" s="10" t="s">
        <v>719</v>
      </c>
    </row>
    <row r="1706" spans="1:3">
      <c r="A1706" s="8" t="s">
        <v>4730</v>
      </c>
      <c r="B1706" s="9" t="s">
        <v>4731</v>
      </c>
      <c r="C1706" s="10" t="s">
        <v>4732</v>
      </c>
    </row>
    <row r="1707" spans="1:3">
      <c r="A1707" s="8" t="s">
        <v>2755</v>
      </c>
      <c r="B1707" s="9" t="s">
        <v>2756</v>
      </c>
      <c r="C1707" s="10" t="s">
        <v>719</v>
      </c>
    </row>
    <row r="1708" spans="1:3">
      <c r="A1708" s="8" t="s">
        <v>3912</v>
      </c>
      <c r="B1708" s="9" t="s">
        <v>3913</v>
      </c>
      <c r="C1708" s="10" t="s">
        <v>3914</v>
      </c>
    </row>
    <row r="1709" spans="1:3">
      <c r="A1709" s="8" t="s">
        <v>3909</v>
      </c>
      <c r="B1709" s="9" t="s">
        <v>3910</v>
      </c>
      <c r="C1709" s="10" t="s">
        <v>3911</v>
      </c>
    </row>
    <row r="1710" spans="1:3">
      <c r="A1710" s="8" t="s">
        <v>3497</v>
      </c>
      <c r="B1710" s="9" t="s">
        <v>3498</v>
      </c>
      <c r="C1710" s="10" t="s">
        <v>3499</v>
      </c>
    </row>
    <row r="1711" spans="1:3">
      <c r="A1711" s="8" t="s">
        <v>3275</v>
      </c>
      <c r="B1711" s="9" t="s">
        <v>3276</v>
      </c>
      <c r="C1711" s="10" t="s">
        <v>3277</v>
      </c>
    </row>
    <row r="1712" spans="1:3">
      <c r="A1712" s="8" t="s">
        <v>3053</v>
      </c>
      <c r="B1712" s="9" t="s">
        <v>3054</v>
      </c>
      <c r="C1712" s="10" t="s">
        <v>719</v>
      </c>
    </row>
    <row r="1713" spans="1:3">
      <c r="A1713" s="8" t="s">
        <v>2833</v>
      </c>
      <c r="B1713" s="9" t="s">
        <v>2831</v>
      </c>
      <c r="C1713" s="10" t="s">
        <v>2832</v>
      </c>
    </row>
    <row r="1714" spans="1:3">
      <c r="A1714" s="8" t="s">
        <v>990</v>
      </c>
      <c r="B1714" s="9" t="s">
        <v>991</v>
      </c>
      <c r="C1714" s="10" t="s">
        <v>798</v>
      </c>
    </row>
    <row r="1715" spans="1:3">
      <c r="A1715" s="8" t="s">
        <v>744</v>
      </c>
      <c r="B1715" s="9" t="s">
        <v>745</v>
      </c>
      <c r="C1715" s="10" t="s">
        <v>746</v>
      </c>
    </row>
    <row r="1716" spans="1:3">
      <c r="A1716" s="8" t="s">
        <v>3894</v>
      </c>
      <c r="B1716" s="9" t="s">
        <v>3895</v>
      </c>
      <c r="C1716" s="10" t="s">
        <v>3896</v>
      </c>
    </row>
    <row r="1717" spans="1:3">
      <c r="A1717" s="8" t="s">
        <v>3878</v>
      </c>
      <c r="B1717" s="9" t="s">
        <v>3879</v>
      </c>
      <c r="C1717" s="10" t="s">
        <v>3880</v>
      </c>
    </row>
    <row r="1718" spans="1:3">
      <c r="A1718" s="8" t="s">
        <v>4583</v>
      </c>
      <c r="B1718" s="9" t="s">
        <v>4580</v>
      </c>
      <c r="C1718" s="10" t="s">
        <v>4581</v>
      </c>
    </row>
    <row r="1719" spans="1:3">
      <c r="A1719" s="8" t="s">
        <v>2738</v>
      </c>
      <c r="B1719" s="9" t="s">
        <v>2739</v>
      </c>
      <c r="C1719" s="10" t="s">
        <v>2740</v>
      </c>
    </row>
    <row r="1720" spans="1:3">
      <c r="A1720" s="8" t="s">
        <v>4593</v>
      </c>
      <c r="B1720" s="9" t="s">
        <v>4591</v>
      </c>
      <c r="C1720" s="10" t="s">
        <v>4592</v>
      </c>
    </row>
    <row r="1721" spans="1:3">
      <c r="A1721" s="8" t="s">
        <v>2537</v>
      </c>
      <c r="B1721" s="9" t="s">
        <v>2538</v>
      </c>
      <c r="C1721" s="10" t="s">
        <v>2539</v>
      </c>
    </row>
    <row r="1722" spans="1:3">
      <c r="A1722" s="8" t="s">
        <v>2610</v>
      </c>
      <c r="B1722" s="9" t="s">
        <v>2611</v>
      </c>
      <c r="C1722" s="10" t="s">
        <v>2612</v>
      </c>
    </row>
    <row r="1723" spans="1:3">
      <c r="A1723" s="8" t="s">
        <v>2735</v>
      </c>
      <c r="B1723" s="9" t="s">
        <v>2736</v>
      </c>
      <c r="C1723" s="10" t="s">
        <v>2737</v>
      </c>
    </row>
    <row r="1724" spans="1:3">
      <c r="A1724" s="8" t="s">
        <v>2642</v>
      </c>
      <c r="B1724" s="9" t="s">
        <v>2640</v>
      </c>
      <c r="C1724" s="10" t="s">
        <v>2641</v>
      </c>
    </row>
    <row r="1725" spans="1:3">
      <c r="A1725" s="8" t="s">
        <v>2726</v>
      </c>
      <c r="B1725" s="9" t="s">
        <v>2727</v>
      </c>
      <c r="C1725" s="10" t="s">
        <v>2728</v>
      </c>
    </row>
    <row r="1726" spans="1:3">
      <c r="A1726" s="8" t="s">
        <v>2723</v>
      </c>
      <c r="B1726" s="9" t="s">
        <v>2724</v>
      </c>
      <c r="C1726" s="10" t="s">
        <v>2725</v>
      </c>
    </row>
    <row r="1727" spans="1:3">
      <c r="A1727" s="8" t="s">
        <v>3891</v>
      </c>
      <c r="B1727" s="9" t="s">
        <v>3892</v>
      </c>
      <c r="C1727" s="10" t="s">
        <v>3893</v>
      </c>
    </row>
    <row r="1728" spans="1:3">
      <c r="A1728" s="8" t="s">
        <v>3143</v>
      </c>
      <c r="B1728" s="9" t="s">
        <v>3144</v>
      </c>
      <c r="C1728" s="10" t="s">
        <v>3145</v>
      </c>
    </row>
    <row r="1729" spans="1:3">
      <c r="A1729" s="8" t="s">
        <v>5652</v>
      </c>
      <c r="B1729" s="9" t="s">
        <v>5653</v>
      </c>
      <c r="C1729" s="10" t="s">
        <v>5654</v>
      </c>
    </row>
    <row r="1730" spans="1:3">
      <c r="A1730" s="8" t="s">
        <v>781</v>
      </c>
      <c r="B1730" s="9" t="s">
        <v>782</v>
      </c>
      <c r="C1730" s="10" t="s">
        <v>783</v>
      </c>
    </row>
    <row r="1731" spans="1:3">
      <c r="A1731" s="8" t="s">
        <v>3744</v>
      </c>
      <c r="B1731" s="9" t="s">
        <v>3745</v>
      </c>
      <c r="C1731" s="10" t="s">
        <v>3746</v>
      </c>
    </row>
    <row r="1732" spans="1:3">
      <c r="A1732" s="8" t="s">
        <v>170</v>
      </c>
      <c r="B1732" s="9" t="s">
        <v>171</v>
      </c>
      <c r="C1732" s="10" t="s">
        <v>719</v>
      </c>
    </row>
    <row r="1733" spans="1:3">
      <c r="A1733" s="8" t="s">
        <v>3322</v>
      </c>
      <c r="B1733" s="9" t="s">
        <v>3323</v>
      </c>
      <c r="C1733" s="10" t="s">
        <v>3324</v>
      </c>
    </row>
    <row r="1734" spans="1:3">
      <c r="A1734" s="8" t="s">
        <v>3775</v>
      </c>
      <c r="B1734" s="9" t="s">
        <v>3776</v>
      </c>
      <c r="C1734" s="10" t="s">
        <v>3777</v>
      </c>
    </row>
    <row r="1735" spans="1:3">
      <c r="A1735" s="8" t="s">
        <v>1486</v>
      </c>
      <c r="B1735" s="9" t="s">
        <v>1487</v>
      </c>
      <c r="C1735" s="10" t="s">
        <v>1488</v>
      </c>
    </row>
    <row r="1736" spans="1:3">
      <c r="A1736" s="8" t="s">
        <v>318</v>
      </c>
      <c r="B1736" s="9" t="s">
        <v>319</v>
      </c>
      <c r="C1736" s="10" t="s">
        <v>320</v>
      </c>
    </row>
    <row r="1737" spans="1:3">
      <c r="A1737" s="8" t="s">
        <v>324</v>
      </c>
      <c r="B1737" s="9" t="s">
        <v>325</v>
      </c>
      <c r="C1737" s="10" t="s">
        <v>326</v>
      </c>
    </row>
    <row r="1738" spans="1:3">
      <c r="A1738" s="8" t="s">
        <v>4388</v>
      </c>
      <c r="B1738" s="9" t="s">
        <v>4386</v>
      </c>
      <c r="C1738" s="10" t="s">
        <v>4387</v>
      </c>
    </row>
    <row r="1739" spans="1:3">
      <c r="A1739" s="8" t="s">
        <v>2266</v>
      </c>
      <c r="B1739" s="9" t="s">
        <v>2267</v>
      </c>
      <c r="C1739" s="10" t="s">
        <v>2268</v>
      </c>
    </row>
    <row r="1740" spans="1:3">
      <c r="A1740" s="8" t="s">
        <v>2269</v>
      </c>
      <c r="B1740" s="9" t="s">
        <v>2267</v>
      </c>
      <c r="C1740" s="10" t="s">
        <v>2268</v>
      </c>
    </row>
    <row r="1741" spans="1:3">
      <c r="A1741" s="8" t="s">
        <v>2838</v>
      </c>
      <c r="B1741" s="9" t="s">
        <v>2839</v>
      </c>
      <c r="C1741" s="10" t="s">
        <v>2840</v>
      </c>
    </row>
    <row r="1742" spans="1:3">
      <c r="A1742" s="8" t="s">
        <v>1686</v>
      </c>
      <c r="B1742" s="9" t="s">
        <v>1684</v>
      </c>
      <c r="C1742" s="10" t="s">
        <v>1684</v>
      </c>
    </row>
    <row r="1743" spans="1:3">
      <c r="A1743" s="8" t="s">
        <v>1623</v>
      </c>
      <c r="B1743" s="9" t="s">
        <v>1624</v>
      </c>
      <c r="C1743" s="10" t="s">
        <v>1625</v>
      </c>
    </row>
    <row r="1744" spans="1:3">
      <c r="A1744" s="8" t="s">
        <v>1697</v>
      </c>
      <c r="B1744" s="9" t="s">
        <v>1698</v>
      </c>
      <c r="C1744" s="10" t="s">
        <v>1699</v>
      </c>
    </row>
    <row r="1745" spans="1:3">
      <c r="A1745" s="8" t="s">
        <v>2905</v>
      </c>
      <c r="B1745" s="9" t="s">
        <v>2906</v>
      </c>
      <c r="C1745" s="10" t="s">
        <v>719</v>
      </c>
    </row>
    <row r="1746" spans="1:3">
      <c r="A1746" s="8" t="s">
        <v>2913</v>
      </c>
      <c r="B1746" s="9" t="s">
        <v>2914</v>
      </c>
      <c r="C1746" s="10" t="s">
        <v>2915</v>
      </c>
    </row>
    <row r="1747" spans="1:3">
      <c r="A1747" s="8" t="s">
        <v>2696</v>
      </c>
      <c r="B1747" s="9" t="s">
        <v>2697</v>
      </c>
      <c r="C1747" s="10" t="s">
        <v>2699</v>
      </c>
    </row>
    <row r="1748" spans="1:3">
      <c r="A1748" s="8" t="s">
        <v>918</v>
      </c>
      <c r="B1748" s="9" t="s">
        <v>916</v>
      </c>
      <c r="C1748" s="10" t="s">
        <v>917</v>
      </c>
    </row>
    <row r="1749" spans="1:3">
      <c r="A1749" s="8" t="s">
        <v>2042</v>
      </c>
      <c r="B1749" s="9" t="s">
        <v>2043</v>
      </c>
      <c r="C1749" s="10" t="s">
        <v>2044</v>
      </c>
    </row>
    <row r="1750" spans="1:3">
      <c r="A1750" s="8" t="s">
        <v>1430</v>
      </c>
      <c r="B1750" s="9" t="s">
        <v>1431</v>
      </c>
      <c r="C1750" s="10" t="s">
        <v>1432</v>
      </c>
    </row>
    <row r="1751" spans="1:3">
      <c r="A1751" s="8" t="s">
        <v>1659</v>
      </c>
      <c r="B1751" s="9" t="s">
        <v>1660</v>
      </c>
      <c r="C1751" s="10" t="s">
        <v>1661</v>
      </c>
    </row>
    <row r="1752" spans="1:3">
      <c r="A1752" s="8" t="s">
        <v>1662</v>
      </c>
      <c r="B1752" s="9" t="s">
        <v>1660</v>
      </c>
      <c r="C1752" s="10" t="s">
        <v>1661</v>
      </c>
    </row>
    <row r="1753" spans="1:3">
      <c r="A1753" s="8" t="s">
        <v>4149</v>
      </c>
      <c r="B1753" s="9" t="s">
        <v>4147</v>
      </c>
      <c r="C1753" s="10" t="s">
        <v>4148</v>
      </c>
    </row>
    <row r="1754" spans="1:3">
      <c r="A1754" s="8" t="s">
        <v>5251</v>
      </c>
      <c r="B1754" s="9" t="s">
        <v>5252</v>
      </c>
      <c r="C1754" s="10" t="s">
        <v>1787</v>
      </c>
    </row>
    <row r="1755" spans="1:3">
      <c r="A1755" s="8" t="s">
        <v>321</v>
      </c>
      <c r="B1755" s="9" t="s">
        <v>322</v>
      </c>
      <c r="C1755" s="10" t="s">
        <v>323</v>
      </c>
    </row>
    <row r="1756" spans="1:3">
      <c r="A1756" s="8" t="s">
        <v>2834</v>
      </c>
      <c r="B1756" s="9" t="s">
        <v>2835</v>
      </c>
      <c r="C1756" s="10" t="s">
        <v>2835</v>
      </c>
    </row>
    <row r="1757" spans="1:3">
      <c r="A1757" s="8" t="s">
        <v>2879</v>
      </c>
      <c r="B1757" s="9" t="s">
        <v>2880</v>
      </c>
      <c r="C1757" s="10" t="s">
        <v>719</v>
      </c>
    </row>
    <row r="1758" spans="1:3">
      <c r="A1758" s="8" t="s">
        <v>2761</v>
      </c>
      <c r="B1758" s="9" t="s">
        <v>2762</v>
      </c>
      <c r="C1758" s="10" t="s">
        <v>2763</v>
      </c>
    </row>
    <row r="1759" spans="1:3">
      <c r="A1759" s="8" t="s">
        <v>2847</v>
      </c>
      <c r="B1759" s="9" t="s">
        <v>2848</v>
      </c>
      <c r="C1759" s="10" t="s">
        <v>2848</v>
      </c>
    </row>
    <row r="1760" spans="1:3">
      <c r="A1760" s="8" t="s">
        <v>4409</v>
      </c>
      <c r="B1760" s="9" t="s">
        <v>4410</v>
      </c>
      <c r="C1760" s="10" t="s">
        <v>4411</v>
      </c>
    </row>
    <row r="1761" spans="1:3">
      <c r="A1761" s="8" t="s">
        <v>3155</v>
      </c>
      <c r="B1761" s="9" t="s">
        <v>3156</v>
      </c>
      <c r="C1761" s="10" t="s">
        <v>3157</v>
      </c>
    </row>
    <row r="1762" spans="1:3">
      <c r="A1762" s="8" t="s">
        <v>2793</v>
      </c>
      <c r="B1762" s="9" t="s">
        <v>2794</v>
      </c>
      <c r="C1762" s="10" t="s">
        <v>2795</v>
      </c>
    </row>
    <row r="1763" spans="1:3">
      <c r="A1763" s="8" t="s">
        <v>1394</v>
      </c>
      <c r="B1763" s="9" t="s">
        <v>1395</v>
      </c>
      <c r="C1763" s="10" t="s">
        <v>1396</v>
      </c>
    </row>
    <row r="1764" spans="1:3">
      <c r="A1764" s="8" t="s">
        <v>3428</v>
      </c>
      <c r="B1764" s="9" t="s">
        <v>3429</v>
      </c>
      <c r="C1764" s="10" t="s">
        <v>3430</v>
      </c>
    </row>
    <row r="1765" spans="1:3">
      <c r="A1765" s="8" t="s">
        <v>3221</v>
      </c>
      <c r="B1765" s="9" t="s">
        <v>3222</v>
      </c>
      <c r="C1765" s="10" t="s">
        <v>3223</v>
      </c>
    </row>
    <row r="1766" spans="1:3">
      <c r="A1766" s="8" t="s">
        <v>3224</v>
      </c>
      <c r="B1766" s="9" t="s">
        <v>3225</v>
      </c>
      <c r="C1766" s="10" t="s">
        <v>3226</v>
      </c>
    </row>
    <row r="1767" spans="1:3">
      <c r="A1767" s="8" t="s">
        <v>3170</v>
      </c>
      <c r="B1767" s="9" t="s">
        <v>3171</v>
      </c>
      <c r="C1767" s="10" t="s">
        <v>3172</v>
      </c>
    </row>
    <row r="1768" spans="1:3">
      <c r="A1768" s="8" t="s">
        <v>3757</v>
      </c>
      <c r="B1768" s="9" t="s">
        <v>3754</v>
      </c>
      <c r="C1768" s="10" t="s">
        <v>3755</v>
      </c>
    </row>
    <row r="1769" spans="1:3">
      <c r="A1769" s="8" t="s">
        <v>2810</v>
      </c>
      <c r="B1769" s="9" t="s">
        <v>2811</v>
      </c>
      <c r="C1769" s="10" t="s">
        <v>2812</v>
      </c>
    </row>
    <row r="1770" spans="1:3">
      <c r="A1770" s="8" t="s">
        <v>2813</v>
      </c>
      <c r="B1770" s="9" t="s">
        <v>2814</v>
      </c>
      <c r="C1770" s="10" t="s">
        <v>2815</v>
      </c>
    </row>
    <row r="1771" spans="1:3">
      <c r="A1771" s="8" t="s">
        <v>3689</v>
      </c>
      <c r="B1771" s="9" t="s">
        <v>3690</v>
      </c>
      <c r="C1771" s="10" t="s">
        <v>3691</v>
      </c>
    </row>
    <row r="1772" spans="1:3">
      <c r="A1772" s="8" t="s">
        <v>2824</v>
      </c>
      <c r="B1772" s="9" t="s">
        <v>2825</v>
      </c>
      <c r="C1772" s="10" t="s">
        <v>2826</v>
      </c>
    </row>
    <row r="1773" spans="1:3">
      <c r="A1773" s="8" t="s">
        <v>2816</v>
      </c>
      <c r="B1773" s="9" t="s">
        <v>2817</v>
      </c>
      <c r="C1773" s="10" t="s">
        <v>2809</v>
      </c>
    </row>
    <row r="1774" spans="1:3">
      <c r="A1774" s="8" t="s">
        <v>2807</v>
      </c>
      <c r="B1774" s="9" t="s">
        <v>2808</v>
      </c>
      <c r="C1774" s="10" t="s">
        <v>2809</v>
      </c>
    </row>
    <row r="1775" spans="1:3">
      <c r="A1775" s="8" t="s">
        <v>4418</v>
      </c>
      <c r="B1775" s="9" t="s">
        <v>4419</v>
      </c>
      <c r="C1775" s="10" t="s">
        <v>719</v>
      </c>
    </row>
    <row r="1776" spans="1:3">
      <c r="A1776" s="8" t="s">
        <v>2890</v>
      </c>
      <c r="B1776" s="9" t="s">
        <v>2891</v>
      </c>
      <c r="C1776" s="10" t="s">
        <v>2892</v>
      </c>
    </row>
    <row r="1777" spans="1:3">
      <c r="A1777" s="8" t="s">
        <v>3252</v>
      </c>
      <c r="B1777" s="9" t="s">
        <v>3253</v>
      </c>
      <c r="C1777" s="10" t="s">
        <v>3245</v>
      </c>
    </row>
    <row r="1778" spans="1:3">
      <c r="A1778" s="8" t="s">
        <v>5474</v>
      </c>
      <c r="B1778" s="9" t="s">
        <v>5470</v>
      </c>
      <c r="C1778" s="10" t="s">
        <v>719</v>
      </c>
    </row>
    <row r="1779" spans="1:3">
      <c r="A1779" s="8" t="s">
        <v>98</v>
      </c>
      <c r="B1779" s="9" t="s">
        <v>99</v>
      </c>
      <c r="C1779" s="10" t="s">
        <v>719</v>
      </c>
    </row>
    <row r="1780" spans="1:3">
      <c r="A1780" s="8" t="s">
        <v>103</v>
      </c>
      <c r="B1780" s="9" t="s">
        <v>104</v>
      </c>
      <c r="C1780" s="10" t="s">
        <v>105</v>
      </c>
    </row>
    <row r="1781" spans="1:3">
      <c r="A1781" s="8" t="s">
        <v>5053</v>
      </c>
      <c r="B1781" s="9" t="s">
        <v>5051</v>
      </c>
      <c r="C1781" s="10" t="s">
        <v>5052</v>
      </c>
    </row>
    <row r="1782" spans="1:3">
      <c r="A1782" s="8" t="s">
        <v>3137</v>
      </c>
      <c r="B1782" s="9" t="s">
        <v>3138</v>
      </c>
      <c r="C1782" s="10" t="s">
        <v>3139</v>
      </c>
    </row>
    <row r="1783" spans="1:3">
      <c r="A1783" s="8" t="s">
        <v>5011</v>
      </c>
      <c r="B1783" s="9" t="s">
        <v>5012</v>
      </c>
      <c r="C1783" s="10" t="s">
        <v>5013</v>
      </c>
    </row>
    <row r="1784" spans="1:3">
      <c r="A1784" s="8" t="s">
        <v>5658</v>
      </c>
      <c r="B1784" s="9" t="s">
        <v>5659</v>
      </c>
      <c r="C1784" s="10" t="s">
        <v>5660</v>
      </c>
    </row>
    <row r="1785" spans="1:3">
      <c r="A1785" s="8" t="s">
        <v>3390</v>
      </c>
      <c r="B1785" s="9" t="s">
        <v>3391</v>
      </c>
      <c r="C1785" s="10" t="s">
        <v>3392</v>
      </c>
    </row>
    <row r="1786" spans="1:3">
      <c r="A1786" s="8" t="s">
        <v>4727</v>
      </c>
      <c r="B1786" s="9" t="s">
        <v>4728</v>
      </c>
      <c r="C1786" s="10" t="s">
        <v>4729</v>
      </c>
    </row>
    <row r="1787" spans="1:3">
      <c r="A1787" s="8" t="s">
        <v>3243</v>
      </c>
      <c r="B1787" s="9" t="s">
        <v>3244</v>
      </c>
      <c r="C1787" s="10" t="s">
        <v>3245</v>
      </c>
    </row>
    <row r="1788" spans="1:3">
      <c r="A1788" s="8" t="s">
        <v>4840</v>
      </c>
      <c r="B1788" s="9" t="s">
        <v>4841</v>
      </c>
      <c r="C1788" s="10" t="s">
        <v>4842</v>
      </c>
    </row>
    <row r="1789" spans="1:3">
      <c r="A1789" s="8" t="s">
        <v>3850</v>
      </c>
      <c r="B1789" s="9" t="s">
        <v>3848</v>
      </c>
      <c r="C1789" s="10" t="s">
        <v>3849</v>
      </c>
    </row>
    <row r="1790" spans="1:3">
      <c r="A1790" s="8" t="s">
        <v>3176</v>
      </c>
      <c r="B1790" s="9" t="s">
        <v>3177</v>
      </c>
      <c r="C1790" s="10" t="s">
        <v>3178</v>
      </c>
    </row>
    <row r="1791" spans="1:3">
      <c r="A1791" s="8" t="s">
        <v>4980</v>
      </c>
      <c r="B1791" s="9" t="s">
        <v>4978</v>
      </c>
      <c r="C1791" s="10" t="s">
        <v>4979</v>
      </c>
    </row>
    <row r="1792" spans="1:3">
      <c r="A1792" s="8" t="s">
        <v>4981</v>
      </c>
      <c r="B1792" s="9" t="s">
        <v>4978</v>
      </c>
      <c r="C1792" s="10" t="s">
        <v>4979</v>
      </c>
    </row>
    <row r="1793" spans="1:3">
      <c r="A1793" s="8" t="s">
        <v>2438</v>
      </c>
      <c r="B1793" s="9" t="s">
        <v>2439</v>
      </c>
      <c r="C1793" s="10" t="s">
        <v>2440</v>
      </c>
    </row>
    <row r="1794" spans="1:3">
      <c r="A1794" s="8" t="s">
        <v>1119</v>
      </c>
      <c r="B1794" s="9" t="s">
        <v>1117</v>
      </c>
      <c r="C1794" s="10" t="s">
        <v>1118</v>
      </c>
    </row>
    <row r="1795" spans="1:3">
      <c r="A1795" s="8" t="s">
        <v>2876</v>
      </c>
      <c r="B1795" s="9" t="s">
        <v>2877</v>
      </c>
      <c r="C1795" s="10" t="s">
        <v>2878</v>
      </c>
    </row>
    <row r="1796" spans="1:3">
      <c r="A1796" s="8" t="s">
        <v>2572</v>
      </c>
      <c r="B1796" s="9" t="s">
        <v>2573</v>
      </c>
      <c r="C1796" s="10" t="s">
        <v>2574</v>
      </c>
    </row>
    <row r="1797" spans="1:3">
      <c r="A1797" s="8" t="s">
        <v>3196</v>
      </c>
      <c r="B1797" s="9" t="s">
        <v>3197</v>
      </c>
      <c r="C1797" s="10" t="s">
        <v>3198</v>
      </c>
    </row>
    <row r="1798" spans="1:3">
      <c r="A1798" s="8" t="s">
        <v>4774</v>
      </c>
      <c r="B1798" s="9" t="s">
        <v>4775</v>
      </c>
      <c r="C1798" s="10" t="s">
        <v>4776</v>
      </c>
    </row>
    <row r="1799" spans="1:3">
      <c r="A1799" s="8" t="s">
        <v>2707</v>
      </c>
      <c r="B1799" s="9" t="s">
        <v>2708</v>
      </c>
      <c r="C1799" s="10" t="s">
        <v>2709</v>
      </c>
    </row>
    <row r="1800" spans="1:3">
      <c r="A1800" s="8" t="s">
        <v>3695</v>
      </c>
      <c r="B1800" s="9" t="s">
        <v>3696</v>
      </c>
      <c r="C1800" s="10" t="s">
        <v>3697</v>
      </c>
    </row>
    <row r="1801" spans="1:3">
      <c r="A1801" s="8" t="s">
        <v>3237</v>
      </c>
      <c r="B1801" s="9" t="s">
        <v>3238</v>
      </c>
      <c r="C1801" s="10" t="s">
        <v>3239</v>
      </c>
    </row>
    <row r="1802" spans="1:3">
      <c r="A1802" s="8" t="s">
        <v>3152</v>
      </c>
      <c r="B1802" s="9" t="s">
        <v>3153</v>
      </c>
      <c r="C1802" s="10" t="s">
        <v>3154</v>
      </c>
    </row>
    <row r="1803" spans="1:3">
      <c r="A1803" s="8" t="s">
        <v>3387</v>
      </c>
      <c r="B1803" s="9" t="s">
        <v>3388</v>
      </c>
      <c r="C1803" s="10" t="s">
        <v>3389</v>
      </c>
    </row>
    <row r="1804" spans="1:3">
      <c r="A1804" s="8" t="s">
        <v>4737</v>
      </c>
      <c r="B1804" s="9" t="s">
        <v>4738</v>
      </c>
      <c r="C1804" s="10" t="s">
        <v>4739</v>
      </c>
    </row>
    <row r="1805" spans="1:3">
      <c r="A1805" s="8" t="s">
        <v>2869</v>
      </c>
      <c r="B1805" s="9" t="s">
        <v>2870</v>
      </c>
      <c r="C1805" s="10" t="s">
        <v>2871</v>
      </c>
    </row>
    <row r="1806" spans="1:3">
      <c r="A1806" s="8" t="s">
        <v>2592</v>
      </c>
      <c r="B1806" s="9" t="s">
        <v>2593</v>
      </c>
      <c r="C1806" s="10" t="s">
        <v>719</v>
      </c>
    </row>
    <row r="1807" spans="1:3">
      <c r="A1807" s="8" t="s">
        <v>2580</v>
      </c>
      <c r="B1807" s="9" t="s">
        <v>2581</v>
      </c>
      <c r="C1807" s="10" t="s">
        <v>2582</v>
      </c>
    </row>
    <row r="1808" spans="1:3">
      <c r="A1808" s="8" t="s">
        <v>2499</v>
      </c>
      <c r="B1808" s="9" t="s">
        <v>2500</v>
      </c>
      <c r="C1808" s="10" t="s">
        <v>2501</v>
      </c>
    </row>
    <row r="1809" spans="1:3">
      <c r="A1809" s="8" t="s">
        <v>2472</v>
      </c>
      <c r="B1809" s="9" t="s">
        <v>2473</v>
      </c>
      <c r="C1809" s="10" t="s">
        <v>2474</v>
      </c>
    </row>
    <row r="1810" spans="1:3">
      <c r="A1810" s="8" t="s">
        <v>2507</v>
      </c>
      <c r="B1810" s="9" t="s">
        <v>2508</v>
      </c>
      <c r="C1810" s="10" t="s">
        <v>2509</v>
      </c>
    </row>
    <row r="1811" spans="1:3">
      <c r="A1811" s="8" t="s">
        <v>5060</v>
      </c>
      <c r="B1811" s="9" t="s">
        <v>5061</v>
      </c>
      <c r="C1811" s="10" t="s">
        <v>5062</v>
      </c>
    </row>
    <row r="1812" spans="1:3">
      <c r="A1812" s="8" t="s">
        <v>1837</v>
      </c>
      <c r="B1812" s="9" t="s">
        <v>1838</v>
      </c>
      <c r="C1812" s="10" t="s">
        <v>719</v>
      </c>
    </row>
    <row r="1813" spans="1:3">
      <c r="A1813" s="8" t="s">
        <v>814</v>
      </c>
      <c r="B1813" s="9" t="s">
        <v>812</v>
      </c>
      <c r="C1813" s="10" t="s">
        <v>813</v>
      </c>
    </row>
    <row r="1814" spans="1:3">
      <c r="A1814" s="8" t="s">
        <v>2483</v>
      </c>
      <c r="B1814" s="9" t="s">
        <v>2481</v>
      </c>
      <c r="C1814" s="10" t="s">
        <v>2482</v>
      </c>
    </row>
    <row r="1815" spans="1:3">
      <c r="A1815" s="8" t="s">
        <v>307</v>
      </c>
      <c r="B1815" s="9" t="s">
        <v>306</v>
      </c>
      <c r="C1815" s="10" t="s">
        <v>719</v>
      </c>
    </row>
    <row r="1816" spans="1:3">
      <c r="A1816" s="8" t="s">
        <v>3552</v>
      </c>
      <c r="B1816" s="9" t="s">
        <v>3551</v>
      </c>
      <c r="C1816" s="10" t="s">
        <v>3551</v>
      </c>
    </row>
    <row r="1817" spans="1:3">
      <c r="A1817" s="8" t="s">
        <v>4040</v>
      </c>
      <c r="B1817" s="9" t="s">
        <v>4041</v>
      </c>
      <c r="C1817" s="10" t="s">
        <v>719</v>
      </c>
    </row>
    <row r="1818" spans="1:3">
      <c r="A1818" s="8" t="s">
        <v>4015</v>
      </c>
      <c r="B1818" s="9" t="s">
        <v>4016</v>
      </c>
      <c r="C1818" s="10" t="s">
        <v>4017</v>
      </c>
    </row>
    <row r="1819" spans="1:3">
      <c r="A1819" s="8" t="s">
        <v>4021</v>
      </c>
      <c r="B1819" s="9" t="s">
        <v>4019</v>
      </c>
      <c r="C1819" s="10" t="s">
        <v>4020</v>
      </c>
    </row>
    <row r="1820" spans="1:3">
      <c r="A1820" s="8" t="s">
        <v>1109</v>
      </c>
      <c r="B1820" s="9" t="s">
        <v>1110</v>
      </c>
      <c r="C1820" s="10" t="s">
        <v>1111</v>
      </c>
    </row>
    <row r="1821" spans="1:3">
      <c r="A1821" s="8" t="s">
        <v>4249</v>
      </c>
      <c r="B1821" s="9" t="s">
        <v>4250</v>
      </c>
      <c r="C1821" s="10" t="s">
        <v>4251</v>
      </c>
    </row>
    <row r="1822" spans="1:3">
      <c r="A1822" s="8" t="s">
        <v>5100</v>
      </c>
      <c r="B1822" s="9" t="s">
        <v>5101</v>
      </c>
      <c r="C1822" s="10" t="s">
        <v>5102</v>
      </c>
    </row>
    <row r="1823" spans="1:3">
      <c r="A1823" s="8" t="s">
        <v>2187</v>
      </c>
      <c r="B1823" s="9" t="s">
        <v>2188</v>
      </c>
      <c r="C1823" s="10" t="s">
        <v>2189</v>
      </c>
    </row>
    <row r="1824" spans="1:3">
      <c r="A1824" s="8" t="s">
        <v>2231</v>
      </c>
      <c r="B1824" s="9" t="s">
        <v>2229</v>
      </c>
      <c r="C1824" s="10" t="s">
        <v>2230</v>
      </c>
    </row>
    <row r="1825" spans="1:3">
      <c r="A1825" s="8" t="s">
        <v>2170</v>
      </c>
      <c r="B1825" s="9" t="s">
        <v>2171</v>
      </c>
      <c r="C1825" s="10" t="s">
        <v>2172</v>
      </c>
    </row>
    <row r="1826" spans="1:3">
      <c r="A1826" s="8" t="s">
        <v>908</v>
      </c>
      <c r="B1826" s="9" t="s">
        <v>909</v>
      </c>
      <c r="C1826" s="10" t="s">
        <v>910</v>
      </c>
    </row>
    <row r="1827" spans="1:3">
      <c r="A1827" s="8" t="s">
        <v>908</v>
      </c>
      <c r="B1827" s="9" t="s">
        <v>909</v>
      </c>
      <c r="C1827" s="10" t="s">
        <v>910</v>
      </c>
    </row>
    <row r="1828" spans="1:3">
      <c r="A1828" s="8" t="s">
        <v>2984</v>
      </c>
      <c r="B1828" s="9" t="s">
        <v>2985</v>
      </c>
      <c r="C1828" s="10" t="s">
        <v>2986</v>
      </c>
    </row>
    <row r="1829" spans="1:3">
      <c r="A1829" s="8" t="s">
        <v>2784</v>
      </c>
      <c r="B1829" s="9" t="s">
        <v>2785</v>
      </c>
      <c r="C1829" s="10" t="s">
        <v>2786</v>
      </c>
    </row>
    <row r="1830" spans="1:3">
      <c r="A1830" s="8" t="s">
        <v>4203</v>
      </c>
      <c r="B1830" s="9" t="s">
        <v>4204</v>
      </c>
      <c r="C1830" s="10" t="s">
        <v>4205</v>
      </c>
    </row>
    <row r="1831" spans="1:3">
      <c r="A1831" s="8" t="s">
        <v>619</v>
      </c>
      <c r="B1831" s="9" t="s">
        <v>615</v>
      </c>
      <c r="C1831" s="10" t="s">
        <v>616</v>
      </c>
    </row>
    <row r="1832" spans="1:3">
      <c r="A1832" s="8" t="s">
        <v>2632</v>
      </c>
      <c r="B1832" s="9" t="s">
        <v>2631</v>
      </c>
      <c r="C1832" s="10" t="s">
        <v>2530</v>
      </c>
    </row>
    <row r="1833" spans="1:3">
      <c r="A1833" s="8" t="s">
        <v>4724</v>
      </c>
      <c r="B1833" s="9" t="s">
        <v>4725</v>
      </c>
      <c r="C1833" s="10" t="s">
        <v>4726</v>
      </c>
    </row>
    <row r="1834" spans="1:3">
      <c r="A1834" s="8" t="s">
        <v>299</v>
      </c>
      <c r="B1834" s="9" t="s">
        <v>297</v>
      </c>
      <c r="C1834" s="10" t="s">
        <v>719</v>
      </c>
    </row>
    <row r="1835" spans="1:3">
      <c r="A1835" s="8" t="s">
        <v>4391</v>
      </c>
      <c r="B1835" s="9" t="s">
        <v>4392</v>
      </c>
      <c r="C1835" s="10" t="s">
        <v>4393</v>
      </c>
    </row>
    <row r="1836" spans="1:3">
      <c r="A1836" s="8" t="s">
        <v>2348</v>
      </c>
      <c r="B1836" s="9" t="s">
        <v>2349</v>
      </c>
      <c r="C1836" s="10" t="s">
        <v>2350</v>
      </c>
    </row>
    <row r="1837" spans="1:3">
      <c r="A1837" s="8" t="s">
        <v>2430</v>
      </c>
      <c r="B1837" s="9" t="s">
        <v>2431</v>
      </c>
      <c r="C1837" s="10" t="s">
        <v>2432</v>
      </c>
    </row>
    <row r="1838" spans="1:3">
      <c r="A1838" s="8" t="s">
        <v>1379</v>
      </c>
      <c r="B1838" s="9" t="s">
        <v>1377</v>
      </c>
      <c r="C1838" s="10" t="s">
        <v>1378</v>
      </c>
    </row>
    <row r="1839" spans="1:3">
      <c r="A1839" s="8" t="s">
        <v>1368</v>
      </c>
      <c r="B1839" s="9" t="s">
        <v>1369</v>
      </c>
      <c r="C1839" s="10" t="s">
        <v>1370</v>
      </c>
    </row>
    <row r="1840" spans="1:3">
      <c r="A1840" s="8" t="s">
        <v>151</v>
      </c>
      <c r="B1840" s="9" t="s">
        <v>152</v>
      </c>
      <c r="C1840" s="10" t="s">
        <v>152</v>
      </c>
    </row>
    <row r="1841" spans="1:3">
      <c r="A1841" s="8" t="s">
        <v>4517</v>
      </c>
      <c r="B1841" s="9" t="s">
        <v>4515</v>
      </c>
      <c r="C1841" s="10" t="s">
        <v>719</v>
      </c>
    </row>
    <row r="1842" spans="1:3">
      <c r="A1842" s="8" t="s">
        <v>3056</v>
      </c>
      <c r="B1842" s="9" t="s">
        <v>3057</v>
      </c>
      <c r="C1842" s="10" t="s">
        <v>3058</v>
      </c>
    </row>
    <row r="1843" spans="1:3">
      <c r="A1843" s="8" t="s">
        <v>620</v>
      </c>
      <c r="B1843" s="9" t="s">
        <v>615</v>
      </c>
      <c r="C1843" s="10" t="s">
        <v>616</v>
      </c>
    </row>
    <row r="1844" spans="1:3">
      <c r="A1844" s="8" t="s">
        <v>605</v>
      </c>
      <c r="B1844" s="9" t="s">
        <v>606</v>
      </c>
      <c r="C1844" s="10" t="s">
        <v>607</v>
      </c>
    </row>
    <row r="1845" spans="1:3">
      <c r="A1845" s="8" t="s">
        <v>599</v>
      </c>
      <c r="B1845" s="9" t="s">
        <v>600</v>
      </c>
      <c r="C1845" s="10" t="s">
        <v>435</v>
      </c>
    </row>
    <row r="1846" spans="1:3">
      <c r="A1846" s="8" t="s">
        <v>277</v>
      </c>
      <c r="B1846" s="9" t="s">
        <v>275</v>
      </c>
      <c r="C1846" s="10" t="s">
        <v>276</v>
      </c>
    </row>
    <row r="1847" spans="1:3">
      <c r="A1847" s="8" t="s">
        <v>332</v>
      </c>
      <c r="B1847" s="9" t="s">
        <v>333</v>
      </c>
      <c r="C1847" s="10" t="s">
        <v>334</v>
      </c>
    </row>
    <row r="1848" spans="1:3">
      <c r="A1848" s="8" t="s">
        <v>1380</v>
      </c>
      <c r="B1848" s="9" t="s">
        <v>1377</v>
      </c>
      <c r="C1848" s="10" t="s">
        <v>1378</v>
      </c>
    </row>
    <row r="1849" spans="1:3">
      <c r="A1849" s="8" t="s">
        <v>3858</v>
      </c>
      <c r="B1849" s="9" t="s">
        <v>3859</v>
      </c>
      <c r="C1849" s="10" t="s">
        <v>719</v>
      </c>
    </row>
    <row r="1850" spans="1:3">
      <c r="A1850" s="8" t="s">
        <v>1788</v>
      </c>
      <c r="B1850" s="9" t="s">
        <v>1789</v>
      </c>
      <c r="C1850" s="10" t="s">
        <v>1790</v>
      </c>
    </row>
    <row r="1851" spans="1:3">
      <c r="A1851" s="8" t="s">
        <v>2237</v>
      </c>
      <c r="B1851" s="9" t="s">
        <v>2233</v>
      </c>
      <c r="C1851" s="10" t="s">
        <v>719</v>
      </c>
    </row>
    <row r="1852" spans="1:3">
      <c r="A1852" s="8" t="s">
        <v>2799</v>
      </c>
      <c r="B1852" s="9" t="s">
        <v>2800</v>
      </c>
      <c r="C1852" s="10" t="s">
        <v>2801</v>
      </c>
    </row>
    <row r="1853" spans="1:3">
      <c r="A1853" s="8" t="s">
        <v>3726</v>
      </c>
      <c r="B1853" s="9" t="s">
        <v>3727</v>
      </c>
      <c r="C1853" s="10" t="s">
        <v>3655</v>
      </c>
    </row>
    <row r="1854" spans="1:3">
      <c r="A1854" s="8" t="s">
        <v>3731</v>
      </c>
      <c r="B1854" s="9" t="s">
        <v>3732</v>
      </c>
      <c r="C1854" s="10" t="s">
        <v>3733</v>
      </c>
    </row>
    <row r="1855" spans="1:3">
      <c r="A1855" s="8" t="s">
        <v>1670</v>
      </c>
      <c r="B1855" s="9" t="s">
        <v>1669</v>
      </c>
      <c r="C1855" s="10" t="s">
        <v>1661</v>
      </c>
    </row>
    <row r="1856" spans="1:3">
      <c r="A1856" s="8" t="s">
        <v>1794</v>
      </c>
      <c r="B1856" s="9" t="s">
        <v>1795</v>
      </c>
      <c r="C1856" s="10" t="s">
        <v>1796</v>
      </c>
    </row>
    <row r="1857" spans="1:3">
      <c r="A1857" s="8" t="s">
        <v>2805</v>
      </c>
      <c r="B1857" s="9" t="s">
        <v>2806</v>
      </c>
      <c r="C1857" s="10" t="s">
        <v>719</v>
      </c>
    </row>
    <row r="1858" spans="1:3">
      <c r="A1858" s="8" t="s">
        <v>5637</v>
      </c>
      <c r="B1858" s="9" t="s">
        <v>5638</v>
      </c>
      <c r="C1858" s="10" t="s">
        <v>5639</v>
      </c>
    </row>
    <row r="1859" spans="1:3">
      <c r="A1859" s="8" t="s">
        <v>2821</v>
      </c>
      <c r="B1859" s="9" t="s">
        <v>2822</v>
      </c>
      <c r="C1859" s="10" t="s">
        <v>2823</v>
      </c>
    </row>
    <row r="1860" spans="1:3">
      <c r="A1860" s="8" t="s">
        <v>1346</v>
      </c>
      <c r="B1860" s="9" t="s">
        <v>1347</v>
      </c>
      <c r="C1860" s="10" t="s">
        <v>1348</v>
      </c>
    </row>
    <row r="1861" spans="1:3">
      <c r="A1861" s="8" t="s">
        <v>1549</v>
      </c>
      <c r="B1861" s="9" t="s">
        <v>1550</v>
      </c>
      <c r="C1861" s="10" t="s">
        <v>1551</v>
      </c>
    </row>
    <row r="1862" spans="1:3">
      <c r="A1862" s="8" t="s">
        <v>1738</v>
      </c>
      <c r="B1862" s="9" t="s">
        <v>1739</v>
      </c>
      <c r="C1862" s="10" t="s">
        <v>1740</v>
      </c>
    </row>
    <row r="1863" spans="1:3">
      <c r="A1863" s="8" t="s">
        <v>1744</v>
      </c>
      <c r="B1863" s="9" t="s">
        <v>1745</v>
      </c>
      <c r="C1863" s="10" t="s">
        <v>1746</v>
      </c>
    </row>
    <row r="1864" spans="1:3">
      <c r="A1864" s="8" t="s">
        <v>1760</v>
      </c>
      <c r="B1864" s="9" t="s">
        <v>1761</v>
      </c>
      <c r="C1864" s="10" t="s">
        <v>1762</v>
      </c>
    </row>
    <row r="1865" spans="1:3">
      <c r="A1865" s="8" t="s">
        <v>5879</v>
      </c>
      <c r="B1865" s="9" t="e">
        <v>#N/A</v>
      </c>
      <c r="C1865" s="10" t="e">
        <v>#N/A</v>
      </c>
    </row>
    <row r="1866" spans="1:3">
      <c r="A1866" s="8" t="s">
        <v>3939</v>
      </c>
      <c r="B1866" s="9" t="s">
        <v>3940</v>
      </c>
      <c r="C1866" s="10" t="s">
        <v>3941</v>
      </c>
    </row>
    <row r="1867" spans="1:3">
      <c r="A1867" s="8" t="s">
        <v>3951</v>
      </c>
      <c r="B1867" s="9" t="s">
        <v>3952</v>
      </c>
      <c r="C1867" s="10" t="s">
        <v>3953</v>
      </c>
    </row>
    <row r="1868" spans="1:3">
      <c r="A1868" s="8" t="s">
        <v>4111</v>
      </c>
      <c r="B1868" s="9" t="s">
        <v>4107</v>
      </c>
      <c r="C1868" s="10" t="s">
        <v>4108</v>
      </c>
    </row>
    <row r="1869" spans="1:3">
      <c r="A1869" s="8" t="s">
        <v>3711</v>
      </c>
      <c r="B1869" s="9" t="s">
        <v>3712</v>
      </c>
      <c r="C1869" s="10" t="s">
        <v>3713</v>
      </c>
    </row>
    <row r="1870" spans="1:3">
      <c r="A1870" s="8" t="s">
        <v>4280</v>
      </c>
      <c r="B1870" s="9" t="s">
        <v>4281</v>
      </c>
      <c r="C1870" s="10" t="s">
        <v>4282</v>
      </c>
    </row>
    <row r="1871" spans="1:3">
      <c r="A1871" s="8" t="s">
        <v>1639</v>
      </c>
      <c r="B1871" s="9" t="s">
        <v>1640</v>
      </c>
      <c r="C1871" s="10" t="s">
        <v>719</v>
      </c>
    </row>
    <row r="1872" spans="1:3">
      <c r="A1872" s="8" t="s">
        <v>1639</v>
      </c>
      <c r="B1872" s="9" t="s">
        <v>1640</v>
      </c>
      <c r="C1872" s="10" t="s">
        <v>719</v>
      </c>
    </row>
    <row r="1873" spans="1:3">
      <c r="A1873" s="8" t="s">
        <v>1632</v>
      </c>
      <c r="B1873" s="9" t="s">
        <v>1633</v>
      </c>
      <c r="C1873" s="10" t="s">
        <v>1634</v>
      </c>
    </row>
    <row r="1874" spans="1:3">
      <c r="A1874" s="8" t="s">
        <v>3214</v>
      </c>
      <c r="B1874" s="9" t="s">
        <v>3215</v>
      </c>
      <c r="C1874" s="10" t="s">
        <v>3216</v>
      </c>
    </row>
    <row r="1875" spans="1:3">
      <c r="A1875" s="8" t="s">
        <v>1462</v>
      </c>
      <c r="B1875" s="9" t="s">
        <v>1463</v>
      </c>
      <c r="C1875" s="10" t="s">
        <v>1464</v>
      </c>
    </row>
    <row r="1876" spans="1:3">
      <c r="A1876" s="8" t="s">
        <v>3106</v>
      </c>
      <c r="B1876" s="9" t="s">
        <v>3107</v>
      </c>
      <c r="C1876" s="10" t="s">
        <v>3108</v>
      </c>
    </row>
    <row r="1877" spans="1:3">
      <c r="A1877" s="8" t="s">
        <v>3113</v>
      </c>
      <c r="B1877" s="9" t="s">
        <v>3114</v>
      </c>
      <c r="C1877" s="10" t="s">
        <v>3115</v>
      </c>
    </row>
    <row r="1878" spans="1:3">
      <c r="A1878" s="8" t="s">
        <v>3129</v>
      </c>
      <c r="B1878" s="9" t="s">
        <v>3130</v>
      </c>
      <c r="C1878" s="10" t="s">
        <v>3131</v>
      </c>
    </row>
    <row r="1879" spans="1:3">
      <c r="A1879" s="8" t="s">
        <v>3126</v>
      </c>
      <c r="B1879" s="9" t="s">
        <v>3127</v>
      </c>
      <c r="C1879" s="10" t="s">
        <v>3128</v>
      </c>
    </row>
    <row r="1880" spans="1:3">
      <c r="A1880" s="8" t="s">
        <v>3116</v>
      </c>
      <c r="B1880" s="9" t="s">
        <v>3117</v>
      </c>
      <c r="C1880" s="10" t="s">
        <v>3118</v>
      </c>
    </row>
    <row r="1881" spans="1:3">
      <c r="A1881" s="8" t="s">
        <v>815</v>
      </c>
      <c r="B1881" s="9" t="s">
        <v>812</v>
      </c>
      <c r="C1881" s="10" t="s">
        <v>813</v>
      </c>
    </row>
    <row r="1882" spans="1:3">
      <c r="A1882" s="8" t="s">
        <v>3121</v>
      </c>
      <c r="B1882" s="9" t="s">
        <v>3122</v>
      </c>
      <c r="C1882" s="10" t="s">
        <v>3123</v>
      </c>
    </row>
    <row r="1883" spans="1:3">
      <c r="A1883" s="8" t="s">
        <v>2514</v>
      </c>
      <c r="B1883" s="9" t="s">
        <v>2515</v>
      </c>
      <c r="C1883" s="10" t="s">
        <v>2516</v>
      </c>
    </row>
    <row r="1884" spans="1:3">
      <c r="A1884" s="8" t="s">
        <v>840</v>
      </c>
      <c r="B1884" s="9" t="s">
        <v>841</v>
      </c>
      <c r="C1884" s="10" t="s">
        <v>719</v>
      </c>
    </row>
    <row r="1885" spans="1:3">
      <c r="A1885" s="8" t="s">
        <v>5094</v>
      </c>
      <c r="B1885" s="9" t="s">
        <v>5095</v>
      </c>
      <c r="C1885" s="10" t="s">
        <v>5096</v>
      </c>
    </row>
    <row r="1886" spans="1:3">
      <c r="A1886" s="8" t="s">
        <v>5117</v>
      </c>
      <c r="B1886" s="9" t="s">
        <v>5118</v>
      </c>
      <c r="C1886" s="10" t="s">
        <v>5119</v>
      </c>
    </row>
    <row r="1887" spans="1:3">
      <c r="A1887" s="8" t="s">
        <v>5138</v>
      </c>
      <c r="B1887" s="9" t="s">
        <v>5139</v>
      </c>
      <c r="C1887" s="10" t="s">
        <v>5140</v>
      </c>
    </row>
    <row r="1888" spans="1:3">
      <c r="A1888" s="8" t="s">
        <v>3617</v>
      </c>
      <c r="B1888" s="9" t="s">
        <v>3618</v>
      </c>
      <c r="C1888" s="10" t="s">
        <v>3619</v>
      </c>
    </row>
    <row r="1889" spans="1:3">
      <c r="A1889" s="8" t="s">
        <v>3454</v>
      </c>
      <c r="B1889" s="9" t="s">
        <v>3455</v>
      </c>
      <c r="C1889" s="10" t="s">
        <v>3456</v>
      </c>
    </row>
    <row r="1890" spans="1:3">
      <c r="A1890" s="8" t="s">
        <v>851</v>
      </c>
      <c r="B1890" s="9" t="s">
        <v>849</v>
      </c>
      <c r="C1890" s="10" t="s">
        <v>850</v>
      </c>
    </row>
    <row r="1891" spans="1:3">
      <c r="A1891" s="8" t="s">
        <v>717</v>
      </c>
      <c r="B1891" s="9" t="s">
        <v>718</v>
      </c>
      <c r="C1891" s="10" t="s">
        <v>719</v>
      </c>
    </row>
    <row r="1892" spans="1:3">
      <c r="A1892" s="8" t="s">
        <v>842</v>
      </c>
      <c r="B1892" s="9" t="s">
        <v>841</v>
      </c>
      <c r="C1892" s="10" t="s">
        <v>719</v>
      </c>
    </row>
    <row r="1893" spans="1:3">
      <c r="A1893" s="8" t="s">
        <v>843</v>
      </c>
      <c r="B1893" s="9" t="s">
        <v>844</v>
      </c>
      <c r="C1893" s="10" t="s">
        <v>719</v>
      </c>
    </row>
    <row r="1894" spans="1:3">
      <c r="A1894" s="8" t="s">
        <v>880</v>
      </c>
      <c r="B1894" s="9" t="s">
        <v>881</v>
      </c>
      <c r="C1894" s="10" t="s">
        <v>882</v>
      </c>
    </row>
    <row r="1895" spans="1:3">
      <c r="A1895" s="8" t="s">
        <v>1310</v>
      </c>
      <c r="B1895" s="9" t="s">
        <v>1311</v>
      </c>
      <c r="C1895" s="10" t="s">
        <v>1312</v>
      </c>
    </row>
    <row r="1896" spans="1:3">
      <c r="A1896" s="8" t="s">
        <v>3615</v>
      </c>
      <c r="B1896" s="9" t="s">
        <v>3616</v>
      </c>
      <c r="C1896" s="10" t="s">
        <v>3507</v>
      </c>
    </row>
    <row r="1897" spans="1:3">
      <c r="A1897" s="8" t="s">
        <v>862</v>
      </c>
      <c r="B1897" s="9" t="s">
        <v>863</v>
      </c>
      <c r="C1897" s="10" t="s">
        <v>864</v>
      </c>
    </row>
    <row r="1898" spans="1:3">
      <c r="A1898" s="8" t="s">
        <v>868</v>
      </c>
      <c r="B1898" s="9" t="s">
        <v>866</v>
      </c>
      <c r="C1898" s="10" t="s">
        <v>719</v>
      </c>
    </row>
    <row r="1899" spans="1:3">
      <c r="A1899" s="8" t="s">
        <v>902</v>
      </c>
      <c r="B1899" s="9" t="s">
        <v>903</v>
      </c>
      <c r="C1899" s="10" t="s">
        <v>904</v>
      </c>
    </row>
    <row r="1900" spans="1:3">
      <c r="A1900" s="8" t="s">
        <v>2956</v>
      </c>
      <c r="B1900" s="9" t="s">
        <v>2957</v>
      </c>
      <c r="C1900" s="10" t="s">
        <v>2958</v>
      </c>
    </row>
    <row r="1901" spans="1:3">
      <c r="A1901" s="8" t="s">
        <v>611</v>
      </c>
      <c r="B1901" s="9" t="s">
        <v>612</v>
      </c>
      <c r="C1901" s="10" t="s">
        <v>613</v>
      </c>
    </row>
    <row r="1902" spans="1:3">
      <c r="A1902" s="8" t="s">
        <v>1391</v>
      </c>
      <c r="B1902" s="9" t="s">
        <v>1392</v>
      </c>
      <c r="C1902" s="10" t="s">
        <v>1393</v>
      </c>
    </row>
    <row r="1903" spans="1:3">
      <c r="A1903" s="8" t="s">
        <v>1041</v>
      </c>
      <c r="B1903" s="9" t="s">
        <v>1042</v>
      </c>
      <c r="C1903" s="10" t="s">
        <v>1043</v>
      </c>
    </row>
    <row r="1904" spans="1:3">
      <c r="A1904" s="8" t="s">
        <v>1025</v>
      </c>
      <c r="B1904" s="9" t="s">
        <v>1026</v>
      </c>
      <c r="C1904" s="10" t="s">
        <v>1027</v>
      </c>
    </row>
    <row r="1905" spans="1:3">
      <c r="A1905" s="8" t="s">
        <v>5085</v>
      </c>
      <c r="B1905" s="9" t="s">
        <v>5086</v>
      </c>
      <c r="C1905" s="10" t="s">
        <v>5087</v>
      </c>
    </row>
    <row r="1906" spans="1:3">
      <c r="A1906" s="8" t="s">
        <v>5132</v>
      </c>
      <c r="B1906" s="9" t="s">
        <v>5133</v>
      </c>
      <c r="C1906" s="10" t="s">
        <v>5134</v>
      </c>
    </row>
    <row r="1907" spans="1:3">
      <c r="A1907" s="8" t="s">
        <v>2841</v>
      </c>
      <c r="B1907" s="9" t="s">
        <v>2842</v>
      </c>
      <c r="C1907" s="10" t="s">
        <v>2843</v>
      </c>
    </row>
    <row r="1908" spans="1:3">
      <c r="A1908" s="8" t="s">
        <v>4389</v>
      </c>
      <c r="B1908" s="9" t="s">
        <v>4386</v>
      </c>
      <c r="C1908" s="10" t="s">
        <v>4387</v>
      </c>
    </row>
    <row r="1909" spans="1:3">
      <c r="A1909" s="8" t="s">
        <v>3844</v>
      </c>
      <c r="B1909" s="9" t="s">
        <v>3845</v>
      </c>
      <c r="C1909" s="10" t="s">
        <v>3846</v>
      </c>
    </row>
    <row r="1910" spans="1:3">
      <c r="A1910" s="8" t="s">
        <v>4390</v>
      </c>
      <c r="B1910" s="9" t="s">
        <v>4386</v>
      </c>
      <c r="C1910" s="10" t="s">
        <v>4387</v>
      </c>
    </row>
    <row r="1911" spans="1:3">
      <c r="A1911" s="8" t="s">
        <v>1801</v>
      </c>
      <c r="B1911" s="9" t="s">
        <v>1802</v>
      </c>
      <c r="C1911" s="10" t="s">
        <v>1793</v>
      </c>
    </row>
    <row r="1912" spans="1:3">
      <c r="A1912" s="8" t="s">
        <v>2025</v>
      </c>
      <c r="B1912" s="9" t="s">
        <v>2026</v>
      </c>
      <c r="C1912" s="10" t="s">
        <v>2027</v>
      </c>
    </row>
    <row r="1913" spans="1:3">
      <c r="A1913" s="8" t="s">
        <v>2022</v>
      </c>
      <c r="B1913" s="9" t="s">
        <v>2023</v>
      </c>
      <c r="C1913" s="10" t="s">
        <v>2024</v>
      </c>
    </row>
    <row r="1914" spans="1:3">
      <c r="A1914" s="8" t="s">
        <v>3639</v>
      </c>
      <c r="B1914" s="9" t="s">
        <v>3640</v>
      </c>
      <c r="C1914" s="10" t="s">
        <v>5880</v>
      </c>
    </row>
    <row r="1915" spans="1:3">
      <c r="A1915" s="8" t="s">
        <v>3634</v>
      </c>
      <c r="B1915" s="9" t="s">
        <v>3635</v>
      </c>
      <c r="C1915" s="10" t="s">
        <v>3636</v>
      </c>
    </row>
    <row r="1916" spans="1:3">
      <c r="A1916" s="8" t="s">
        <v>3641</v>
      </c>
      <c r="B1916" s="9" t="s">
        <v>3642</v>
      </c>
      <c r="C1916" s="10" t="s">
        <v>3643</v>
      </c>
    </row>
    <row r="1917" spans="1:3">
      <c r="A1917" s="8" t="s">
        <v>3644</v>
      </c>
      <c r="B1917" s="9" t="s">
        <v>3645</v>
      </c>
      <c r="C1917" s="10" t="s">
        <v>3646</v>
      </c>
    </row>
    <row r="1918" spans="1:3">
      <c r="A1918" s="8" t="s">
        <v>1723</v>
      </c>
      <c r="B1918" s="9" t="s">
        <v>1724</v>
      </c>
      <c r="C1918" s="10" t="s">
        <v>1725</v>
      </c>
    </row>
    <row r="1919" spans="1:3">
      <c r="A1919" s="8" t="s">
        <v>1246</v>
      </c>
      <c r="B1919" s="9" t="s">
        <v>1244</v>
      </c>
      <c r="C1919" s="10" t="s">
        <v>1245</v>
      </c>
    </row>
    <row r="1920" spans="1:3">
      <c r="A1920" s="8" t="s">
        <v>1234</v>
      </c>
      <c r="B1920" s="9" t="s">
        <v>1235</v>
      </c>
      <c r="C1920" s="10" t="s">
        <v>1236</v>
      </c>
    </row>
    <row r="1921" spans="1:3">
      <c r="A1921" s="8" t="s">
        <v>1231</v>
      </c>
      <c r="B1921" s="9" t="s">
        <v>1232</v>
      </c>
      <c r="C1921" s="10" t="s">
        <v>1233</v>
      </c>
    </row>
    <row r="1922" spans="1:3">
      <c r="A1922" s="8" t="s">
        <v>1240</v>
      </c>
      <c r="B1922" s="9" t="s">
        <v>1241</v>
      </c>
      <c r="C1922" s="10" t="s">
        <v>1242</v>
      </c>
    </row>
    <row r="1923" spans="1:3">
      <c r="A1923" s="8" t="s">
        <v>1237</v>
      </c>
      <c r="B1923" s="9" t="s">
        <v>1238</v>
      </c>
      <c r="C1923" s="10" t="s">
        <v>1239</v>
      </c>
    </row>
    <row r="1924" spans="1:3">
      <c r="A1924" s="8" t="s">
        <v>112</v>
      </c>
      <c r="B1924" s="9" t="s">
        <v>113</v>
      </c>
      <c r="C1924" s="10" t="s">
        <v>114</v>
      </c>
    </row>
    <row r="1925" spans="1:3">
      <c r="A1925" s="8" t="s">
        <v>1552</v>
      </c>
      <c r="B1925" s="9" t="s">
        <v>1550</v>
      </c>
      <c r="C1925" s="10" t="s">
        <v>1551</v>
      </c>
    </row>
    <row r="1926" spans="1:3">
      <c r="A1926" s="8" t="s">
        <v>1546</v>
      </c>
      <c r="B1926" s="9" t="s">
        <v>1547</v>
      </c>
      <c r="C1926" s="10" t="s">
        <v>1548</v>
      </c>
    </row>
    <row r="1927" spans="1:3">
      <c r="A1927" s="8" t="s">
        <v>526</v>
      </c>
      <c r="B1927" s="9" t="s">
        <v>527</v>
      </c>
      <c r="C1927" s="10" t="s">
        <v>528</v>
      </c>
    </row>
    <row r="1928" spans="1:3">
      <c r="A1928" s="8" t="s">
        <v>3999</v>
      </c>
      <c r="B1928" s="9" t="s">
        <v>3998</v>
      </c>
      <c r="C1928" s="10" t="s">
        <v>719</v>
      </c>
    </row>
    <row r="1929" spans="1:3">
      <c r="A1929" s="8" t="s">
        <v>4100</v>
      </c>
      <c r="B1929" s="9" t="s">
        <v>4098</v>
      </c>
      <c r="C1929" s="10" t="s">
        <v>4099</v>
      </c>
    </row>
    <row r="1930" spans="1:3">
      <c r="A1930" s="8" t="s">
        <v>3881</v>
      </c>
      <c r="B1930" s="9" t="s">
        <v>3882</v>
      </c>
      <c r="C1930" s="10" t="s">
        <v>3883</v>
      </c>
    </row>
    <row r="1931" spans="1:3">
      <c r="A1931" s="8" t="s">
        <v>4255</v>
      </c>
      <c r="B1931" s="9" t="s">
        <v>4256</v>
      </c>
      <c r="C1931" s="10" t="s">
        <v>4257</v>
      </c>
    </row>
    <row r="1932" spans="1:3">
      <c r="A1932" s="8" t="s">
        <v>3884</v>
      </c>
      <c r="B1932" s="9" t="s">
        <v>3885</v>
      </c>
      <c r="C1932" s="10" t="s">
        <v>3886</v>
      </c>
    </row>
    <row r="1933" spans="1:3">
      <c r="A1933" s="8" t="s">
        <v>3897</v>
      </c>
      <c r="B1933" s="9" t="s">
        <v>3898</v>
      </c>
      <c r="C1933" s="10" t="s">
        <v>3899</v>
      </c>
    </row>
    <row r="1934" spans="1:3">
      <c r="A1934" s="8" t="s">
        <v>4094</v>
      </c>
      <c r="B1934" s="9" t="s">
        <v>4095</v>
      </c>
      <c r="C1934" s="10" t="s">
        <v>4096</v>
      </c>
    </row>
    <row r="1935" spans="1:3">
      <c r="A1935" s="8" t="s">
        <v>1256</v>
      </c>
      <c r="B1935" s="9" t="s">
        <v>1257</v>
      </c>
      <c r="C1935" s="10" t="s">
        <v>719</v>
      </c>
    </row>
    <row r="1936" spans="1:3">
      <c r="A1936" s="8" t="s">
        <v>1450</v>
      </c>
      <c r="B1936" s="9" t="s">
        <v>1451</v>
      </c>
      <c r="C1936" s="10" t="s">
        <v>1452</v>
      </c>
    </row>
    <row r="1937" spans="1:3">
      <c r="A1937" s="8" t="s">
        <v>1433</v>
      </c>
      <c r="B1937" s="9" t="s">
        <v>1434</v>
      </c>
      <c r="C1937" s="10" t="s">
        <v>1435</v>
      </c>
    </row>
    <row r="1938" spans="1:3">
      <c r="A1938" s="8" t="s">
        <v>454</v>
      </c>
      <c r="B1938" s="9" t="s">
        <v>455</v>
      </c>
      <c r="C1938" s="10" t="s">
        <v>456</v>
      </c>
    </row>
    <row r="1939" spans="1:3">
      <c r="A1939" s="8" t="s">
        <v>5269</v>
      </c>
      <c r="B1939" s="9" t="s">
        <v>5270</v>
      </c>
      <c r="C1939" s="10" t="s">
        <v>5271</v>
      </c>
    </row>
    <row r="1940" spans="1:3">
      <c r="A1940" s="8" t="s">
        <v>5272</v>
      </c>
      <c r="B1940" s="9" t="s">
        <v>5273</v>
      </c>
      <c r="C1940" s="10" t="s">
        <v>5274</v>
      </c>
    </row>
    <row r="1941" spans="1:3">
      <c r="A1941" s="8" t="s">
        <v>5376</v>
      </c>
      <c r="B1941" s="9" t="s">
        <v>5377</v>
      </c>
      <c r="C1941" s="10" t="s">
        <v>5378</v>
      </c>
    </row>
    <row r="1942" spans="1:3">
      <c r="A1942" s="8" t="s">
        <v>1620</v>
      </c>
      <c r="B1942" s="9" t="s">
        <v>1621</v>
      </c>
      <c r="C1942" s="10" t="s">
        <v>1622</v>
      </c>
    </row>
    <row r="1943" spans="1:3">
      <c r="A1943" s="8" t="s">
        <v>215</v>
      </c>
      <c r="B1943" s="9" t="s">
        <v>216</v>
      </c>
      <c r="C1943" s="10" t="s">
        <v>217</v>
      </c>
    </row>
    <row r="1944" spans="1:3">
      <c r="A1944" s="8" t="s">
        <v>4572</v>
      </c>
      <c r="B1944" s="9" t="s">
        <v>4569</v>
      </c>
      <c r="C1944" s="10" t="s">
        <v>4570</v>
      </c>
    </row>
    <row r="1945" spans="1:3">
      <c r="A1945" s="8" t="s">
        <v>4554</v>
      </c>
      <c r="B1945" s="9" t="s">
        <v>4555</v>
      </c>
      <c r="C1945" s="10" t="s">
        <v>4556</v>
      </c>
    </row>
    <row r="1946" spans="1:3">
      <c r="A1946" s="8" t="s">
        <v>4557</v>
      </c>
      <c r="B1946" s="9" t="s">
        <v>4558</v>
      </c>
      <c r="C1946" s="10" t="s">
        <v>4559</v>
      </c>
    </row>
    <row r="1947" spans="1:3">
      <c r="A1947" s="8" t="s">
        <v>4567</v>
      </c>
      <c r="B1947" s="9" t="s">
        <v>4564</v>
      </c>
      <c r="C1947" s="10" t="s">
        <v>4565</v>
      </c>
    </row>
    <row r="1948" spans="1:3">
      <c r="A1948" s="8" t="s">
        <v>3717</v>
      </c>
      <c r="B1948" s="9" t="s">
        <v>3718</v>
      </c>
      <c r="C1948" s="10" t="s">
        <v>3719</v>
      </c>
    </row>
    <row r="1949" spans="1:3">
      <c r="A1949" s="8" t="s">
        <v>4373</v>
      </c>
      <c r="B1949" s="9" t="s">
        <v>4374</v>
      </c>
      <c r="C1949" s="10" t="s">
        <v>4375</v>
      </c>
    </row>
    <row r="1950" spans="1:3">
      <c r="A1950" s="8" t="s">
        <v>150</v>
      </c>
      <c r="B1950" s="9" t="s">
        <v>148</v>
      </c>
      <c r="C1950" s="10" t="s">
        <v>149</v>
      </c>
    </row>
    <row r="1951" spans="1:3">
      <c r="A1951" s="8" t="s">
        <v>135</v>
      </c>
      <c r="B1951" s="9" t="s">
        <v>136</v>
      </c>
      <c r="C1951" s="10" t="s">
        <v>137</v>
      </c>
    </row>
    <row r="1952" spans="1:3">
      <c r="A1952" s="8" t="s">
        <v>1428</v>
      </c>
      <c r="B1952" s="9" t="s">
        <v>1427</v>
      </c>
      <c r="C1952" s="10" t="s">
        <v>1429</v>
      </c>
    </row>
    <row r="1953" spans="1:3">
      <c r="A1953" s="8" t="s">
        <v>775</v>
      </c>
      <c r="B1953" s="9" t="s">
        <v>776</v>
      </c>
      <c r="C1953" s="10" t="s">
        <v>777</v>
      </c>
    </row>
    <row r="1954" spans="1:3">
      <c r="A1954" s="8" t="s">
        <v>852</v>
      </c>
      <c r="B1954" s="9" t="s">
        <v>853</v>
      </c>
      <c r="C1954" s="10" t="s">
        <v>854</v>
      </c>
    </row>
    <row r="1955" spans="1:3">
      <c r="A1955" s="8" t="s">
        <v>772</v>
      </c>
      <c r="B1955" s="9" t="s">
        <v>773</v>
      </c>
      <c r="C1955" s="10" t="s">
        <v>774</v>
      </c>
    </row>
    <row r="1956" spans="1:3">
      <c r="A1956" s="8" t="s">
        <v>1381</v>
      </c>
      <c r="B1956" s="9" t="s">
        <v>1377</v>
      </c>
      <c r="C1956" s="10" t="s">
        <v>1378</v>
      </c>
    </row>
    <row r="1957" spans="1:3">
      <c r="A1957" s="8" t="s">
        <v>869</v>
      </c>
      <c r="B1957" s="9" t="s">
        <v>866</v>
      </c>
      <c r="C1957" s="10" t="s">
        <v>719</v>
      </c>
    </row>
    <row r="1958" spans="1:3">
      <c r="A1958" s="8" t="s">
        <v>1599</v>
      </c>
      <c r="B1958" s="9" t="s">
        <v>1600</v>
      </c>
      <c r="C1958" s="10" t="s">
        <v>1601</v>
      </c>
    </row>
    <row r="1959" spans="1:3">
      <c r="A1959" s="8" t="s">
        <v>1586</v>
      </c>
      <c r="B1959" s="9" t="s">
        <v>1584</v>
      </c>
      <c r="C1959" s="10" t="s">
        <v>1585</v>
      </c>
    </row>
    <row r="1960" spans="1:3">
      <c r="A1960" s="8" t="s">
        <v>1757</v>
      </c>
      <c r="B1960" s="9" t="s">
        <v>1758</v>
      </c>
      <c r="C1960" s="10" t="s">
        <v>1759</v>
      </c>
    </row>
    <row r="1961" spans="1:3">
      <c r="A1961" s="8" t="s">
        <v>5346</v>
      </c>
      <c r="B1961" s="9" t="s">
        <v>5347</v>
      </c>
      <c r="C1961" s="10" t="s">
        <v>719</v>
      </c>
    </row>
    <row r="1962" spans="1:3">
      <c r="A1962" s="8" t="s">
        <v>5348</v>
      </c>
      <c r="B1962" s="9" t="s">
        <v>5347</v>
      </c>
      <c r="C1962" s="10" t="s">
        <v>719</v>
      </c>
    </row>
    <row r="1963" spans="1:3">
      <c r="A1963" s="8" t="s">
        <v>5157</v>
      </c>
      <c r="B1963" s="9" t="s">
        <v>5158</v>
      </c>
      <c r="C1963" s="10" t="s">
        <v>5159</v>
      </c>
    </row>
    <row r="1964" spans="1:3">
      <c r="A1964" s="8" t="s">
        <v>1016</v>
      </c>
      <c r="B1964" s="9" t="s">
        <v>1017</v>
      </c>
      <c r="C1964" s="10" t="s">
        <v>1018</v>
      </c>
    </row>
    <row r="1965" spans="1:3">
      <c r="A1965" s="8" t="s">
        <v>5260</v>
      </c>
      <c r="B1965" s="9" t="s">
        <v>5261</v>
      </c>
      <c r="C1965" s="10" t="s">
        <v>5262</v>
      </c>
    </row>
    <row r="1966" spans="1:3">
      <c r="A1966" s="8" t="s">
        <v>5423</v>
      </c>
      <c r="B1966" s="9" t="s">
        <v>5421</v>
      </c>
      <c r="C1966" s="10" t="s">
        <v>5422</v>
      </c>
    </row>
    <row r="1967" spans="1:3">
      <c r="A1967" s="8" t="s">
        <v>5349</v>
      </c>
      <c r="B1967" s="9" t="s">
        <v>5347</v>
      </c>
      <c r="C1967" s="10" t="s">
        <v>719</v>
      </c>
    </row>
    <row r="1968" spans="1:3">
      <c r="A1968" s="8" t="s">
        <v>5337</v>
      </c>
      <c r="B1968" s="9" t="s">
        <v>5338</v>
      </c>
      <c r="C1968" s="10" t="s">
        <v>5339</v>
      </c>
    </row>
    <row r="1969" spans="1:3">
      <c r="A1969" s="8" t="s">
        <v>5284</v>
      </c>
      <c r="B1969" s="9" t="s">
        <v>5285</v>
      </c>
      <c r="C1969" s="10" t="s">
        <v>5286</v>
      </c>
    </row>
    <row r="1970" spans="1:3">
      <c r="A1970" s="8" t="s">
        <v>5331</v>
      </c>
      <c r="B1970" s="9" t="s">
        <v>5332</v>
      </c>
      <c r="C1970" s="10" t="s">
        <v>5333</v>
      </c>
    </row>
    <row r="1971" spans="1:3">
      <c r="A1971" s="8" t="s">
        <v>5163</v>
      </c>
      <c r="B1971" s="9" t="s">
        <v>5164</v>
      </c>
      <c r="C1971" s="10" t="s">
        <v>5165</v>
      </c>
    </row>
    <row r="1972" spans="1:3">
      <c r="A1972" s="8" t="s">
        <v>5314</v>
      </c>
      <c r="B1972" s="9" t="s">
        <v>5315</v>
      </c>
      <c r="C1972" s="10" t="s">
        <v>5316</v>
      </c>
    </row>
    <row r="1973" spans="1:3">
      <c r="A1973" s="8" t="s">
        <v>5293</v>
      </c>
      <c r="B1973" s="9" t="s">
        <v>5294</v>
      </c>
      <c r="C1973" s="10" t="s">
        <v>5295</v>
      </c>
    </row>
    <row r="1974" spans="1:3">
      <c r="A1974" s="8" t="s">
        <v>5166</v>
      </c>
      <c r="B1974" s="9" t="s">
        <v>5167</v>
      </c>
      <c r="C1974" s="10" t="s">
        <v>5168</v>
      </c>
    </row>
    <row r="1975" spans="1:3">
      <c r="A1975" s="8" t="s">
        <v>3577</v>
      </c>
      <c r="B1975" s="9" t="s">
        <v>3578</v>
      </c>
      <c r="C1975" s="10" t="s">
        <v>3579</v>
      </c>
    </row>
    <row r="1976" spans="1:3">
      <c r="A1976" s="8" t="s">
        <v>4339</v>
      </c>
      <c r="B1976" s="9" t="s">
        <v>4340</v>
      </c>
      <c r="C1976" s="10" t="s">
        <v>4341</v>
      </c>
    </row>
    <row r="1977" spans="1:3">
      <c r="A1977" s="8" t="s">
        <v>2953</v>
      </c>
      <c r="B1977" s="9" t="s">
        <v>2954</v>
      </c>
      <c r="C1977" s="10" t="s">
        <v>2955</v>
      </c>
    </row>
    <row r="1978" spans="1:3">
      <c r="A1978" s="8" t="s">
        <v>3158</v>
      </c>
      <c r="B1978" s="9" t="s">
        <v>3159</v>
      </c>
      <c r="C1978" s="10" t="s">
        <v>3159</v>
      </c>
    </row>
    <row r="1979" spans="1:3">
      <c r="A1979" s="8" t="s">
        <v>3262</v>
      </c>
      <c r="B1979" s="9" t="s">
        <v>3263</v>
      </c>
      <c r="C1979" s="10" t="s">
        <v>3263</v>
      </c>
    </row>
    <row r="1980" spans="1:3">
      <c r="A1980" s="8" t="s">
        <v>3096</v>
      </c>
      <c r="B1980" s="9" t="s">
        <v>3097</v>
      </c>
      <c r="C1980" s="10" t="s">
        <v>3098</v>
      </c>
    </row>
    <row r="1981" spans="1:3">
      <c r="A1981" s="8" t="s">
        <v>2996</v>
      </c>
      <c r="B1981" s="9" t="s">
        <v>2997</v>
      </c>
      <c r="C1981" s="10" t="s">
        <v>2998</v>
      </c>
    </row>
    <row r="1982" spans="1:3">
      <c r="A1982" s="8" t="s">
        <v>2999</v>
      </c>
      <c r="B1982" s="9" t="s">
        <v>2997</v>
      </c>
      <c r="C1982" s="10" t="s">
        <v>2998</v>
      </c>
    </row>
    <row r="1983" spans="1:3">
      <c r="A1983" s="8" t="s">
        <v>2111</v>
      </c>
      <c r="B1983" s="9" t="s">
        <v>2109</v>
      </c>
      <c r="C1983" s="10" t="s">
        <v>2110</v>
      </c>
    </row>
    <row r="1984" spans="1:3">
      <c r="A1984" s="8" t="s">
        <v>95</v>
      </c>
      <c r="B1984" s="9" t="s">
        <v>93</v>
      </c>
      <c r="C1984" s="10" t="s">
        <v>94</v>
      </c>
    </row>
    <row r="1985" spans="1:3">
      <c r="A1985" s="8" t="s">
        <v>100</v>
      </c>
      <c r="B1985" s="9" t="s">
        <v>101</v>
      </c>
      <c r="C1985" s="10" t="s">
        <v>102</v>
      </c>
    </row>
    <row r="1986" spans="1:3">
      <c r="A1986" s="8" t="s">
        <v>883</v>
      </c>
      <c r="B1986" s="9" t="s">
        <v>884</v>
      </c>
      <c r="C1986" s="10" t="s">
        <v>719</v>
      </c>
    </row>
    <row r="1987" spans="1:3">
      <c r="A1987" s="8" t="s">
        <v>395</v>
      </c>
      <c r="B1987" s="9" t="s">
        <v>396</v>
      </c>
      <c r="C1987" s="10" t="s">
        <v>719</v>
      </c>
    </row>
    <row r="1988" spans="1:3">
      <c r="A1988" s="8" t="s">
        <v>5317</v>
      </c>
      <c r="B1988" s="9" t="s">
        <v>5318</v>
      </c>
      <c r="C1988" s="10" t="s">
        <v>5319</v>
      </c>
    </row>
    <row r="1989" spans="1:3">
      <c r="A1989" s="8" t="s">
        <v>4160</v>
      </c>
      <c r="B1989" s="9" t="s">
        <v>4161</v>
      </c>
      <c r="C1989" s="10" t="s">
        <v>4162</v>
      </c>
    </row>
    <row r="1990" spans="1:3">
      <c r="A1990" s="8" t="s">
        <v>270</v>
      </c>
      <c r="B1990" s="9" t="s">
        <v>271</v>
      </c>
      <c r="C1990" s="10" t="s">
        <v>272</v>
      </c>
    </row>
    <row r="1991" spans="1:3">
      <c r="A1991" s="8" t="s">
        <v>248</v>
      </c>
      <c r="B1991" s="9" t="s">
        <v>249</v>
      </c>
      <c r="C1991" s="10" t="s">
        <v>250</v>
      </c>
    </row>
    <row r="1992" spans="1:3">
      <c r="A1992" s="8" t="s">
        <v>5323</v>
      </c>
      <c r="B1992" s="9" t="s">
        <v>5324</v>
      </c>
      <c r="C1992" s="10" t="s">
        <v>5325</v>
      </c>
    </row>
    <row r="1993" spans="1:3">
      <c r="A1993" s="8" t="s">
        <v>397</v>
      </c>
      <c r="B1993" s="9" t="s">
        <v>396</v>
      </c>
      <c r="C1993" s="10" t="s">
        <v>719</v>
      </c>
    </row>
    <row r="1994" spans="1:3">
      <c r="A1994" s="8" t="s">
        <v>1471</v>
      </c>
      <c r="B1994" s="9" t="s">
        <v>1472</v>
      </c>
      <c r="C1994" s="10" t="s">
        <v>1473</v>
      </c>
    </row>
    <row r="1995" spans="1:3">
      <c r="A1995" s="8" t="s">
        <v>4342</v>
      </c>
      <c r="B1995" s="9" t="s">
        <v>4343</v>
      </c>
      <c r="C1995" s="10" t="s">
        <v>4344</v>
      </c>
    </row>
    <row r="1996" spans="1:3">
      <c r="A1996" s="8" t="s">
        <v>4352</v>
      </c>
      <c r="B1996" s="9" t="s">
        <v>4353</v>
      </c>
      <c r="C1996" s="10" t="s">
        <v>4354</v>
      </c>
    </row>
    <row r="1997" spans="1:3">
      <c r="A1997" s="8" t="s">
        <v>3723</v>
      </c>
      <c r="B1997" s="9" t="s">
        <v>3724</v>
      </c>
      <c r="C1997" s="10" t="s">
        <v>3725</v>
      </c>
    </row>
    <row r="1998" spans="1:3">
      <c r="A1998" s="8" t="s">
        <v>4130</v>
      </c>
      <c r="B1998" s="9" t="s">
        <v>4129</v>
      </c>
      <c r="C1998" s="10" t="s">
        <v>719</v>
      </c>
    </row>
    <row r="1999" spans="1:3">
      <c r="A1999" s="8" t="s">
        <v>5664</v>
      </c>
      <c r="B1999" s="9" t="s">
        <v>5662</v>
      </c>
      <c r="C1999" s="10" t="s">
        <v>5663</v>
      </c>
    </row>
    <row r="2000" spans="1:3">
      <c r="A2000" s="8" t="s">
        <v>4034</v>
      </c>
      <c r="B2000" s="9" t="s">
        <v>4035</v>
      </c>
      <c r="C2000" s="10" t="s">
        <v>4036</v>
      </c>
    </row>
    <row r="2001" spans="1:3">
      <c r="A2001" s="8" t="s">
        <v>5074</v>
      </c>
      <c r="B2001" s="9" t="s">
        <v>5073</v>
      </c>
      <c r="C2001" s="10" t="s">
        <v>719</v>
      </c>
    </row>
    <row r="2002" spans="1:3">
      <c r="A2002" s="8" t="s">
        <v>845</v>
      </c>
      <c r="B2002" s="9" t="s">
        <v>846</v>
      </c>
      <c r="C2002" s="10" t="s">
        <v>847</v>
      </c>
    </row>
    <row r="2003" spans="1:3">
      <c r="A2003" s="8" t="s">
        <v>1401</v>
      </c>
      <c r="B2003" s="9" t="s">
        <v>1402</v>
      </c>
      <c r="C2003" s="10" t="s">
        <v>1403</v>
      </c>
    </row>
    <row r="2004" spans="1:3">
      <c r="A2004" s="8" t="s">
        <v>720</v>
      </c>
      <c r="B2004" s="9" t="s">
        <v>718</v>
      </c>
      <c r="C2004" s="10" t="s">
        <v>719</v>
      </c>
    </row>
    <row r="2005" spans="1:3">
      <c r="A2005" s="8" t="s">
        <v>269</v>
      </c>
      <c r="B2005" s="9" t="s">
        <v>266</v>
      </c>
      <c r="C2005" s="10" t="s">
        <v>267</v>
      </c>
    </row>
    <row r="2006" spans="1:3">
      <c r="A2006" s="8" t="s">
        <v>668</v>
      </c>
      <c r="B2006" s="9" t="s">
        <v>669</v>
      </c>
      <c r="C2006" s="10" t="s">
        <v>719</v>
      </c>
    </row>
    <row r="2007" spans="1:3">
      <c r="A2007" s="8" t="s">
        <v>672</v>
      </c>
      <c r="B2007" s="9" t="s">
        <v>673</v>
      </c>
      <c r="C2007" s="10" t="s">
        <v>719</v>
      </c>
    </row>
    <row r="2008" spans="1:3">
      <c r="A2008" s="8" t="s">
        <v>132</v>
      </c>
      <c r="B2008" s="9" t="s">
        <v>133</v>
      </c>
      <c r="C2008" s="10" t="s">
        <v>134</v>
      </c>
    </row>
    <row r="2009" spans="1:3">
      <c r="A2009" s="8" t="s">
        <v>676</v>
      </c>
      <c r="B2009" s="9" t="s">
        <v>677</v>
      </c>
      <c r="C2009" s="10" t="s">
        <v>719</v>
      </c>
    </row>
    <row r="2010" spans="1:3">
      <c r="A2010" s="8" t="s">
        <v>674</v>
      </c>
      <c r="B2010" s="9" t="s">
        <v>675</v>
      </c>
      <c r="C2010" s="10" t="s">
        <v>719</v>
      </c>
    </row>
    <row r="2011" spans="1:3">
      <c r="A2011" s="8" t="s">
        <v>670</v>
      </c>
      <c r="B2011" s="9" t="s">
        <v>671</v>
      </c>
      <c r="C2011" s="10" t="s">
        <v>719</v>
      </c>
    </row>
    <row r="2012" spans="1:3">
      <c r="A2012" s="8" t="s">
        <v>3758</v>
      </c>
      <c r="B2012" s="9" t="s">
        <v>3759</v>
      </c>
      <c r="C2012" s="10" t="s">
        <v>3760</v>
      </c>
    </row>
    <row r="2013" spans="1:3">
      <c r="A2013" s="8" t="s">
        <v>4231</v>
      </c>
      <c r="B2013" s="9" t="s">
        <v>4229</v>
      </c>
      <c r="C2013" s="10" t="s">
        <v>4230</v>
      </c>
    </row>
    <row r="2014" spans="1:3">
      <c r="A2014" s="8" t="s">
        <v>538</v>
      </c>
      <c r="B2014" s="9" t="s">
        <v>539</v>
      </c>
      <c r="C2014" s="10" t="s">
        <v>540</v>
      </c>
    </row>
    <row r="2015" spans="1:3">
      <c r="A2015" s="8" t="s">
        <v>1979</v>
      </c>
      <c r="B2015" s="9" t="s">
        <v>1980</v>
      </c>
      <c r="C2015" s="10" t="s">
        <v>719</v>
      </c>
    </row>
    <row r="2016" spans="1:3">
      <c r="A2016" s="8" t="s">
        <v>4718</v>
      </c>
      <c r="B2016" s="9" t="s">
        <v>4719</v>
      </c>
      <c r="C2016" s="10" t="s">
        <v>4720</v>
      </c>
    </row>
    <row r="2017" spans="1:3">
      <c r="A2017" s="8" t="s">
        <v>5393</v>
      </c>
      <c r="B2017" s="9" t="s">
        <v>5394</v>
      </c>
      <c r="C2017" s="10" t="s">
        <v>5395</v>
      </c>
    </row>
    <row r="2018" spans="1:3">
      <c r="A2018" s="8" t="s">
        <v>5367</v>
      </c>
      <c r="B2018" s="9" t="s">
        <v>5368</v>
      </c>
      <c r="C2018" s="10" t="s">
        <v>5369</v>
      </c>
    </row>
    <row r="2019" spans="1:3">
      <c r="A2019" s="8" t="s">
        <v>5362</v>
      </c>
      <c r="B2019" s="9" t="s">
        <v>5359</v>
      </c>
      <c r="C2019" s="10" t="s">
        <v>5360</v>
      </c>
    </row>
    <row r="2020" spans="1:3">
      <c r="A2020" s="8" t="s">
        <v>5366</v>
      </c>
      <c r="B2020" s="9" t="s">
        <v>5364</v>
      </c>
      <c r="C2020" s="10" t="s">
        <v>5365</v>
      </c>
    </row>
    <row r="2021" spans="1:3">
      <c r="A2021" s="8" t="s">
        <v>5386</v>
      </c>
      <c r="B2021" s="9" t="s">
        <v>5387</v>
      </c>
      <c r="C2021" s="10" t="s">
        <v>5388</v>
      </c>
    </row>
    <row r="2022" spans="1:3">
      <c r="A2022" s="8" t="s">
        <v>5177</v>
      </c>
      <c r="B2022" s="9" t="s">
        <v>5178</v>
      </c>
      <c r="C2022" s="10" t="s">
        <v>5179</v>
      </c>
    </row>
    <row r="2023" spans="1:3">
      <c r="A2023" s="8" t="s">
        <v>294</v>
      </c>
      <c r="B2023" s="9" t="s">
        <v>295</v>
      </c>
      <c r="C2023" s="10" t="s">
        <v>719</v>
      </c>
    </row>
    <row r="2024" spans="1:3">
      <c r="A2024" s="8" t="s">
        <v>291</v>
      </c>
      <c r="B2024" s="9" t="s">
        <v>292</v>
      </c>
      <c r="C2024" s="10" t="s">
        <v>293</v>
      </c>
    </row>
    <row r="2025" spans="1:3">
      <c r="A2025" s="8" t="s">
        <v>987</v>
      </c>
      <c r="B2025" s="9" t="s">
        <v>988</v>
      </c>
      <c r="C2025" s="10" t="s">
        <v>989</v>
      </c>
    </row>
    <row r="2026" spans="1:3">
      <c r="A2026" s="8" t="s">
        <v>995</v>
      </c>
      <c r="B2026" s="9" t="s">
        <v>996</v>
      </c>
      <c r="C2026" s="10" t="s">
        <v>997</v>
      </c>
    </row>
    <row r="2027" spans="1:3">
      <c r="A2027" s="8" t="s">
        <v>778</v>
      </c>
      <c r="B2027" s="9" t="s">
        <v>779</v>
      </c>
      <c r="C2027" s="10" t="s">
        <v>780</v>
      </c>
    </row>
    <row r="2028" spans="1:3">
      <c r="A2028" s="8" t="s">
        <v>1001</v>
      </c>
      <c r="B2028" s="9" t="s">
        <v>1002</v>
      </c>
      <c r="C2028" s="10" t="s">
        <v>1003</v>
      </c>
    </row>
    <row r="2029" spans="1:3">
      <c r="A2029" s="8" t="s">
        <v>5624</v>
      </c>
      <c r="B2029" s="9" t="s">
        <v>5622</v>
      </c>
      <c r="C2029" s="10" t="s">
        <v>5623</v>
      </c>
    </row>
    <row r="2030" spans="1:3">
      <c r="A2030" s="8" t="s">
        <v>115</v>
      </c>
      <c r="B2030" s="9" t="s">
        <v>113</v>
      </c>
      <c r="C2030" s="10" t="s">
        <v>114</v>
      </c>
    </row>
    <row r="2031" spans="1:3">
      <c r="A2031" s="8" t="s">
        <v>2510</v>
      </c>
      <c r="B2031" s="9" t="s">
        <v>2508</v>
      </c>
      <c r="C2031" s="10" t="s">
        <v>2509</v>
      </c>
    </row>
    <row r="2032" spans="1:3">
      <c r="A2032" s="8" t="s">
        <v>363</v>
      </c>
      <c r="B2032" s="9" t="s">
        <v>364</v>
      </c>
      <c r="C2032" s="10" t="s">
        <v>365</v>
      </c>
    </row>
    <row r="2033" spans="1:3">
      <c r="A2033" s="8" t="s">
        <v>2039</v>
      </c>
      <c r="B2033" s="9" t="s">
        <v>2040</v>
      </c>
      <c r="C2033" s="10" t="s">
        <v>2041</v>
      </c>
    </row>
    <row r="2034" spans="1:3">
      <c r="A2034" s="8" t="s">
        <v>2627</v>
      </c>
      <c r="B2034" s="9" t="s">
        <v>2628</v>
      </c>
      <c r="C2034" s="10" t="s">
        <v>2629</v>
      </c>
    </row>
    <row r="2035" spans="1:3">
      <c r="A2035" s="8" t="s">
        <v>730</v>
      </c>
      <c r="B2035" s="9" t="s">
        <v>731</v>
      </c>
      <c r="C2035" s="10" t="s">
        <v>719</v>
      </c>
    </row>
    <row r="2036" spans="1:3">
      <c r="A2036" s="8" t="s">
        <v>770</v>
      </c>
      <c r="B2036" s="9" t="s">
        <v>771</v>
      </c>
      <c r="C2036" s="10" t="s">
        <v>719</v>
      </c>
    </row>
    <row r="2037" spans="1:3">
      <c r="A2037" s="8" t="s">
        <v>793</v>
      </c>
      <c r="B2037" s="9" t="s">
        <v>794</v>
      </c>
      <c r="C2037" s="10" t="s">
        <v>795</v>
      </c>
    </row>
    <row r="2038" spans="1:3">
      <c r="A2038" s="8" t="s">
        <v>790</v>
      </c>
      <c r="B2038" s="9" t="s">
        <v>791</v>
      </c>
      <c r="C2038" s="10" t="s">
        <v>792</v>
      </c>
    </row>
    <row r="2039" spans="1:3">
      <c r="A2039" s="8" t="s">
        <v>4883</v>
      </c>
      <c r="B2039" s="9" t="s">
        <v>4884</v>
      </c>
      <c r="C2039" s="10" t="s">
        <v>4885</v>
      </c>
    </row>
    <row r="2040" spans="1:3">
      <c r="A2040" s="8" t="s">
        <v>3041</v>
      </c>
      <c r="B2040" s="9" t="s">
        <v>3042</v>
      </c>
      <c r="C2040" s="10" t="s">
        <v>3043</v>
      </c>
    </row>
    <row r="2041" spans="1:3">
      <c r="A2041" s="8" t="s">
        <v>2884</v>
      </c>
      <c r="B2041" s="9" t="s">
        <v>2885</v>
      </c>
      <c r="C2041" s="10" t="s">
        <v>2886</v>
      </c>
    </row>
    <row r="2042" spans="1:3">
      <c r="A2042" s="8" t="s">
        <v>1818</v>
      </c>
      <c r="B2042" s="9" t="s">
        <v>1819</v>
      </c>
      <c r="C2042" s="10" t="s">
        <v>1820</v>
      </c>
    </row>
    <row r="2043" spans="1:3">
      <c r="A2043" s="8" t="s">
        <v>931</v>
      </c>
      <c r="B2043" s="9" t="s">
        <v>932</v>
      </c>
      <c r="C2043" s="10" t="s">
        <v>933</v>
      </c>
    </row>
    <row r="2044" spans="1:3">
      <c r="A2044" s="8" t="s">
        <v>5148</v>
      </c>
      <c r="B2044" s="9" t="s">
        <v>5149</v>
      </c>
      <c r="C2044" s="10" t="s">
        <v>5150</v>
      </c>
    </row>
    <row r="2045" spans="1:3">
      <c r="A2045" s="8" t="s">
        <v>5173</v>
      </c>
      <c r="B2045" s="9" t="s">
        <v>5174</v>
      </c>
      <c r="C2045" s="10" t="s">
        <v>5175</v>
      </c>
    </row>
    <row r="2046" spans="1:3">
      <c r="A2046" s="8" t="s">
        <v>3787</v>
      </c>
      <c r="B2046" s="9" t="s">
        <v>3785</v>
      </c>
      <c r="C2046" s="10" t="s">
        <v>3786</v>
      </c>
    </row>
    <row r="2047" spans="1:3">
      <c r="A2047" s="8" t="s">
        <v>3059</v>
      </c>
      <c r="B2047" s="9" t="s">
        <v>3057</v>
      </c>
      <c r="C2047" s="10" t="s">
        <v>3058</v>
      </c>
    </row>
    <row r="2048" spans="1:3">
      <c r="A2048" s="8" t="s">
        <v>5078</v>
      </c>
      <c r="B2048" s="9" t="s">
        <v>5076</v>
      </c>
      <c r="C2048" s="10" t="s">
        <v>5077</v>
      </c>
    </row>
    <row r="2049" spans="1:3">
      <c r="A2049" s="8" t="s">
        <v>983</v>
      </c>
      <c r="B2049" s="9" t="s">
        <v>984</v>
      </c>
      <c r="C2049" s="10" t="s">
        <v>985</v>
      </c>
    </row>
    <row r="2050" spans="1:3">
      <c r="A2050" s="8" t="s">
        <v>2597</v>
      </c>
      <c r="B2050" s="9" t="s">
        <v>2595</v>
      </c>
      <c r="C2050" s="10" t="s">
        <v>2596</v>
      </c>
    </row>
    <row r="2051" spans="1:3">
      <c r="A2051" s="8" t="s">
        <v>2626</v>
      </c>
      <c r="B2051" s="9" t="s">
        <v>2625</v>
      </c>
      <c r="C2051" s="10" t="s">
        <v>2524</v>
      </c>
    </row>
    <row r="2052" spans="1:3">
      <c r="A2052" s="8" t="s">
        <v>5417</v>
      </c>
      <c r="B2052" s="9" t="s">
        <v>5418</v>
      </c>
      <c r="C2052" s="10" t="s">
        <v>5419</v>
      </c>
    </row>
    <row r="2053" spans="1:3">
      <c r="A2053" s="8" t="s">
        <v>986</v>
      </c>
      <c r="B2053" s="9" t="s">
        <v>984</v>
      </c>
      <c r="C2053" s="10" t="s">
        <v>985</v>
      </c>
    </row>
    <row r="2054" spans="1:3">
      <c r="A2054" s="8" t="s">
        <v>5287</v>
      </c>
      <c r="B2054" s="9" t="s">
        <v>5288</v>
      </c>
      <c r="C2054" s="10" t="s">
        <v>5289</v>
      </c>
    </row>
    <row r="2055" spans="1:3">
      <c r="A2055" s="8" t="s">
        <v>1151</v>
      </c>
      <c r="B2055" s="9" t="s">
        <v>1149</v>
      </c>
      <c r="C2055" s="10" t="s">
        <v>1150</v>
      </c>
    </row>
    <row r="2056" spans="1:3">
      <c r="A2056" s="8" t="s">
        <v>3586</v>
      </c>
      <c r="B2056" s="9" t="s">
        <v>3584</v>
      </c>
      <c r="C2056" s="10" t="s">
        <v>3585</v>
      </c>
    </row>
    <row r="2057" spans="1:3">
      <c r="A2057" s="8" t="s">
        <v>2531</v>
      </c>
      <c r="B2057" s="9" t="s">
        <v>2532</v>
      </c>
      <c r="C2057" s="10" t="s">
        <v>2533</v>
      </c>
    </row>
    <row r="2058" spans="1:3">
      <c r="A2058" s="8" t="s">
        <v>3595</v>
      </c>
      <c r="B2058" s="9" t="s">
        <v>3596</v>
      </c>
      <c r="C2058" s="10" t="s">
        <v>3597</v>
      </c>
    </row>
    <row r="2059" spans="1:3">
      <c r="A2059" s="8" t="s">
        <v>1152</v>
      </c>
      <c r="B2059" s="9" t="s">
        <v>1149</v>
      </c>
      <c r="C2059" s="10" t="s">
        <v>1150</v>
      </c>
    </row>
    <row r="2060" spans="1:3">
      <c r="A2060" s="8" t="s">
        <v>5499</v>
      </c>
      <c r="B2060" s="9" t="s">
        <v>5500</v>
      </c>
      <c r="C2060" s="10" t="s">
        <v>5501</v>
      </c>
    </row>
    <row r="2061" spans="1:3">
      <c r="A2061" s="8" t="s">
        <v>1091</v>
      </c>
      <c r="B2061" s="9" t="s">
        <v>1092</v>
      </c>
      <c r="C2061" s="10" t="s">
        <v>1093</v>
      </c>
    </row>
    <row r="2062" spans="1:3">
      <c r="A2062" s="8" t="s">
        <v>5266</v>
      </c>
      <c r="B2062" s="9" t="s">
        <v>5267</v>
      </c>
      <c r="C2062" s="10" t="s">
        <v>5268</v>
      </c>
    </row>
    <row r="2063" spans="1:3">
      <c r="A2063" s="8" t="s">
        <v>4636</v>
      </c>
      <c r="B2063" s="9" t="s">
        <v>4637</v>
      </c>
      <c r="C2063" s="10" t="s">
        <v>5881</v>
      </c>
    </row>
    <row r="2064" spans="1:3">
      <c r="A2064" s="8" t="s">
        <v>4638</v>
      </c>
      <c r="B2064" s="9" t="s">
        <v>4637</v>
      </c>
      <c r="C2064" s="10" t="s">
        <v>5881</v>
      </c>
    </row>
    <row r="2065" spans="1:3">
      <c r="A2065" s="8" t="s">
        <v>4626</v>
      </c>
      <c r="B2065" s="9" t="s">
        <v>4624</v>
      </c>
      <c r="C2065" s="10" t="s">
        <v>4625</v>
      </c>
    </row>
    <row r="2066" spans="1:3">
      <c r="A2066" s="8" t="s">
        <v>2844</v>
      </c>
      <c r="B2066" s="9" t="s">
        <v>2845</v>
      </c>
      <c r="C2066" s="10" t="s">
        <v>2846</v>
      </c>
    </row>
    <row r="2067" spans="1:3">
      <c r="A2067" s="8" t="s">
        <v>2720</v>
      </c>
      <c r="B2067" s="9" t="s">
        <v>2721</v>
      </c>
      <c r="C2067" s="10" t="s">
        <v>2722</v>
      </c>
    </row>
    <row r="2068" spans="1:3">
      <c r="A2068" s="8" t="s">
        <v>4960</v>
      </c>
      <c r="B2068" s="9" t="s">
        <v>4961</v>
      </c>
      <c r="C2068" s="10" t="s">
        <v>4962</v>
      </c>
    </row>
    <row r="2069" spans="1:3">
      <c r="A2069" s="8" t="s">
        <v>5475</v>
      </c>
      <c r="B2069" s="9" t="s">
        <v>5470</v>
      </c>
      <c r="C2069" s="10" t="s">
        <v>719</v>
      </c>
    </row>
    <row r="2070" spans="1:3">
      <c r="A2070" s="8" t="s">
        <v>5442</v>
      </c>
      <c r="B2070" s="9" t="s">
        <v>5443</v>
      </c>
      <c r="C2070" s="10" t="s">
        <v>5444</v>
      </c>
    </row>
    <row r="2071" spans="1:3">
      <c r="A2071" s="8" t="s">
        <v>4967</v>
      </c>
      <c r="B2071" s="9" t="s">
        <v>4968</v>
      </c>
      <c r="C2071" s="10" t="s">
        <v>4969</v>
      </c>
    </row>
    <row r="2072" spans="1:3">
      <c r="A2072" s="8" t="s">
        <v>4834</v>
      </c>
      <c r="B2072" s="9" t="s">
        <v>4835</v>
      </c>
      <c r="C2072" s="10" t="s">
        <v>4836</v>
      </c>
    </row>
    <row r="2073" spans="1:3">
      <c r="A2073" s="8" t="s">
        <v>4822</v>
      </c>
      <c r="B2073" s="9" t="s">
        <v>4820</v>
      </c>
      <c r="C2073" s="10" t="s">
        <v>4821</v>
      </c>
    </row>
    <row r="2074" spans="1:3">
      <c r="A2074" s="8" t="s">
        <v>4780</v>
      </c>
      <c r="B2074" s="9" t="s">
        <v>4781</v>
      </c>
      <c r="C2074" s="10" t="s">
        <v>4782</v>
      </c>
    </row>
    <row r="2075" spans="1:3">
      <c r="A2075" s="8" t="s">
        <v>4692</v>
      </c>
      <c r="B2075" s="9" t="s">
        <v>4691</v>
      </c>
      <c r="C2075" s="10" t="s">
        <v>719</v>
      </c>
    </row>
    <row r="2076" spans="1:3">
      <c r="A2076" s="8" t="s">
        <v>767</v>
      </c>
      <c r="B2076" s="9" t="s">
        <v>768</v>
      </c>
      <c r="C2076" s="10" t="s">
        <v>769</v>
      </c>
    </row>
    <row r="2077" spans="1:3">
      <c r="A2077" s="8" t="s">
        <v>4970</v>
      </c>
      <c r="B2077" s="9" t="s">
        <v>4968</v>
      </c>
      <c r="C2077" s="10" t="s">
        <v>4969</v>
      </c>
    </row>
    <row r="2078" spans="1:3">
      <c r="A2078" s="8" t="s">
        <v>4974</v>
      </c>
      <c r="B2078" s="9" t="s">
        <v>4975</v>
      </c>
      <c r="C2078" s="10" t="s">
        <v>4976</v>
      </c>
    </row>
    <row r="2079" spans="1:3">
      <c r="A2079" s="8" t="s">
        <v>4963</v>
      </c>
      <c r="B2079" s="9" t="s">
        <v>4961</v>
      </c>
      <c r="C2079" s="10" t="s">
        <v>4962</v>
      </c>
    </row>
    <row r="2080" spans="1:3">
      <c r="A2080" s="8" t="s">
        <v>4988</v>
      </c>
      <c r="B2080" s="9" t="s">
        <v>4989</v>
      </c>
      <c r="C2080" s="10" t="s">
        <v>4990</v>
      </c>
    </row>
    <row r="2081" spans="1:3">
      <c r="A2081" s="8" t="s">
        <v>4985</v>
      </c>
      <c r="B2081" s="9" t="s">
        <v>4986</v>
      </c>
      <c r="C2081" s="10" t="s">
        <v>4987</v>
      </c>
    </row>
    <row r="2082" spans="1:3">
      <c r="A2082" s="8" t="s">
        <v>4993</v>
      </c>
      <c r="B2082" s="9" t="s">
        <v>4994</v>
      </c>
      <c r="C2082" s="10" t="s">
        <v>4995</v>
      </c>
    </row>
    <row r="2083" spans="1:3">
      <c r="A2083" s="8" t="s">
        <v>4951</v>
      </c>
      <c r="B2083" s="9" t="s">
        <v>4949</v>
      </c>
      <c r="C2083" s="10" t="s">
        <v>4950</v>
      </c>
    </row>
    <row r="2084" spans="1:3">
      <c r="A2084" s="8" t="s">
        <v>4964</v>
      </c>
      <c r="B2084" s="9" t="s">
        <v>4965</v>
      </c>
      <c r="C2084" s="10" t="s">
        <v>4966</v>
      </c>
    </row>
    <row r="2085" spans="1:3">
      <c r="A2085" s="8" t="s">
        <v>5247</v>
      </c>
      <c r="B2085" s="9" t="s">
        <v>5245</v>
      </c>
      <c r="C2085" s="10" t="s">
        <v>5246</v>
      </c>
    </row>
    <row r="2086" spans="1:3">
      <c r="A2086" s="8" t="s">
        <v>5305</v>
      </c>
      <c r="B2086" s="9" t="s">
        <v>5306</v>
      </c>
      <c r="C2086" s="10" t="s">
        <v>5307</v>
      </c>
    </row>
    <row r="2087" spans="1:3">
      <c r="A2087" s="8" t="s">
        <v>3168</v>
      </c>
      <c r="B2087" s="9" t="s">
        <v>3164</v>
      </c>
      <c r="C2087" s="10" t="s">
        <v>3165</v>
      </c>
    </row>
    <row r="2088" spans="1:3">
      <c r="A2088" s="8" t="s">
        <v>5296</v>
      </c>
      <c r="B2088" s="9" t="s">
        <v>5297</v>
      </c>
      <c r="C2088" s="10" t="s">
        <v>5298</v>
      </c>
    </row>
    <row r="2089" spans="1:3">
      <c r="A2089" s="8" t="s">
        <v>1513</v>
      </c>
      <c r="B2089" s="9" t="s">
        <v>1511</v>
      </c>
      <c r="C2089" s="10" t="s">
        <v>1512</v>
      </c>
    </row>
    <row r="2090" spans="1:3">
      <c r="A2090" s="8" t="s">
        <v>1505</v>
      </c>
      <c r="B2090" s="9" t="s">
        <v>1506</v>
      </c>
      <c r="C2090" s="10" t="s">
        <v>1507</v>
      </c>
    </row>
    <row r="2091" spans="1:3">
      <c r="A2091" s="8" t="s">
        <v>2263</v>
      </c>
      <c r="B2091" s="9" t="s">
        <v>2264</v>
      </c>
      <c r="C2091" s="10" t="s">
        <v>2265</v>
      </c>
    </row>
    <row r="2092" spans="1:3">
      <c r="A2092" s="8" t="s">
        <v>1961</v>
      </c>
      <c r="B2092" s="9" t="s">
        <v>1962</v>
      </c>
      <c r="C2092" s="10" t="s">
        <v>1963</v>
      </c>
    </row>
    <row r="2093" spans="1:3">
      <c r="A2093" s="8" t="s">
        <v>2772</v>
      </c>
      <c r="B2093" s="9" t="s">
        <v>2773</v>
      </c>
      <c r="C2093" s="10" t="s">
        <v>2769</v>
      </c>
    </row>
    <row r="2094" spans="1:3">
      <c r="A2094" s="8" t="s">
        <v>3942</v>
      </c>
      <c r="B2094" s="9" t="s">
        <v>3943</v>
      </c>
      <c r="C2094" s="10" t="s">
        <v>3944</v>
      </c>
    </row>
    <row r="2095" spans="1:3">
      <c r="A2095" s="8" t="s">
        <v>3887</v>
      </c>
      <c r="B2095" s="9" t="s">
        <v>3885</v>
      </c>
      <c r="C2095" s="10" t="s">
        <v>3886</v>
      </c>
    </row>
    <row r="2096" spans="1:3">
      <c r="A2096" s="8" t="s">
        <v>4699</v>
      </c>
      <c r="B2096" s="9" t="s">
        <v>4697</v>
      </c>
      <c r="C2096" s="10" t="s">
        <v>719</v>
      </c>
    </row>
    <row r="2097" spans="1:3">
      <c r="A2097" s="8" t="s">
        <v>4687</v>
      </c>
      <c r="B2097" s="9" t="s">
        <v>4688</v>
      </c>
      <c r="C2097" s="10" t="s">
        <v>4689</v>
      </c>
    </row>
    <row r="2098" spans="1:3">
      <c r="A2098" s="8" t="s">
        <v>5066</v>
      </c>
      <c r="B2098" s="9" t="s">
        <v>5067</v>
      </c>
      <c r="C2098" s="10" t="s">
        <v>5068</v>
      </c>
    </row>
    <row r="2099" spans="1:3">
      <c r="A2099" s="8" t="s">
        <v>1502</v>
      </c>
      <c r="B2099" s="9" t="s">
        <v>1503</v>
      </c>
      <c r="C2099" s="10" t="s">
        <v>1504</v>
      </c>
    </row>
    <row r="2100" spans="1:3">
      <c r="A2100" s="8" t="s">
        <v>2770</v>
      </c>
      <c r="B2100" s="9" t="s">
        <v>2771</v>
      </c>
      <c r="C2100" s="10" t="s">
        <v>2769</v>
      </c>
    </row>
    <row r="2101" spans="1:3">
      <c r="A2101" s="8" t="s">
        <v>1922</v>
      </c>
      <c r="B2101" s="9" t="s">
        <v>1923</v>
      </c>
      <c r="C2101" s="10" t="s">
        <v>1924</v>
      </c>
    </row>
    <row r="2102" spans="1:3">
      <c r="A2102" s="8" t="s">
        <v>1919</v>
      </c>
      <c r="B2102" s="9" t="s">
        <v>1920</v>
      </c>
      <c r="C2102" s="10" t="s">
        <v>1921</v>
      </c>
    </row>
    <row r="2103" spans="1:3">
      <c r="A2103" s="8" t="s">
        <v>3835</v>
      </c>
      <c r="B2103" s="9" t="s">
        <v>3836</v>
      </c>
      <c r="C2103" s="10" t="s">
        <v>3837</v>
      </c>
    </row>
    <row r="2104" spans="1:3">
      <c r="A2104" s="8" t="s">
        <v>1949</v>
      </c>
      <c r="B2104" s="9" t="s">
        <v>1950</v>
      </c>
      <c r="C2104" s="10" t="s">
        <v>1951</v>
      </c>
    </row>
    <row r="2105" spans="1:3">
      <c r="A2105" s="8" t="s">
        <v>567</v>
      </c>
      <c r="B2105" s="9" t="s">
        <v>568</v>
      </c>
      <c r="C2105" s="10" t="s">
        <v>569</v>
      </c>
    </row>
    <row r="2106" spans="1:3">
      <c r="A2106" s="8" t="s">
        <v>4266</v>
      </c>
      <c r="B2106" s="9" t="s">
        <v>4267</v>
      </c>
      <c r="C2106" s="10" t="s">
        <v>4268</v>
      </c>
    </row>
    <row r="2107" spans="1:3">
      <c r="A2107" s="8" t="s">
        <v>1839</v>
      </c>
      <c r="B2107" s="9" t="s">
        <v>1840</v>
      </c>
      <c r="C2107" s="10" t="s">
        <v>719</v>
      </c>
    </row>
    <row r="2108" spans="1:3">
      <c r="A2108" s="8" t="s">
        <v>1834</v>
      </c>
      <c r="B2108" s="9" t="s">
        <v>1835</v>
      </c>
      <c r="C2108" s="10" t="s">
        <v>1836</v>
      </c>
    </row>
    <row r="2109" spans="1:3">
      <c r="A2109" s="8" t="s">
        <v>1847</v>
      </c>
      <c r="B2109" s="9" t="s">
        <v>1848</v>
      </c>
      <c r="C2109" s="10" t="s">
        <v>1849</v>
      </c>
    </row>
    <row r="2110" spans="1:3">
      <c r="A2110" s="8" t="s">
        <v>1844</v>
      </c>
      <c r="B2110" s="9" t="s">
        <v>1845</v>
      </c>
      <c r="C2110" s="10" t="s">
        <v>1846</v>
      </c>
    </row>
    <row r="2111" spans="1:3">
      <c r="A2111" s="8" t="s">
        <v>380</v>
      </c>
      <c r="B2111" s="9" t="s">
        <v>381</v>
      </c>
      <c r="C2111" s="10" t="s">
        <v>719</v>
      </c>
    </row>
    <row r="2112" spans="1:3">
      <c r="A2112" s="8" t="s">
        <v>4263</v>
      </c>
      <c r="B2112" s="9" t="s">
        <v>4264</v>
      </c>
      <c r="C2112" s="10" t="s">
        <v>4265</v>
      </c>
    </row>
    <row r="2113" spans="1:3">
      <c r="A2113" s="8" t="s">
        <v>4260</v>
      </c>
      <c r="B2113" s="9" t="s">
        <v>4261</v>
      </c>
      <c r="C2113" s="10" t="s">
        <v>4262</v>
      </c>
    </row>
    <row r="2114" spans="1:3">
      <c r="A2114" s="8" t="s">
        <v>3385</v>
      </c>
      <c r="B2114" s="9" t="s">
        <v>3382</v>
      </c>
      <c r="C2114" s="10" t="s">
        <v>3383</v>
      </c>
    </row>
    <row r="2115" spans="1:3">
      <c r="A2115" s="8" t="s">
        <v>1523</v>
      </c>
      <c r="B2115" s="9" t="s">
        <v>1524</v>
      </c>
      <c r="C2115" s="10" t="s">
        <v>719</v>
      </c>
    </row>
    <row r="2116" spans="1:3">
      <c r="A2116" s="8" t="s">
        <v>1543</v>
      </c>
      <c r="B2116" s="9" t="s">
        <v>1544</v>
      </c>
      <c r="C2116" s="10" t="s">
        <v>1545</v>
      </c>
    </row>
    <row r="2117" spans="1:3">
      <c r="A2117" s="8" t="s">
        <v>934</v>
      </c>
      <c r="B2117" s="9" t="s">
        <v>935</v>
      </c>
      <c r="C2117" s="10" t="s">
        <v>936</v>
      </c>
    </row>
    <row r="2118" spans="1:3">
      <c r="A2118" s="8" t="s">
        <v>928</v>
      </c>
      <c r="B2118" s="9" t="s">
        <v>929</v>
      </c>
      <c r="C2118" s="10" t="s">
        <v>930</v>
      </c>
    </row>
    <row r="2119" spans="1:3">
      <c r="A2119" s="8" t="s">
        <v>29</v>
      </c>
      <c r="B2119" s="9" t="s">
        <v>30</v>
      </c>
      <c r="C2119" s="10" t="s">
        <v>31</v>
      </c>
    </row>
    <row r="2120" spans="1:3">
      <c r="A2120" s="8" t="s">
        <v>32</v>
      </c>
      <c r="B2120" s="9" t="s">
        <v>33</v>
      </c>
      <c r="C2120" s="10" t="s">
        <v>34</v>
      </c>
    </row>
    <row r="2121" spans="1:3">
      <c r="A2121" s="8" t="s">
        <v>2565</v>
      </c>
      <c r="B2121" s="9" t="s">
        <v>2563</v>
      </c>
      <c r="C2121" s="10" t="s">
        <v>2564</v>
      </c>
    </row>
    <row r="2122" spans="1:3">
      <c r="A2122" s="8" t="s">
        <v>2558</v>
      </c>
      <c r="B2122" s="9" t="s">
        <v>2559</v>
      </c>
      <c r="C2122" s="10" t="s">
        <v>2560</v>
      </c>
    </row>
    <row r="2123" spans="1:3">
      <c r="A2123" s="8" t="s">
        <v>2561</v>
      </c>
      <c r="B2123" s="9" t="s">
        <v>2559</v>
      </c>
      <c r="C2123" s="10" t="s">
        <v>2560</v>
      </c>
    </row>
    <row r="2124" spans="1:3">
      <c r="A2124" s="8" t="s">
        <v>4258</v>
      </c>
      <c r="B2124" s="9" t="s">
        <v>4259</v>
      </c>
      <c r="C2124" s="10" t="s">
        <v>4259</v>
      </c>
    </row>
    <row r="2125" spans="1:3">
      <c r="A2125" s="8" t="s">
        <v>3386</v>
      </c>
      <c r="B2125" s="9" t="s">
        <v>3382</v>
      </c>
      <c r="C2125" s="10" t="s">
        <v>3383</v>
      </c>
    </row>
    <row r="2126" spans="1:3">
      <c r="A2126" s="8" t="s">
        <v>5054</v>
      </c>
      <c r="B2126" s="9" t="s">
        <v>5055</v>
      </c>
      <c r="C2126" s="10" t="s">
        <v>5056</v>
      </c>
    </row>
    <row r="2127" spans="1:3">
      <c r="A2127" s="8" t="s">
        <v>2206</v>
      </c>
      <c r="B2127" s="9" t="s">
        <v>2205</v>
      </c>
      <c r="C2127" s="10" t="s">
        <v>719</v>
      </c>
    </row>
    <row r="2128" spans="1:3">
      <c r="A2128" s="8" t="s">
        <v>2150</v>
      </c>
      <c r="B2128" s="9" t="s">
        <v>2151</v>
      </c>
      <c r="C2128" s="10" t="s">
        <v>2152</v>
      </c>
    </row>
    <row r="2129" spans="1:3">
      <c r="A2129" s="8" t="s">
        <v>2698</v>
      </c>
      <c r="B2129" s="9" t="s">
        <v>2697</v>
      </c>
      <c r="C2129" s="10" t="s">
        <v>2699</v>
      </c>
    </row>
    <row r="2130" spans="1:3">
      <c r="A2130" s="8" t="s">
        <v>278</v>
      </c>
      <c r="B2130" s="9" t="s">
        <v>279</v>
      </c>
      <c r="C2130" s="10" t="s">
        <v>267</v>
      </c>
    </row>
    <row r="2131" spans="1:3">
      <c r="A2131" s="8" t="s">
        <v>273</v>
      </c>
      <c r="B2131" s="9" t="s">
        <v>271</v>
      </c>
      <c r="C2131" s="10" t="s">
        <v>272</v>
      </c>
    </row>
    <row r="2132" spans="1:3">
      <c r="A2132" s="8" t="s">
        <v>262</v>
      </c>
      <c r="B2132" s="9" t="s">
        <v>263</v>
      </c>
      <c r="C2132" s="10" t="s">
        <v>264</v>
      </c>
    </row>
    <row r="2133" spans="1:3">
      <c r="A2133" s="8" t="s">
        <v>255</v>
      </c>
      <c r="B2133" s="9" t="s">
        <v>253</v>
      </c>
      <c r="C2133" s="10" t="s">
        <v>254</v>
      </c>
    </row>
    <row r="2134" spans="1:3">
      <c r="A2134" s="8" t="s">
        <v>283</v>
      </c>
      <c r="B2134" s="9" t="s">
        <v>284</v>
      </c>
      <c r="C2134" s="10" t="s">
        <v>285</v>
      </c>
    </row>
    <row r="2135" spans="1:3">
      <c r="A2135" s="8" t="s">
        <v>280</v>
      </c>
      <c r="B2135" s="9" t="s">
        <v>281</v>
      </c>
      <c r="C2135" s="10" t="s">
        <v>282</v>
      </c>
    </row>
    <row r="2136" spans="1:3">
      <c r="A2136" s="8" t="s">
        <v>251</v>
      </c>
      <c r="B2136" s="9" t="s">
        <v>249</v>
      </c>
      <c r="C2136" s="10" t="s">
        <v>250</v>
      </c>
    </row>
    <row r="2137" spans="1:3">
      <c r="A2137" s="8" t="s">
        <v>4286</v>
      </c>
      <c r="B2137" s="9" t="s">
        <v>4287</v>
      </c>
      <c r="C2137" s="10" t="s">
        <v>719</v>
      </c>
    </row>
    <row r="2138" spans="1:3">
      <c r="A2138" s="8" t="s">
        <v>3945</v>
      </c>
      <c r="B2138" s="9" t="s">
        <v>3946</v>
      </c>
      <c r="C2138" s="10" t="s">
        <v>3947</v>
      </c>
    </row>
    <row r="2139" spans="1:3">
      <c r="A2139" s="8" t="s">
        <v>4139</v>
      </c>
      <c r="B2139" s="9" t="s">
        <v>4140</v>
      </c>
      <c r="C2139" s="10" t="s">
        <v>4141</v>
      </c>
    </row>
    <row r="2140" spans="1:3">
      <c r="A2140" s="8" t="s">
        <v>4142</v>
      </c>
      <c r="B2140" s="9" t="s">
        <v>4140</v>
      </c>
      <c r="C2140" s="10" t="s">
        <v>4141</v>
      </c>
    </row>
    <row r="2141" spans="1:3">
      <c r="A2141" s="8" t="s">
        <v>5882</v>
      </c>
      <c r="B2141" s="9" t="e">
        <v>#N/A</v>
      </c>
      <c r="C2141" s="10" t="e">
        <v>#N/A</v>
      </c>
    </row>
    <row r="2142" spans="1:3">
      <c r="A2142" s="8" t="s">
        <v>3972</v>
      </c>
      <c r="B2142" s="9" t="s">
        <v>3973</v>
      </c>
      <c r="C2142" s="10" t="s">
        <v>3974</v>
      </c>
    </row>
    <row r="2143" spans="1:3">
      <c r="A2143" s="8" t="s">
        <v>3574</v>
      </c>
      <c r="B2143" s="9" t="s">
        <v>3575</v>
      </c>
      <c r="C2143" s="10" t="s">
        <v>3576</v>
      </c>
    </row>
    <row r="2144" spans="1:3">
      <c r="A2144" s="8" t="s">
        <v>3988</v>
      </c>
      <c r="B2144" s="9" t="s">
        <v>3989</v>
      </c>
      <c r="C2144" s="10" t="s">
        <v>3990</v>
      </c>
    </row>
    <row r="2145" spans="1:3">
      <c r="A2145" s="8" t="s">
        <v>5665</v>
      </c>
      <c r="B2145" s="9" t="s">
        <v>5666</v>
      </c>
      <c r="C2145" s="10" t="s">
        <v>5667</v>
      </c>
    </row>
    <row r="2146" spans="1:3">
      <c r="A2146" s="8" t="s">
        <v>1972</v>
      </c>
      <c r="B2146" s="9" t="s">
        <v>1973</v>
      </c>
      <c r="C2146" s="10" t="s">
        <v>1974</v>
      </c>
    </row>
    <row r="2147" spans="1:3">
      <c r="A2147" s="8" t="s">
        <v>3487</v>
      </c>
      <c r="B2147" s="9" t="s">
        <v>3488</v>
      </c>
      <c r="C2147" s="10" t="s">
        <v>3489</v>
      </c>
    </row>
    <row r="2148" spans="1:3">
      <c r="A2148" s="8" t="s">
        <v>3978</v>
      </c>
      <c r="B2148" s="9" t="s">
        <v>3979</v>
      </c>
      <c r="C2148" s="10" t="s">
        <v>3980</v>
      </c>
    </row>
    <row r="2149" spans="1:3">
      <c r="A2149" s="8" t="s">
        <v>2297</v>
      </c>
      <c r="B2149" s="9" t="s">
        <v>2298</v>
      </c>
      <c r="C2149" s="10" t="s">
        <v>2299</v>
      </c>
    </row>
    <row r="2150" spans="1:3">
      <c r="A2150" s="8" t="s">
        <v>4872</v>
      </c>
      <c r="B2150" s="9" t="s">
        <v>4873</v>
      </c>
      <c r="C2150" s="10" t="s">
        <v>4874</v>
      </c>
    </row>
    <row r="2151" spans="1:3">
      <c r="A2151" s="8" t="s">
        <v>2388</v>
      </c>
      <c r="B2151" s="9" t="s">
        <v>2389</v>
      </c>
      <c r="C2151" s="10" t="s">
        <v>2390</v>
      </c>
    </row>
    <row r="2152" spans="1:3">
      <c r="A2152" s="8" t="s">
        <v>1169</v>
      </c>
      <c r="B2152" s="9" t="s">
        <v>1170</v>
      </c>
      <c r="C2152" s="10" t="s">
        <v>1171</v>
      </c>
    </row>
    <row r="2153" spans="1:3">
      <c r="A2153" s="8" t="s">
        <v>4760</v>
      </c>
      <c r="B2153" s="9" t="s">
        <v>4761</v>
      </c>
      <c r="C2153" s="10" t="s">
        <v>4762</v>
      </c>
    </row>
    <row r="2154" spans="1:3">
      <c r="A2154" s="8" t="s">
        <v>4750</v>
      </c>
      <c r="B2154" s="9" t="s">
        <v>4751</v>
      </c>
      <c r="C2154" s="10" t="s">
        <v>5883</v>
      </c>
    </row>
    <row r="2155" spans="1:3">
      <c r="A2155" s="8" t="s">
        <v>5082</v>
      </c>
      <c r="B2155" s="9" t="s">
        <v>5083</v>
      </c>
      <c r="C2155" s="10" t="s">
        <v>5084</v>
      </c>
    </row>
    <row r="2156" spans="1:3">
      <c r="A2156" s="8" t="s">
        <v>1328</v>
      </c>
      <c r="B2156" s="9" t="s">
        <v>1326</v>
      </c>
      <c r="C2156" s="10" t="s">
        <v>1327</v>
      </c>
    </row>
    <row r="2157" spans="1:3">
      <c r="A2157" s="8" t="s">
        <v>2454</v>
      </c>
      <c r="B2157" s="9" t="s">
        <v>2455</v>
      </c>
      <c r="C2157" s="10" t="s">
        <v>2456</v>
      </c>
    </row>
    <row r="2158" spans="1:3">
      <c r="A2158" s="8" t="s">
        <v>4678</v>
      </c>
      <c r="B2158" s="9" t="s">
        <v>4679</v>
      </c>
      <c r="C2158" s="10" t="s">
        <v>4680</v>
      </c>
    </row>
    <row r="2159" spans="1:3">
      <c r="A2159" s="8" t="s">
        <v>2238</v>
      </c>
      <c r="B2159" s="9" t="s">
        <v>2233</v>
      </c>
      <c r="C2159" s="10" t="s">
        <v>719</v>
      </c>
    </row>
    <row r="2160" spans="1:3">
      <c r="A2160" s="8" t="s">
        <v>2922</v>
      </c>
      <c r="B2160" s="9" t="s">
        <v>2923</v>
      </c>
      <c r="C2160" s="10" t="s">
        <v>719</v>
      </c>
    </row>
    <row r="2161" spans="1:3">
      <c r="A2161" s="8" t="s">
        <v>3055</v>
      </c>
      <c r="B2161" s="9" t="s">
        <v>3054</v>
      </c>
      <c r="C2161" s="10" t="s">
        <v>719</v>
      </c>
    </row>
    <row r="2162" spans="1:3">
      <c r="A2162" s="8" t="s">
        <v>3044</v>
      </c>
      <c r="B2162" s="9" t="s">
        <v>3045</v>
      </c>
      <c r="C2162" s="10" t="s">
        <v>3046</v>
      </c>
    </row>
    <row r="2163" spans="1:3">
      <c r="A2163" s="8" t="s">
        <v>5308</v>
      </c>
      <c r="B2163" s="9" t="s">
        <v>5309</v>
      </c>
      <c r="C2163" s="10" t="s">
        <v>5310</v>
      </c>
    </row>
    <row r="2164" spans="1:3">
      <c r="A2164" s="8" t="s">
        <v>2324</v>
      </c>
      <c r="B2164" s="9" t="s">
        <v>2325</v>
      </c>
      <c r="C2164" s="10" t="s">
        <v>2326</v>
      </c>
    </row>
    <row r="2165" spans="1:3">
      <c r="A2165" s="8" t="s">
        <v>2312</v>
      </c>
      <c r="B2165" s="9" t="s">
        <v>2313</v>
      </c>
      <c r="C2165" s="10" t="s">
        <v>2314</v>
      </c>
    </row>
    <row r="2166" spans="1:3">
      <c r="A2166" s="8" t="s">
        <v>2318</v>
      </c>
      <c r="B2166" s="9" t="s">
        <v>2319</v>
      </c>
      <c r="C2166" s="10" t="s">
        <v>2320</v>
      </c>
    </row>
    <row r="2167" spans="1:3">
      <c r="A2167" s="8" t="s">
        <v>2391</v>
      </c>
      <c r="B2167" s="9" t="s">
        <v>2392</v>
      </c>
      <c r="C2167" s="10" t="s">
        <v>2393</v>
      </c>
    </row>
    <row r="2168" spans="1:3">
      <c r="A2168" s="8" t="s">
        <v>1338</v>
      </c>
      <c r="B2168" s="9" t="s">
        <v>1339</v>
      </c>
      <c r="C2168" s="10" t="s">
        <v>1340</v>
      </c>
    </row>
    <row r="2169" spans="1:3">
      <c r="A2169" s="8" t="s">
        <v>2315</v>
      </c>
      <c r="B2169" s="9" t="s">
        <v>2316</v>
      </c>
      <c r="C2169" s="10" t="s">
        <v>2317</v>
      </c>
    </row>
    <row r="2170" spans="1:3">
      <c r="A2170" s="8" t="s">
        <v>2300</v>
      </c>
      <c r="B2170" s="9" t="s">
        <v>2301</v>
      </c>
      <c r="C2170" s="10" t="s">
        <v>2301</v>
      </c>
    </row>
    <row r="2171" spans="1:3">
      <c r="A2171" s="8" t="s">
        <v>1653</v>
      </c>
      <c r="B2171" s="9" t="s">
        <v>1654</v>
      </c>
      <c r="C2171" s="10" t="s">
        <v>1655</v>
      </c>
    </row>
    <row r="2172" spans="1:3">
      <c r="A2172" s="8" t="s">
        <v>5108</v>
      </c>
      <c r="B2172" s="9" t="s">
        <v>5109</v>
      </c>
      <c r="C2172" s="10" t="s">
        <v>719</v>
      </c>
    </row>
    <row r="2173" spans="1:3">
      <c r="A2173" s="8" t="s">
        <v>5110</v>
      </c>
      <c r="B2173" s="9" t="s">
        <v>5109</v>
      </c>
      <c r="C2173" s="10" t="s">
        <v>719</v>
      </c>
    </row>
    <row r="2174" spans="1:3">
      <c r="A2174" s="8" t="s">
        <v>2427</v>
      </c>
      <c r="B2174" s="9" t="s">
        <v>2428</v>
      </c>
      <c r="C2174" s="10" t="s">
        <v>2429</v>
      </c>
    </row>
    <row r="2175" spans="1:3">
      <c r="A2175" s="8" t="s">
        <v>1190</v>
      </c>
      <c r="B2175" s="9" t="s">
        <v>1191</v>
      </c>
      <c r="C2175" s="10" t="s">
        <v>1192</v>
      </c>
    </row>
    <row r="2176" spans="1:3">
      <c r="A2176" s="8" t="s">
        <v>2310</v>
      </c>
      <c r="B2176" s="9" t="s">
        <v>2311</v>
      </c>
      <c r="C2176" s="10" t="s">
        <v>719</v>
      </c>
    </row>
    <row r="2177" spans="1:3">
      <c r="A2177" s="8" t="s">
        <v>167</v>
      </c>
      <c r="B2177" s="9" t="s">
        <v>168</v>
      </c>
      <c r="C2177" s="10" t="s">
        <v>169</v>
      </c>
    </row>
    <row r="2178" spans="1:3">
      <c r="A2178" s="8" t="s">
        <v>2700</v>
      </c>
      <c r="B2178" s="9" t="s">
        <v>2697</v>
      </c>
      <c r="C2178" s="10" t="s">
        <v>2699</v>
      </c>
    </row>
    <row r="2179" spans="1:3">
      <c r="A2179" s="8" t="s">
        <v>2701</v>
      </c>
      <c r="B2179" s="9" t="s">
        <v>2697</v>
      </c>
      <c r="C2179" s="10" t="s">
        <v>2699</v>
      </c>
    </row>
    <row r="2180" spans="1:3">
      <c r="A2180" s="8" t="s">
        <v>2702</v>
      </c>
      <c r="B2180" s="9" t="s">
        <v>2697</v>
      </c>
      <c r="C2180" s="10" t="s">
        <v>2699</v>
      </c>
    </row>
    <row r="2181" spans="1:3">
      <c r="A2181" s="8" t="s">
        <v>2360</v>
      </c>
      <c r="B2181" s="9" t="s">
        <v>2361</v>
      </c>
      <c r="C2181" s="10" t="s">
        <v>2362</v>
      </c>
    </row>
    <row r="2182" spans="1:3">
      <c r="A2182" s="8" t="s">
        <v>311</v>
      </c>
      <c r="B2182" s="9" t="s">
        <v>312</v>
      </c>
      <c r="C2182" s="10" t="s">
        <v>313</v>
      </c>
    </row>
    <row r="2183" spans="1:3">
      <c r="A2183" s="8" t="s">
        <v>314</v>
      </c>
      <c r="B2183" s="9" t="s">
        <v>312</v>
      </c>
      <c r="C2183" s="10" t="s">
        <v>313</v>
      </c>
    </row>
    <row r="2184" spans="1:3">
      <c r="A2184" s="8" t="s">
        <v>1687</v>
      </c>
      <c r="B2184" s="9" t="s">
        <v>1684</v>
      </c>
      <c r="C2184" s="10" t="s">
        <v>1684</v>
      </c>
    </row>
    <row r="2185" spans="1:3">
      <c r="A2185" s="8" t="s">
        <v>593</v>
      </c>
      <c r="B2185" s="9" t="s">
        <v>594</v>
      </c>
      <c r="C2185" s="10" t="s">
        <v>595</v>
      </c>
    </row>
    <row r="2186" spans="1:3">
      <c r="A2186" s="8" t="s">
        <v>3819</v>
      </c>
      <c r="B2186" s="9" t="s">
        <v>3817</v>
      </c>
      <c r="C2186" s="10" t="s">
        <v>3818</v>
      </c>
    </row>
    <row r="2187" spans="1:3">
      <c r="A2187" s="8" t="s">
        <v>3820</v>
      </c>
      <c r="B2187" s="9" t="s">
        <v>3821</v>
      </c>
      <c r="C2187" s="10" t="s">
        <v>3822</v>
      </c>
    </row>
    <row r="2188" spans="1:3">
      <c r="A2188" s="8" t="s">
        <v>4489</v>
      </c>
      <c r="B2188" s="9" t="s">
        <v>4490</v>
      </c>
      <c r="C2188" s="10" t="s">
        <v>5884</v>
      </c>
    </row>
    <row r="2189" spans="1:3">
      <c r="A2189" s="8" t="s">
        <v>4469</v>
      </c>
      <c r="B2189" s="9" t="s">
        <v>4470</v>
      </c>
      <c r="C2189" s="10" t="s">
        <v>4471</v>
      </c>
    </row>
    <row r="2190" spans="1:3">
      <c r="A2190" s="8" t="s">
        <v>4406</v>
      </c>
      <c r="B2190" s="9" t="s">
        <v>4407</v>
      </c>
      <c r="C2190" s="10" t="s">
        <v>4408</v>
      </c>
    </row>
    <row r="2191" spans="1:3">
      <c r="A2191" s="8" t="s">
        <v>4321</v>
      </c>
      <c r="B2191" s="9" t="s">
        <v>4319</v>
      </c>
      <c r="C2191" s="10" t="s">
        <v>4320</v>
      </c>
    </row>
    <row r="2192" spans="1:3">
      <c r="A2192" s="8" t="s">
        <v>2062</v>
      </c>
      <c r="B2192" s="9" t="s">
        <v>2063</v>
      </c>
      <c r="C2192" s="10" t="s">
        <v>719</v>
      </c>
    </row>
    <row r="2193" spans="1:3">
      <c r="A2193" s="8" t="s">
        <v>2052</v>
      </c>
      <c r="B2193" s="9" t="s">
        <v>2050</v>
      </c>
      <c r="C2193" s="10" t="s">
        <v>2051</v>
      </c>
    </row>
    <row r="2194" spans="1:3">
      <c r="A2194" s="8" t="s">
        <v>2091</v>
      </c>
      <c r="B2194" s="9" t="s">
        <v>2092</v>
      </c>
      <c r="C2194" s="10" t="s">
        <v>2093</v>
      </c>
    </row>
    <row r="2195" spans="1:3">
      <c r="A2195" s="8" t="s">
        <v>2059</v>
      </c>
      <c r="B2195" s="9" t="s">
        <v>2060</v>
      </c>
      <c r="C2195" s="10" t="s">
        <v>2061</v>
      </c>
    </row>
    <row r="2196" spans="1:3">
      <c r="A2196" s="8" t="s">
        <v>2053</v>
      </c>
      <c r="B2196" s="9" t="s">
        <v>2054</v>
      </c>
      <c r="C2196" s="10" t="s">
        <v>2055</v>
      </c>
    </row>
    <row r="2197" spans="1:3">
      <c r="A2197" s="8" t="s">
        <v>2085</v>
      </c>
      <c r="B2197" s="9" t="s">
        <v>2086</v>
      </c>
      <c r="C2197" s="10" t="s">
        <v>2087</v>
      </c>
    </row>
    <row r="2198" spans="1:3">
      <c r="A2198" s="8" t="s">
        <v>2094</v>
      </c>
      <c r="B2198" s="9" t="s">
        <v>2095</v>
      </c>
      <c r="C2198" s="10" t="s">
        <v>2096</v>
      </c>
    </row>
    <row r="2199" spans="1:3">
      <c r="A2199" s="8" t="s">
        <v>1037</v>
      </c>
      <c r="B2199" s="9" t="s">
        <v>1035</v>
      </c>
      <c r="C2199" s="10" t="s">
        <v>1036</v>
      </c>
    </row>
    <row r="2200" spans="1:3">
      <c r="A2200" s="8" t="s">
        <v>922</v>
      </c>
      <c r="B2200" s="9" t="s">
        <v>923</v>
      </c>
      <c r="C2200" s="10" t="s">
        <v>924</v>
      </c>
    </row>
    <row r="2201" spans="1:3">
      <c r="A2201" s="8" t="s">
        <v>79</v>
      </c>
      <c r="B2201" s="9" t="s">
        <v>80</v>
      </c>
      <c r="C2201" s="10" t="s">
        <v>719</v>
      </c>
    </row>
    <row r="2202" spans="1:3">
      <c r="A2202" s="8" t="s">
        <v>2305</v>
      </c>
      <c r="B2202" s="9" t="s">
        <v>2306</v>
      </c>
      <c r="C2202" s="10" t="s">
        <v>719</v>
      </c>
    </row>
    <row r="2203" spans="1:3">
      <c r="A2203" s="8" t="s">
        <v>4037</v>
      </c>
      <c r="B2203" s="9" t="s">
        <v>4038</v>
      </c>
      <c r="C2203" s="10" t="s">
        <v>4039</v>
      </c>
    </row>
    <row r="2204" spans="1:3">
      <c r="A2204" s="8" t="s">
        <v>4022</v>
      </c>
      <c r="B2204" s="9" t="s">
        <v>4023</v>
      </c>
      <c r="C2204" s="10" t="s">
        <v>4024</v>
      </c>
    </row>
    <row r="2205" spans="1:3">
      <c r="A2205" s="8" t="s">
        <v>189</v>
      </c>
      <c r="B2205" s="9" t="s">
        <v>190</v>
      </c>
      <c r="C2205" s="10" t="s">
        <v>191</v>
      </c>
    </row>
    <row r="2206" spans="1:3">
      <c r="A2206" s="8" t="s">
        <v>2351</v>
      </c>
      <c r="B2206" s="9" t="s">
        <v>2352</v>
      </c>
      <c r="C2206" s="10" t="s">
        <v>2353</v>
      </c>
    </row>
    <row r="2207" spans="1:3">
      <c r="A2207" s="8" t="s">
        <v>1112</v>
      </c>
      <c r="B2207" s="9" t="s">
        <v>1110</v>
      </c>
      <c r="C2207" s="10" t="s">
        <v>1111</v>
      </c>
    </row>
    <row r="2208" spans="1:3">
      <c r="A2208" s="8" t="s">
        <v>829</v>
      </c>
      <c r="B2208" s="9" t="s">
        <v>830</v>
      </c>
      <c r="C2208" s="10" t="s">
        <v>831</v>
      </c>
    </row>
    <row r="2209" spans="1:3">
      <c r="A2209" s="8" t="s">
        <v>899</v>
      </c>
      <c r="B2209" s="9" t="s">
        <v>900</v>
      </c>
      <c r="C2209" s="10" t="s">
        <v>901</v>
      </c>
    </row>
    <row r="2210" spans="1:3">
      <c r="A2210" s="8" t="s">
        <v>2466</v>
      </c>
      <c r="B2210" s="9" t="s">
        <v>2467</v>
      </c>
      <c r="C2210" s="10" t="s">
        <v>2468</v>
      </c>
    </row>
    <row r="2211" spans="1:3">
      <c r="A2211" s="8" t="s">
        <v>998</v>
      </c>
      <c r="B2211" s="9" t="s">
        <v>999</v>
      </c>
      <c r="C2211" s="10" t="s">
        <v>1000</v>
      </c>
    </row>
    <row r="2212" spans="1:3">
      <c r="A2212" s="8" t="s">
        <v>2433</v>
      </c>
      <c r="B2212" s="9" t="s">
        <v>2434</v>
      </c>
      <c r="C2212" s="10" t="s">
        <v>2435</v>
      </c>
    </row>
    <row r="2213" spans="1:3">
      <c r="A2213" s="8" t="s">
        <v>4982</v>
      </c>
      <c r="B2213" s="9" t="s">
        <v>4983</v>
      </c>
      <c r="C2213" s="10" t="s">
        <v>4984</v>
      </c>
    </row>
    <row r="2214" spans="1:3">
      <c r="A2214" s="8" t="s">
        <v>1089</v>
      </c>
      <c r="B2214" s="9" t="s">
        <v>1090</v>
      </c>
      <c r="C2214" s="10" t="s">
        <v>719</v>
      </c>
    </row>
    <row r="2215" spans="1:3">
      <c r="A2215" s="8" t="s">
        <v>708</v>
      </c>
      <c r="B2215" s="9" t="s">
        <v>709</v>
      </c>
      <c r="C2215" s="10" t="s">
        <v>710</v>
      </c>
    </row>
    <row r="2216" spans="1:3">
      <c r="A2216" s="8" t="s">
        <v>762</v>
      </c>
      <c r="B2216" s="9" t="s">
        <v>763</v>
      </c>
      <c r="C2216" s="10" t="s">
        <v>764</v>
      </c>
    </row>
    <row r="2217" spans="1:3">
      <c r="A2217" s="8" t="s">
        <v>1159</v>
      </c>
      <c r="B2217" s="9" t="s">
        <v>1157</v>
      </c>
      <c r="C2217" s="10" t="s">
        <v>1158</v>
      </c>
    </row>
    <row r="2218" spans="1:3">
      <c r="A2218" s="8" t="s">
        <v>753</v>
      </c>
      <c r="B2218" s="9" t="s">
        <v>754</v>
      </c>
      <c r="C2218" s="10" t="s">
        <v>755</v>
      </c>
    </row>
    <row r="2219" spans="1:3">
      <c r="A2219" s="8" t="s">
        <v>2079</v>
      </c>
      <c r="B2219" s="9" t="s">
        <v>2078</v>
      </c>
      <c r="C2219" s="10" t="s">
        <v>2035</v>
      </c>
    </row>
    <row r="2220" spans="1:3">
      <c r="A2220" s="8" t="s">
        <v>5088</v>
      </c>
      <c r="B2220" s="9" t="s">
        <v>5089</v>
      </c>
      <c r="C2220" s="10" t="s">
        <v>5090</v>
      </c>
    </row>
    <row r="2221" spans="1:3">
      <c r="A2221" s="8" t="s">
        <v>5481</v>
      </c>
      <c r="B2221" s="9" t="s">
        <v>5480</v>
      </c>
      <c r="C2221" s="10" t="s">
        <v>719</v>
      </c>
    </row>
    <row r="2222" spans="1:3">
      <c r="A2222" s="8" t="s">
        <v>2080</v>
      </c>
      <c r="B2222" s="9" t="s">
        <v>2081</v>
      </c>
      <c r="C2222" s="10" t="s">
        <v>2082</v>
      </c>
    </row>
    <row r="2223" spans="1:3">
      <c r="A2223" s="8" t="s">
        <v>2412</v>
      </c>
      <c r="B2223" s="9" t="s">
        <v>2413</v>
      </c>
      <c r="C2223" s="10" t="s">
        <v>2414</v>
      </c>
    </row>
    <row r="2224" spans="1:3">
      <c r="A2224" s="8" t="s">
        <v>2403</v>
      </c>
      <c r="B2224" s="9" t="s">
        <v>2404</v>
      </c>
      <c r="C2224" s="10" t="s">
        <v>2405</v>
      </c>
    </row>
    <row r="2225" spans="1:3">
      <c r="A2225" s="8" t="s">
        <v>4769</v>
      </c>
      <c r="B2225" s="9" t="s">
        <v>4767</v>
      </c>
      <c r="C2225" s="10" t="s">
        <v>4768</v>
      </c>
    </row>
    <row r="2226" spans="1:3">
      <c r="A2226" s="8" t="s">
        <v>2447</v>
      </c>
      <c r="B2226" s="9" t="s">
        <v>2448</v>
      </c>
      <c r="C2226" s="10" t="s">
        <v>2449</v>
      </c>
    </row>
    <row r="2227" spans="1:3">
      <c r="A2227" s="8" t="s">
        <v>1975</v>
      </c>
      <c r="B2227" s="9" t="s">
        <v>1976</v>
      </c>
      <c r="C2227" s="10" t="s">
        <v>1963</v>
      </c>
    </row>
    <row r="2228" spans="1:3">
      <c r="A2228" s="8" t="s">
        <v>2379</v>
      </c>
      <c r="B2228" s="9" t="s">
        <v>2380</v>
      </c>
      <c r="C2228" s="10" t="s">
        <v>2381</v>
      </c>
    </row>
    <row r="2229" spans="1:3">
      <c r="A2229" s="8" t="s">
        <v>4054</v>
      </c>
      <c r="B2229" s="9" t="s">
        <v>4055</v>
      </c>
      <c r="C2229" s="10" t="s">
        <v>4056</v>
      </c>
    </row>
    <row r="2230" spans="1:3">
      <c r="A2230" s="8" t="s">
        <v>870</v>
      </c>
      <c r="B2230" s="9" t="s">
        <v>866</v>
      </c>
      <c r="C2230" s="10" t="s">
        <v>719</v>
      </c>
    </row>
    <row r="2231" spans="1:3">
      <c r="A2231" s="8" t="s">
        <v>905</v>
      </c>
      <c r="B2231" s="9" t="s">
        <v>906</v>
      </c>
      <c r="C2231" s="10" t="s">
        <v>907</v>
      </c>
    </row>
    <row r="2232" spans="1:3">
      <c r="A2232" s="8" t="s">
        <v>5058</v>
      </c>
      <c r="B2232" s="9" t="s">
        <v>5059</v>
      </c>
      <c r="C2232" s="10" t="s">
        <v>719</v>
      </c>
    </row>
    <row r="2233" spans="1:3">
      <c r="A2233" s="8" t="s">
        <v>5057</v>
      </c>
      <c r="B2233" s="9" t="s">
        <v>5055</v>
      </c>
      <c r="C2233" s="10" t="s">
        <v>5056</v>
      </c>
    </row>
    <row r="2234" spans="1:3">
      <c r="A2234" s="8" t="s">
        <v>2460</v>
      </c>
      <c r="B2234" s="9" t="s">
        <v>2461</v>
      </c>
      <c r="C2234" s="10" t="s">
        <v>2462</v>
      </c>
    </row>
    <row r="2235" spans="1:3">
      <c r="A2235" s="8" t="s">
        <v>1700</v>
      </c>
      <c r="B2235" s="9" t="s">
        <v>1701</v>
      </c>
      <c r="C2235" s="10" t="s">
        <v>1702</v>
      </c>
    </row>
    <row r="2236" spans="1:3">
      <c r="A2236" s="8" t="s">
        <v>2457</v>
      </c>
      <c r="B2236" s="9" t="s">
        <v>2458</v>
      </c>
      <c r="C2236" s="10" t="s">
        <v>2459</v>
      </c>
    </row>
    <row r="2237" spans="1:3">
      <c r="A2237" s="8" t="s">
        <v>2450</v>
      </c>
      <c r="B2237" s="9" t="s">
        <v>2451</v>
      </c>
      <c r="C2237" s="10" t="s">
        <v>2452</v>
      </c>
    </row>
    <row r="2238" spans="1:3">
      <c r="A2238" s="8" t="s">
        <v>2441</v>
      </c>
      <c r="B2238" s="9" t="s">
        <v>2442</v>
      </c>
      <c r="C2238" s="10" t="s">
        <v>2443</v>
      </c>
    </row>
    <row r="2239" spans="1:3">
      <c r="A2239" s="8" t="s">
        <v>2444</v>
      </c>
      <c r="B2239" s="9" t="s">
        <v>2445</v>
      </c>
      <c r="C2239" s="10" t="s">
        <v>2446</v>
      </c>
    </row>
    <row r="2240" spans="1:3">
      <c r="A2240" s="8" t="s">
        <v>4603</v>
      </c>
      <c r="B2240" s="9" t="s">
        <v>4604</v>
      </c>
      <c r="C2240" s="10" t="s">
        <v>4605</v>
      </c>
    </row>
    <row r="2241" spans="1:3">
      <c r="A2241" s="8" t="s">
        <v>1010</v>
      </c>
      <c r="B2241" s="9" t="s">
        <v>1011</v>
      </c>
      <c r="C2241" s="10" t="s">
        <v>1012</v>
      </c>
    </row>
    <row r="2242" spans="1:3">
      <c r="A2242" s="8" t="s">
        <v>1175</v>
      </c>
      <c r="B2242" s="9" t="s">
        <v>1176</v>
      </c>
      <c r="C2242" s="10" t="s">
        <v>1177</v>
      </c>
    </row>
    <row r="2243" spans="1:3">
      <c r="A2243" s="8" t="s">
        <v>5707</v>
      </c>
      <c r="B2243" s="9" t="s">
        <v>5708</v>
      </c>
      <c r="C2243" s="10" t="s">
        <v>5709</v>
      </c>
    </row>
    <row r="2244" spans="1:3">
      <c r="A2244" s="8" t="s">
        <v>5710</v>
      </c>
      <c r="B2244" s="9" t="s">
        <v>5711</v>
      </c>
      <c r="C2244" s="10" t="s">
        <v>5712</v>
      </c>
    </row>
    <row r="2245" spans="1:3">
      <c r="A2245" s="8" t="s">
        <v>2453</v>
      </c>
      <c r="B2245" s="9" t="s">
        <v>2451</v>
      </c>
      <c r="C2245" s="10" t="s">
        <v>2452</v>
      </c>
    </row>
    <row r="2246" spans="1:3">
      <c r="A2246" s="8" t="s">
        <v>5704</v>
      </c>
      <c r="B2246" s="9" t="s">
        <v>5705</v>
      </c>
      <c r="C2246" s="10" t="s">
        <v>5706</v>
      </c>
    </row>
    <row r="2247" spans="1:3">
      <c r="A2247" s="8" t="s">
        <v>5701</v>
      </c>
      <c r="B2247" s="9" t="s">
        <v>5702</v>
      </c>
      <c r="C2247" s="10" t="s">
        <v>5703</v>
      </c>
    </row>
    <row r="2248" spans="1:3">
      <c r="A2248" s="8" t="s">
        <v>81</v>
      </c>
      <c r="B2248" s="9" t="s">
        <v>80</v>
      </c>
      <c r="C2248" s="10" t="s">
        <v>719</v>
      </c>
    </row>
    <row r="2249" spans="1:3">
      <c r="A2249" s="8" t="s">
        <v>5555</v>
      </c>
      <c r="B2249" s="9" t="s">
        <v>5554</v>
      </c>
      <c r="C2249" s="10" t="s">
        <v>719</v>
      </c>
    </row>
    <row r="2250" spans="1:3">
      <c r="A2250" s="8" t="s">
        <v>2463</v>
      </c>
      <c r="B2250" s="9" t="s">
        <v>2464</v>
      </c>
      <c r="C2250" s="10" t="s">
        <v>2465</v>
      </c>
    </row>
    <row r="2251" spans="1:3">
      <c r="A2251" s="8" t="s">
        <v>35</v>
      </c>
      <c r="B2251" s="9" t="s">
        <v>36</v>
      </c>
      <c r="C2251" s="10" t="s">
        <v>719</v>
      </c>
    </row>
    <row r="2252" spans="1:3">
      <c r="A2252" s="8" t="s">
        <v>231</v>
      </c>
      <c r="B2252" s="9" t="s">
        <v>232</v>
      </c>
      <c r="C2252" s="10" t="s">
        <v>719</v>
      </c>
    </row>
    <row r="2253" spans="1:3">
      <c r="A2253" s="8" t="s">
        <v>96</v>
      </c>
      <c r="B2253" s="9" t="s">
        <v>97</v>
      </c>
      <c r="C2253" s="10" t="s">
        <v>719</v>
      </c>
    </row>
    <row r="2254" spans="1:3">
      <c r="A2254" s="8" t="s">
        <v>2327</v>
      </c>
      <c r="B2254" s="9" t="s">
        <v>2328</v>
      </c>
      <c r="C2254" s="10" t="s">
        <v>2329</v>
      </c>
    </row>
    <row r="2255" spans="1:3">
      <c r="A2255" s="8" t="s">
        <v>4400</v>
      </c>
      <c r="B2255" s="9" t="s">
        <v>4401</v>
      </c>
      <c r="C2255" s="10" t="s">
        <v>4402</v>
      </c>
    </row>
    <row r="2256" spans="1:3">
      <c r="A2256" s="8" t="s">
        <v>4655</v>
      </c>
      <c r="B2256" s="9" t="s">
        <v>4656</v>
      </c>
      <c r="C2256" s="10" t="s">
        <v>4657</v>
      </c>
    </row>
    <row r="2257" spans="1:3">
      <c r="A2257" s="8" t="s">
        <v>3160</v>
      </c>
      <c r="B2257" s="9" t="s">
        <v>3161</v>
      </c>
      <c r="C2257" s="10" t="s">
        <v>3162</v>
      </c>
    </row>
    <row r="2258" spans="1:3">
      <c r="A2258" s="8" t="s">
        <v>971</v>
      </c>
      <c r="B2258" s="9" t="s">
        <v>967</v>
      </c>
      <c r="C2258" s="10" t="s">
        <v>968</v>
      </c>
    </row>
    <row r="2259" spans="1:3">
      <c r="A2259" s="8" t="s">
        <v>977</v>
      </c>
      <c r="B2259" s="9" t="s">
        <v>978</v>
      </c>
      <c r="C2259" s="10" t="s">
        <v>979</v>
      </c>
    </row>
    <row r="2260" spans="1:3">
      <c r="A2260" s="8" t="s">
        <v>5692</v>
      </c>
      <c r="B2260" s="9" t="s">
        <v>5693</v>
      </c>
      <c r="C2260" s="10" t="s">
        <v>5694</v>
      </c>
    </row>
    <row r="2261" spans="1:3">
      <c r="A2261" s="8" t="s">
        <v>5686</v>
      </c>
      <c r="B2261" s="9" t="s">
        <v>5687</v>
      </c>
      <c r="C2261" s="10" t="s">
        <v>5688</v>
      </c>
    </row>
    <row r="2262" spans="1:3">
      <c r="A2262" s="8" t="s">
        <v>5698</v>
      </c>
      <c r="B2262" s="9" t="s">
        <v>5699</v>
      </c>
      <c r="C2262" s="10" t="s">
        <v>5700</v>
      </c>
    </row>
    <row r="2263" spans="1:3">
      <c r="A2263" s="8" t="s">
        <v>5695</v>
      </c>
      <c r="B2263" s="9" t="s">
        <v>5696</v>
      </c>
      <c r="C2263" s="10" t="s">
        <v>5697</v>
      </c>
    </row>
    <row r="2264" spans="1:3">
      <c r="A2264" s="8" t="s">
        <v>4639</v>
      </c>
      <c r="B2264" s="9" t="s">
        <v>4640</v>
      </c>
      <c r="C2264" s="10" t="s">
        <v>4641</v>
      </c>
    </row>
    <row r="2265" spans="1:3">
      <c r="A2265" s="8" t="s">
        <v>4658</v>
      </c>
      <c r="B2265" s="9" t="s">
        <v>4656</v>
      </c>
      <c r="C2265" s="10" t="s">
        <v>4657</v>
      </c>
    </row>
    <row r="2266" spans="1:3">
      <c r="A2266" s="8" t="s">
        <v>4322</v>
      </c>
      <c r="B2266" s="9" t="s">
        <v>4319</v>
      </c>
      <c r="C2266" s="10" t="s">
        <v>4320</v>
      </c>
    </row>
    <row r="2267" spans="1:3">
      <c r="A2267" s="8" t="s">
        <v>3169</v>
      </c>
      <c r="B2267" s="9" t="s">
        <v>3164</v>
      </c>
      <c r="C2267" s="10" t="s">
        <v>3165</v>
      </c>
    </row>
    <row r="2268" spans="1:3">
      <c r="A2268" s="8" t="s">
        <v>3217</v>
      </c>
      <c r="B2268" s="9" t="s">
        <v>3215</v>
      </c>
      <c r="C2268" s="10" t="s">
        <v>3216</v>
      </c>
    </row>
    <row r="2269" spans="1:3">
      <c r="A2269" s="8" t="s">
        <v>1195</v>
      </c>
      <c r="B2269" s="9" t="s">
        <v>1196</v>
      </c>
      <c r="C2269" s="10" t="s">
        <v>1197</v>
      </c>
    </row>
    <row r="2270" spans="1:3">
      <c r="A2270" s="8" t="s">
        <v>1203</v>
      </c>
      <c r="B2270" s="9" t="s">
        <v>1204</v>
      </c>
      <c r="C2270" s="10" t="s">
        <v>1205</v>
      </c>
    </row>
    <row r="2271" spans="1:3">
      <c r="A2271" s="8" t="s">
        <v>1008</v>
      </c>
      <c r="B2271" s="9" t="s">
        <v>1005</v>
      </c>
      <c r="C2271" s="10" t="s">
        <v>719</v>
      </c>
    </row>
    <row r="2272" spans="1:3">
      <c r="A2272" s="8" t="s">
        <v>1009</v>
      </c>
      <c r="B2272" s="9" t="s">
        <v>1005</v>
      </c>
      <c r="C2272" s="10" t="s">
        <v>719</v>
      </c>
    </row>
    <row r="2273" spans="1:3">
      <c r="A2273" s="8" t="s">
        <v>1013</v>
      </c>
      <c r="B2273" s="9" t="s">
        <v>1014</v>
      </c>
      <c r="C2273" s="10" t="s">
        <v>1015</v>
      </c>
    </row>
    <row r="2274" spans="1:3">
      <c r="A2274" s="8" t="s">
        <v>1638</v>
      </c>
      <c r="B2274" s="9" t="s">
        <v>1636</v>
      </c>
      <c r="C2274" s="10" t="s">
        <v>1637</v>
      </c>
    </row>
    <row r="2275" spans="1:3">
      <c r="A2275" s="8" t="s">
        <v>2424</v>
      </c>
      <c r="B2275" s="9" t="s">
        <v>2425</v>
      </c>
      <c r="C2275" s="10" t="s">
        <v>2425</v>
      </c>
    </row>
    <row r="2276" spans="1:3">
      <c r="A2276" s="8" t="s">
        <v>2330</v>
      </c>
      <c r="B2276" s="9" t="s">
        <v>2331</v>
      </c>
      <c r="C2276" s="10" t="s">
        <v>2332</v>
      </c>
    </row>
    <row r="2277" spans="1:3">
      <c r="A2277" s="8" t="s">
        <v>1889</v>
      </c>
      <c r="B2277" s="9" t="s">
        <v>1888</v>
      </c>
      <c r="C2277" s="10" t="s">
        <v>719</v>
      </c>
    </row>
    <row r="2278" spans="1:3">
      <c r="A2278" s="8" t="s">
        <v>1776</v>
      </c>
      <c r="B2278" s="9" t="s">
        <v>1777</v>
      </c>
      <c r="C2278" s="10" t="s">
        <v>1778</v>
      </c>
    </row>
    <row r="2279" spans="1:3">
      <c r="A2279" s="8" t="s">
        <v>4200</v>
      </c>
      <c r="B2279" s="9" t="s">
        <v>4201</v>
      </c>
      <c r="C2279" s="10" t="s">
        <v>4202</v>
      </c>
    </row>
    <row r="2280" spans="1:3">
      <c r="A2280" s="8" t="s">
        <v>2406</v>
      </c>
      <c r="B2280" s="9" t="s">
        <v>2407</v>
      </c>
      <c r="C2280" s="10" t="s">
        <v>2408</v>
      </c>
    </row>
    <row r="2281" spans="1:3">
      <c r="A2281" s="8" t="s">
        <v>2333</v>
      </c>
      <c r="B2281" s="9" t="s">
        <v>2334</v>
      </c>
      <c r="C2281" s="10" t="s">
        <v>2335</v>
      </c>
    </row>
    <row r="2282" spans="1:3">
      <c r="A2282" s="8" t="s">
        <v>4594</v>
      </c>
      <c r="B2282" s="9" t="s">
        <v>4595</v>
      </c>
      <c r="C2282" s="10" t="s">
        <v>4596</v>
      </c>
    </row>
    <row r="2283" spans="1:3">
      <c r="A2283" s="8" t="s">
        <v>1261</v>
      </c>
      <c r="B2283" s="9" t="s">
        <v>1262</v>
      </c>
      <c r="C2283" s="10" t="s">
        <v>1263</v>
      </c>
    </row>
    <row r="2284" spans="1:3">
      <c r="A2284" s="8" t="s">
        <v>1988</v>
      </c>
      <c r="B2284" s="9" t="s">
        <v>1989</v>
      </c>
      <c r="C2284" s="10" t="s">
        <v>1990</v>
      </c>
    </row>
    <row r="2285" spans="1:3">
      <c r="A2285" s="8" t="s">
        <v>1474</v>
      </c>
      <c r="B2285" s="9" t="s">
        <v>1475</v>
      </c>
      <c r="C2285" s="10" t="s">
        <v>1476</v>
      </c>
    </row>
    <row r="2286" spans="1:3">
      <c r="A2286" s="8" t="s">
        <v>116</v>
      </c>
      <c r="B2286" s="9" t="s">
        <v>117</v>
      </c>
      <c r="C2286" s="10" t="s">
        <v>116</v>
      </c>
    </row>
    <row r="2287" spans="1:3">
      <c r="A2287" s="8" t="s">
        <v>601</v>
      </c>
      <c r="B2287" s="9" t="s">
        <v>600</v>
      </c>
      <c r="C2287" s="10" t="s">
        <v>435</v>
      </c>
    </row>
    <row r="2288" spans="1:3">
      <c r="A2288" s="8" t="s">
        <v>5885</v>
      </c>
      <c r="B2288" s="9" t="e">
        <v>#N/A</v>
      </c>
      <c r="C2288" s="10" t="e">
        <v>#N/A</v>
      </c>
    </row>
    <row r="2289" spans="1:3">
      <c r="A2289" s="8" t="s">
        <v>1081</v>
      </c>
      <c r="B2289" s="9" t="s">
        <v>1079</v>
      </c>
      <c r="C2289" s="10" t="s">
        <v>1080</v>
      </c>
    </row>
    <row r="2290" spans="1:3">
      <c r="A2290" s="8" t="s">
        <v>1530</v>
      </c>
      <c r="B2290" s="9" t="s">
        <v>1529</v>
      </c>
      <c r="C2290" s="10" t="s">
        <v>1530</v>
      </c>
    </row>
    <row r="2291" spans="1:3">
      <c r="A2291" s="8" t="s">
        <v>1364</v>
      </c>
      <c r="B2291" s="9" t="s">
        <v>1364</v>
      </c>
      <c r="C2291" s="10" t="s">
        <v>1364</v>
      </c>
    </row>
    <row r="2292" spans="1:3">
      <c r="A2292" s="8" t="s">
        <v>1436</v>
      </c>
      <c r="B2292" s="9" t="s">
        <v>1434</v>
      </c>
      <c r="C2292" s="10" t="s">
        <v>1435</v>
      </c>
    </row>
    <row r="2293" spans="1:3">
      <c r="A2293" s="8" t="s">
        <v>1663</v>
      </c>
      <c r="B2293" s="9" t="s">
        <v>1664</v>
      </c>
      <c r="C2293" s="10" t="s">
        <v>1663</v>
      </c>
    </row>
    <row r="2294" spans="1:3">
      <c r="A2294" s="8" t="s">
        <v>1771</v>
      </c>
      <c r="B2294" s="9" t="s">
        <v>1770</v>
      </c>
      <c r="C2294" s="10" t="s">
        <v>1771</v>
      </c>
    </row>
    <row r="2295" spans="1:3">
      <c r="A2295" s="8" t="s">
        <v>1923</v>
      </c>
      <c r="B2295" s="9" t="s">
        <v>1923</v>
      </c>
      <c r="C2295" s="10" t="s">
        <v>1924</v>
      </c>
    </row>
    <row r="2296" spans="1:3">
      <c r="A2296" s="8" t="s">
        <v>1981</v>
      </c>
      <c r="B2296" s="9" t="s">
        <v>1980</v>
      </c>
      <c r="C2296" s="10" t="s">
        <v>719</v>
      </c>
    </row>
    <row r="2297" spans="1:3">
      <c r="A2297" s="8" t="s">
        <v>1977</v>
      </c>
      <c r="B2297" s="9" t="s">
        <v>1978</v>
      </c>
      <c r="C2297" s="10" t="s">
        <v>1977</v>
      </c>
    </row>
    <row r="2298" spans="1:3">
      <c r="A2298" s="8" t="s">
        <v>2047</v>
      </c>
      <c r="B2298" s="9" t="s">
        <v>2048</v>
      </c>
      <c r="C2298" s="10" t="s">
        <v>719</v>
      </c>
    </row>
    <row r="2299" spans="1:3">
      <c r="A2299" s="8" t="s">
        <v>2115</v>
      </c>
      <c r="B2299" s="9" t="s">
        <v>2116</v>
      </c>
      <c r="C2299" s="10" t="s">
        <v>2115</v>
      </c>
    </row>
    <row r="2300" spans="1:3">
      <c r="A2300" s="8" t="s">
        <v>2426</v>
      </c>
      <c r="B2300" s="9" t="s">
        <v>2426</v>
      </c>
      <c r="C2300" s="10" t="s">
        <v>2426</v>
      </c>
    </row>
    <row r="2301" spans="1:3">
      <c r="A2301" s="8" t="s">
        <v>2517</v>
      </c>
      <c r="B2301" s="9" t="s">
        <v>2518</v>
      </c>
      <c r="C2301" s="10" t="s">
        <v>2519</v>
      </c>
    </row>
    <row r="2302" spans="1:3">
      <c r="A2302" s="8" t="s">
        <v>5886</v>
      </c>
      <c r="B2302" s="9" t="s">
        <v>5887</v>
      </c>
      <c r="C2302" s="10" t="s">
        <v>719</v>
      </c>
    </row>
    <row r="2303" spans="1:3">
      <c r="A2303" s="8" t="s">
        <v>2478</v>
      </c>
      <c r="B2303" s="9" t="s">
        <v>2479</v>
      </c>
      <c r="C2303" s="10" t="s">
        <v>719</v>
      </c>
    </row>
    <row r="2304" spans="1:3">
      <c r="A2304" s="8" t="s">
        <v>2677</v>
      </c>
      <c r="B2304" s="9" t="s">
        <v>2677</v>
      </c>
      <c r="C2304" s="10" t="s">
        <v>719</v>
      </c>
    </row>
    <row r="2305" spans="1:3">
      <c r="A2305" s="8" t="s">
        <v>2675</v>
      </c>
      <c r="B2305" s="9" t="s">
        <v>2676</v>
      </c>
      <c r="C2305" s="10" t="s">
        <v>719</v>
      </c>
    </row>
    <row r="2306" spans="1:3">
      <c r="A2306" s="8" t="s">
        <v>2703</v>
      </c>
      <c r="B2306" s="9" t="s">
        <v>2697</v>
      </c>
      <c r="C2306" s="10" t="s">
        <v>2699</v>
      </c>
    </row>
    <row r="2307" spans="1:3">
      <c r="A2307" s="8" t="s">
        <v>2927</v>
      </c>
      <c r="B2307" s="9" t="s">
        <v>2928</v>
      </c>
      <c r="C2307" s="10" t="s">
        <v>2929</v>
      </c>
    </row>
    <row r="2308" spans="1:3">
      <c r="A2308" s="8" t="s">
        <v>2930</v>
      </c>
      <c r="B2308" s="9" t="s">
        <v>2931</v>
      </c>
      <c r="C2308" s="10" t="s">
        <v>2931</v>
      </c>
    </row>
    <row r="2309" spans="1:3">
      <c r="A2309" s="8" t="s">
        <v>2939</v>
      </c>
      <c r="B2309" s="9" t="s">
        <v>2940</v>
      </c>
      <c r="C2309" s="10" t="s">
        <v>2941</v>
      </c>
    </row>
    <row r="2310" spans="1:3">
      <c r="A2310" s="8" t="s">
        <v>2990</v>
      </c>
      <c r="B2310" s="9" t="s">
        <v>2991</v>
      </c>
      <c r="C2310" s="10" t="s">
        <v>2992</v>
      </c>
    </row>
    <row r="2311" spans="1:3">
      <c r="A2311" s="8" t="s">
        <v>3076</v>
      </c>
      <c r="B2311" s="9" t="s">
        <v>3076</v>
      </c>
      <c r="C2311" s="10" t="s">
        <v>719</v>
      </c>
    </row>
    <row r="2312" spans="1:3">
      <c r="A2312" s="8" t="s">
        <v>3302</v>
      </c>
      <c r="B2312" s="9" t="s">
        <v>3303</v>
      </c>
      <c r="C2312" s="10" t="s">
        <v>719</v>
      </c>
    </row>
    <row r="2313" spans="1:3">
      <c r="A2313" s="8" t="s">
        <v>3516</v>
      </c>
      <c r="B2313" s="9" t="s">
        <v>3607</v>
      </c>
      <c r="C2313" s="10" t="s">
        <v>3608</v>
      </c>
    </row>
    <row r="2314" spans="1:3">
      <c r="A2314" s="8" t="s">
        <v>3601</v>
      </c>
      <c r="B2314" s="9" t="s">
        <v>3602</v>
      </c>
      <c r="C2314" s="10" t="s">
        <v>719</v>
      </c>
    </row>
    <row r="2315" spans="1:3">
      <c r="A2315" s="8" t="s">
        <v>3837</v>
      </c>
      <c r="B2315" s="9" t="s">
        <v>3836</v>
      </c>
      <c r="C2315" s="10" t="s">
        <v>3837</v>
      </c>
    </row>
    <row r="2316" spans="1:3">
      <c r="A2316" s="8" t="s">
        <v>3829</v>
      </c>
      <c r="B2316" s="9" t="s">
        <v>3830</v>
      </c>
      <c r="C2316" s="10" t="s">
        <v>3831</v>
      </c>
    </row>
    <row r="2317" spans="1:3">
      <c r="A2317" s="8" t="s">
        <v>4622</v>
      </c>
      <c r="B2317" s="9" t="s">
        <v>4620</v>
      </c>
      <c r="C2317" s="10" t="s">
        <v>4621</v>
      </c>
    </row>
    <row r="2318" spans="1:3">
      <c r="A2318" s="8" t="s">
        <v>5004</v>
      </c>
      <c r="B2318" s="9" t="s">
        <v>4997</v>
      </c>
      <c r="C2318" s="10" t="s">
        <v>719</v>
      </c>
    </row>
    <row r="2319" spans="1:3">
      <c r="A2319" s="8" t="s">
        <v>5144</v>
      </c>
      <c r="B2319" s="9" t="s">
        <v>5145</v>
      </c>
      <c r="C2319" s="10" t="s">
        <v>5144</v>
      </c>
    </row>
    <row r="2320" spans="1:3">
      <c r="A2320" s="8" t="s">
        <v>5176</v>
      </c>
      <c r="B2320" s="9" t="s">
        <v>5176</v>
      </c>
      <c r="C2320" s="10" t="s">
        <v>719</v>
      </c>
    </row>
    <row r="2321" spans="1:3">
      <c r="A2321" s="8" t="s">
        <v>5278</v>
      </c>
      <c r="B2321" s="9" t="s">
        <v>5279</v>
      </c>
      <c r="C2321" s="10" t="s">
        <v>719</v>
      </c>
    </row>
    <row r="2322" spans="1:3">
      <c r="A2322" s="8" t="s">
        <v>5326</v>
      </c>
      <c r="B2322" s="9" t="s">
        <v>5327</v>
      </c>
      <c r="C2322" s="10" t="s">
        <v>719</v>
      </c>
    </row>
    <row r="2323" spans="1:3">
      <c r="A2323" s="8" t="s">
        <v>5385</v>
      </c>
      <c r="B2323" s="9" t="s">
        <v>5382</v>
      </c>
      <c r="C2323" s="10" t="s">
        <v>719</v>
      </c>
    </row>
    <row r="2324" spans="1:3">
      <c r="A2324" s="8" t="s">
        <v>5524</v>
      </c>
      <c r="B2324" s="9" t="s">
        <v>5522</v>
      </c>
      <c r="C2324" s="10" t="s">
        <v>5523</v>
      </c>
    </row>
    <row r="2325" spans="1:3">
      <c r="A2325" s="8" t="s">
        <v>5552</v>
      </c>
      <c r="B2325" s="9" t="s">
        <v>5552</v>
      </c>
      <c r="C2325" s="10" t="s">
        <v>5552</v>
      </c>
    </row>
    <row r="2326" spans="1:3" ht="17.25" thickBot="1">
      <c r="A2326" s="11" t="s">
        <v>5496</v>
      </c>
      <c r="B2326" s="12" t="s">
        <v>5497</v>
      </c>
      <c r="C2326" s="13" t="s">
        <v>5498</v>
      </c>
    </row>
    <row r="2327" spans="1:3">
      <c r="A2327" s="85" t="s">
        <v>7392</v>
      </c>
      <c r="B2327" s="85" t="s">
        <v>7390</v>
      </c>
      <c r="C2327" s="86" t="s">
        <v>7391</v>
      </c>
    </row>
    <row r="2328" spans="1:3">
      <c r="A2328" s="84" t="s">
        <v>8150</v>
      </c>
      <c r="B2328" s="84" t="s">
        <v>8150</v>
      </c>
      <c r="C2328" s="84" t="s">
        <v>8150</v>
      </c>
    </row>
    <row r="2329" spans="1:3">
      <c r="A2329" s="4" t="s">
        <v>7393</v>
      </c>
      <c r="B2329" s="4" t="s">
        <v>7393</v>
      </c>
      <c r="C2329" s="4" t="s">
        <v>7394</v>
      </c>
    </row>
    <row r="2330" spans="1:3">
      <c r="A2330" s="4" t="s">
        <v>7395</v>
      </c>
      <c r="B2330" s="4" t="s">
        <v>7395</v>
      </c>
      <c r="C2330" s="4" t="s">
        <v>7396</v>
      </c>
    </row>
    <row r="2331" spans="1:3">
      <c r="A2331" s="4" t="s">
        <v>7397</v>
      </c>
      <c r="B2331" s="4" t="s">
        <v>7397</v>
      </c>
      <c r="C2331" s="4" t="s">
        <v>7398</v>
      </c>
    </row>
    <row r="2332" spans="1:3">
      <c r="A2332" s="4" t="s">
        <v>7399</v>
      </c>
      <c r="B2332" s="4" t="s">
        <v>7399</v>
      </c>
      <c r="C2332" s="4" t="s">
        <v>7400</v>
      </c>
    </row>
    <row r="2333" spans="1:3">
      <c r="A2333" s="4" t="s">
        <v>7401</v>
      </c>
      <c r="B2333" s="4" t="s">
        <v>7401</v>
      </c>
      <c r="C2333" s="4" t="s">
        <v>7402</v>
      </c>
    </row>
    <row r="2334" spans="1:3">
      <c r="A2334" s="4" t="s">
        <v>7403</v>
      </c>
      <c r="B2334" s="4" t="s">
        <v>7403</v>
      </c>
      <c r="C2334" s="4" t="s">
        <v>7404</v>
      </c>
    </row>
    <row r="2335" spans="1:3">
      <c r="A2335" s="4" t="s">
        <v>7405</v>
      </c>
      <c r="B2335" s="4" t="s">
        <v>7405</v>
      </c>
      <c r="C2335" s="4" t="s">
        <v>7406</v>
      </c>
    </row>
    <row r="2336" spans="1:3">
      <c r="A2336" s="4" t="s">
        <v>7407</v>
      </c>
      <c r="B2336" s="4" t="s">
        <v>7407</v>
      </c>
      <c r="C2336" s="4" t="s">
        <v>7408</v>
      </c>
    </row>
    <row r="2337" spans="1:3">
      <c r="A2337" s="4" t="s">
        <v>7409</v>
      </c>
      <c r="B2337" s="4" t="s">
        <v>7409</v>
      </c>
      <c r="C2337" s="4" t="s">
        <v>7410</v>
      </c>
    </row>
    <row r="2338" spans="1:3">
      <c r="A2338" s="4" t="s">
        <v>7411</v>
      </c>
      <c r="B2338" s="4" t="s">
        <v>7411</v>
      </c>
      <c r="C2338" s="4" t="s">
        <v>7412</v>
      </c>
    </row>
    <row r="2339" spans="1:3">
      <c r="A2339" s="4" t="s">
        <v>7413</v>
      </c>
      <c r="B2339" s="4" t="s">
        <v>7413</v>
      </c>
      <c r="C2339" s="4" t="s">
        <v>7414</v>
      </c>
    </row>
    <row r="2340" spans="1:3">
      <c r="A2340" s="4" t="s">
        <v>7415</v>
      </c>
      <c r="B2340" s="4" t="s">
        <v>7415</v>
      </c>
      <c r="C2340" s="4" t="s">
        <v>7416</v>
      </c>
    </row>
    <row r="2341" spans="1:3">
      <c r="A2341" s="4" t="s">
        <v>7417</v>
      </c>
      <c r="B2341" s="4" t="s">
        <v>7417</v>
      </c>
      <c r="C2341" s="4" t="s">
        <v>7418</v>
      </c>
    </row>
    <row r="2342" spans="1:3">
      <c r="A2342" s="4" t="s">
        <v>7419</v>
      </c>
      <c r="B2342" s="4" t="s">
        <v>7419</v>
      </c>
      <c r="C2342" s="4" t="s">
        <v>7420</v>
      </c>
    </row>
    <row r="2343" spans="1:3">
      <c r="A2343" s="4" t="s">
        <v>7421</v>
      </c>
      <c r="B2343" s="4" t="s">
        <v>7421</v>
      </c>
      <c r="C2343" s="4" t="s">
        <v>7422</v>
      </c>
    </row>
    <row r="2344" spans="1:3">
      <c r="A2344" s="4" t="s">
        <v>7423</v>
      </c>
      <c r="B2344" s="4" t="s">
        <v>7423</v>
      </c>
      <c r="C2344" s="4" t="s">
        <v>7424</v>
      </c>
    </row>
    <row r="2345" spans="1:3">
      <c r="A2345" s="4" t="s">
        <v>7425</v>
      </c>
      <c r="B2345" s="4" t="s">
        <v>7425</v>
      </c>
      <c r="C2345" s="4" t="s">
        <v>7426</v>
      </c>
    </row>
    <row r="2346" spans="1:3">
      <c r="A2346" s="4" t="s">
        <v>7427</v>
      </c>
      <c r="B2346" s="4" t="s">
        <v>7427</v>
      </c>
      <c r="C2346" s="4" t="s">
        <v>7428</v>
      </c>
    </row>
    <row r="2347" spans="1:3">
      <c r="A2347" s="4" t="s">
        <v>7429</v>
      </c>
      <c r="B2347" s="4" t="s">
        <v>7429</v>
      </c>
      <c r="C2347" s="4" t="s">
        <v>7430</v>
      </c>
    </row>
    <row r="2348" spans="1:3">
      <c r="A2348" s="4" t="s">
        <v>7431</v>
      </c>
      <c r="B2348" s="4" t="s">
        <v>7431</v>
      </c>
      <c r="C2348" s="4" t="s">
        <v>7432</v>
      </c>
    </row>
    <row r="2349" spans="1:3">
      <c r="A2349" s="4" t="s">
        <v>7395</v>
      </c>
      <c r="B2349" s="4" t="s">
        <v>7395</v>
      </c>
      <c r="C2349" s="4" t="s">
        <v>7396</v>
      </c>
    </row>
    <row r="2350" spans="1:3">
      <c r="A2350" s="4" t="s">
        <v>7433</v>
      </c>
      <c r="B2350" s="4" t="s">
        <v>7433</v>
      </c>
      <c r="C2350" s="4" t="s">
        <v>7434</v>
      </c>
    </row>
    <row r="2351" spans="1:3">
      <c r="A2351" s="4" t="s">
        <v>7435</v>
      </c>
      <c r="B2351" s="4" t="s">
        <v>7435</v>
      </c>
      <c r="C2351" s="4" t="s">
        <v>7436</v>
      </c>
    </row>
    <row r="2352" spans="1:3">
      <c r="A2352" s="4" t="s">
        <v>7437</v>
      </c>
      <c r="B2352" s="4" t="s">
        <v>7437</v>
      </c>
      <c r="C2352" s="4" t="s">
        <v>7438</v>
      </c>
    </row>
    <row r="2353" spans="1:3">
      <c r="A2353" s="4" t="s">
        <v>7439</v>
      </c>
      <c r="B2353" s="4" t="s">
        <v>7439</v>
      </c>
      <c r="C2353" s="4" t="s">
        <v>7440</v>
      </c>
    </row>
    <row r="2354" spans="1:3">
      <c r="A2354" s="4" t="s">
        <v>7441</v>
      </c>
      <c r="B2354" s="4" t="s">
        <v>7441</v>
      </c>
      <c r="C2354" s="4" t="s">
        <v>7442</v>
      </c>
    </row>
    <row r="2355" spans="1:3">
      <c r="A2355" s="4" t="s">
        <v>7443</v>
      </c>
      <c r="B2355" s="4" t="s">
        <v>7443</v>
      </c>
      <c r="C2355" s="4" t="s">
        <v>7444</v>
      </c>
    </row>
    <row r="2356" spans="1:3">
      <c r="A2356" s="4" t="s">
        <v>7445</v>
      </c>
      <c r="B2356" s="4" t="s">
        <v>7445</v>
      </c>
      <c r="C2356" s="4" t="s">
        <v>7446</v>
      </c>
    </row>
    <row r="2357" spans="1:3">
      <c r="A2357" s="4" t="s">
        <v>7447</v>
      </c>
      <c r="B2357" s="4" t="s">
        <v>7447</v>
      </c>
      <c r="C2357" s="4" t="s">
        <v>7448</v>
      </c>
    </row>
    <row r="2358" spans="1:3">
      <c r="A2358" s="4" t="s">
        <v>7449</v>
      </c>
      <c r="B2358" s="4" t="s">
        <v>7449</v>
      </c>
      <c r="C2358" s="4" t="s">
        <v>7450</v>
      </c>
    </row>
    <row r="2359" spans="1:3">
      <c r="A2359" s="4" t="s">
        <v>7451</v>
      </c>
      <c r="B2359" s="4" t="s">
        <v>7451</v>
      </c>
      <c r="C2359" s="4" t="s">
        <v>7452</v>
      </c>
    </row>
    <row r="2360" spans="1:3">
      <c r="A2360" s="4" t="s">
        <v>7453</v>
      </c>
      <c r="B2360" s="4" t="s">
        <v>7453</v>
      </c>
      <c r="C2360" s="4" t="s">
        <v>7454</v>
      </c>
    </row>
    <row r="2361" spans="1:3">
      <c r="A2361" s="4" t="s">
        <v>7455</v>
      </c>
      <c r="B2361" s="4" t="s">
        <v>7455</v>
      </c>
      <c r="C2361" s="4" t="s">
        <v>7456</v>
      </c>
    </row>
    <row r="2362" spans="1:3">
      <c r="A2362" s="4" t="s">
        <v>7457</v>
      </c>
      <c r="B2362" s="4" t="s">
        <v>7457</v>
      </c>
      <c r="C2362" s="4" t="s">
        <v>7458</v>
      </c>
    </row>
    <row r="2363" spans="1:3">
      <c r="A2363" s="4" t="s">
        <v>7437</v>
      </c>
      <c r="B2363" s="4" t="s">
        <v>7437</v>
      </c>
      <c r="C2363" s="4" t="s">
        <v>7438</v>
      </c>
    </row>
    <row r="2364" spans="1:3">
      <c r="A2364" s="4" t="s">
        <v>7439</v>
      </c>
      <c r="B2364" s="4" t="s">
        <v>7439</v>
      </c>
      <c r="C2364" s="4" t="s">
        <v>7440</v>
      </c>
    </row>
    <row r="2365" spans="1:3">
      <c r="A2365" s="4" t="s">
        <v>7441</v>
      </c>
      <c r="B2365" s="4" t="s">
        <v>7441</v>
      </c>
      <c r="C2365" s="4" t="s">
        <v>7442</v>
      </c>
    </row>
    <row r="2366" spans="1:3">
      <c r="A2366" s="4" t="s">
        <v>7443</v>
      </c>
      <c r="B2366" s="4" t="s">
        <v>7443</v>
      </c>
      <c r="C2366" s="4" t="s">
        <v>7444</v>
      </c>
    </row>
    <row r="2367" spans="1:3">
      <c r="A2367" s="4" t="s">
        <v>7445</v>
      </c>
      <c r="B2367" s="4" t="s">
        <v>7445</v>
      </c>
      <c r="C2367" s="4" t="s">
        <v>7446</v>
      </c>
    </row>
    <row r="2368" spans="1:3">
      <c r="A2368" s="4" t="s">
        <v>7447</v>
      </c>
      <c r="B2368" s="4" t="s">
        <v>7447</v>
      </c>
      <c r="C2368" s="4" t="s">
        <v>7448</v>
      </c>
    </row>
    <row r="2369" spans="1:3">
      <c r="A2369" s="4" t="s">
        <v>7459</v>
      </c>
      <c r="B2369" s="4" t="s">
        <v>7459</v>
      </c>
      <c r="C2369" s="4" t="s">
        <v>7460</v>
      </c>
    </row>
    <row r="2370" spans="1:3">
      <c r="A2370" s="4" t="s">
        <v>7461</v>
      </c>
      <c r="B2370" s="4" t="s">
        <v>7461</v>
      </c>
      <c r="C2370" s="4" t="s">
        <v>7462</v>
      </c>
    </row>
    <row r="2371" spans="1:3">
      <c r="A2371" s="4" t="s">
        <v>7463</v>
      </c>
      <c r="B2371" s="4" t="s">
        <v>7463</v>
      </c>
      <c r="C2371" s="4" t="s">
        <v>7464</v>
      </c>
    </row>
    <row r="2372" spans="1:3">
      <c r="A2372" s="4" t="s">
        <v>7465</v>
      </c>
      <c r="B2372" s="4" t="s">
        <v>7465</v>
      </c>
      <c r="C2372" s="4" t="s">
        <v>7466</v>
      </c>
    </row>
    <row r="2373" spans="1:3">
      <c r="A2373" s="4" t="s">
        <v>7467</v>
      </c>
      <c r="B2373" s="4" t="s">
        <v>7467</v>
      </c>
      <c r="C2373" s="4" t="s">
        <v>7468</v>
      </c>
    </row>
    <row r="2374" spans="1:3">
      <c r="A2374" s="4" t="s">
        <v>7469</v>
      </c>
      <c r="B2374" s="4" t="s">
        <v>7469</v>
      </c>
      <c r="C2374" s="4" t="s">
        <v>7470</v>
      </c>
    </row>
    <row r="2375" spans="1:3">
      <c r="A2375" s="4" t="s">
        <v>7471</v>
      </c>
      <c r="B2375" s="4" t="s">
        <v>7471</v>
      </c>
      <c r="C2375" s="4" t="s">
        <v>7472</v>
      </c>
    </row>
    <row r="2376" spans="1:3">
      <c r="A2376" s="4" t="s">
        <v>7467</v>
      </c>
      <c r="B2376" s="4" t="s">
        <v>7467</v>
      </c>
      <c r="C2376" s="4" t="s">
        <v>7473</v>
      </c>
    </row>
    <row r="2377" spans="1:3">
      <c r="A2377" s="4" t="s">
        <v>7469</v>
      </c>
      <c r="B2377" s="4" t="s">
        <v>7469</v>
      </c>
      <c r="C2377" s="4" t="s">
        <v>7474</v>
      </c>
    </row>
    <row r="2378" spans="1:3">
      <c r="A2378" s="4" t="s">
        <v>7465</v>
      </c>
      <c r="B2378" s="4" t="s">
        <v>7465</v>
      </c>
      <c r="C2378" s="4" t="s">
        <v>7475</v>
      </c>
    </row>
    <row r="2379" spans="1:3">
      <c r="A2379" s="4" t="s">
        <v>7476</v>
      </c>
      <c r="B2379" s="4" t="s">
        <v>7476</v>
      </c>
      <c r="C2379" s="4" t="s">
        <v>7477</v>
      </c>
    </row>
    <row r="2380" spans="1:3">
      <c r="A2380" s="4" t="s">
        <v>7478</v>
      </c>
      <c r="B2380" s="4" t="s">
        <v>7478</v>
      </c>
      <c r="C2380" s="4" t="s">
        <v>7479</v>
      </c>
    </row>
    <row r="2381" spans="1:3">
      <c r="A2381" s="4" t="s">
        <v>7480</v>
      </c>
      <c r="B2381" s="4" t="s">
        <v>7480</v>
      </c>
      <c r="C2381" s="4" t="s">
        <v>7481</v>
      </c>
    </row>
    <row r="2382" spans="1:3">
      <c r="A2382" s="4" t="s">
        <v>7482</v>
      </c>
      <c r="B2382" s="4" t="s">
        <v>7482</v>
      </c>
      <c r="C2382" s="4" t="s">
        <v>7483</v>
      </c>
    </row>
    <row r="2383" spans="1:3">
      <c r="A2383" s="4" t="s">
        <v>7484</v>
      </c>
      <c r="B2383" s="4" t="s">
        <v>7484</v>
      </c>
      <c r="C2383" s="4" t="s">
        <v>7485</v>
      </c>
    </row>
    <row r="2384" spans="1:3">
      <c r="A2384" s="4" t="s">
        <v>7486</v>
      </c>
      <c r="B2384" s="4" t="s">
        <v>7486</v>
      </c>
      <c r="C2384" s="4" t="s">
        <v>7487</v>
      </c>
    </row>
    <row r="2385" spans="1:3">
      <c r="A2385" s="4" t="s">
        <v>7488</v>
      </c>
      <c r="B2385" s="4" t="s">
        <v>7488</v>
      </c>
      <c r="C2385" s="4" t="s">
        <v>7489</v>
      </c>
    </row>
    <row r="2386" spans="1:3">
      <c r="A2386" s="4" t="s">
        <v>7490</v>
      </c>
      <c r="B2386" s="4" t="s">
        <v>7490</v>
      </c>
      <c r="C2386" s="4" t="s">
        <v>7491</v>
      </c>
    </row>
    <row r="2387" spans="1:3">
      <c r="A2387" s="4" t="s">
        <v>7492</v>
      </c>
      <c r="B2387" s="4" t="s">
        <v>7492</v>
      </c>
      <c r="C2387" s="4" t="s">
        <v>7493</v>
      </c>
    </row>
    <row r="2388" spans="1:3">
      <c r="A2388" s="4" t="s">
        <v>7494</v>
      </c>
      <c r="B2388" s="4" t="s">
        <v>7494</v>
      </c>
      <c r="C2388" s="4" t="s">
        <v>7495</v>
      </c>
    </row>
    <row r="2389" spans="1:3">
      <c r="A2389" s="4" t="s">
        <v>7496</v>
      </c>
      <c r="B2389" s="4" t="s">
        <v>7496</v>
      </c>
      <c r="C2389" s="4" t="s">
        <v>7497</v>
      </c>
    </row>
    <row r="2390" spans="1:3">
      <c r="A2390" s="4" t="s">
        <v>7498</v>
      </c>
      <c r="B2390" s="4" t="s">
        <v>7498</v>
      </c>
      <c r="C2390" s="4" t="s">
        <v>7499</v>
      </c>
    </row>
    <row r="2391" spans="1:3">
      <c r="A2391" s="4" t="s">
        <v>7500</v>
      </c>
      <c r="B2391" s="4" t="s">
        <v>7500</v>
      </c>
      <c r="C2391" s="4" t="s">
        <v>7501</v>
      </c>
    </row>
    <row r="2392" spans="1:3">
      <c r="A2392" s="4" t="s">
        <v>7502</v>
      </c>
      <c r="B2392" s="4" t="s">
        <v>7502</v>
      </c>
      <c r="C2392" s="4" t="s">
        <v>7503</v>
      </c>
    </row>
    <row r="2393" spans="1:3">
      <c r="A2393" s="4" t="s">
        <v>7504</v>
      </c>
      <c r="B2393" s="4" t="s">
        <v>7504</v>
      </c>
      <c r="C2393" s="4" t="s">
        <v>7505</v>
      </c>
    </row>
    <row r="2394" spans="1:3">
      <c r="A2394" s="4" t="s">
        <v>7506</v>
      </c>
      <c r="B2394" s="4" t="s">
        <v>7506</v>
      </c>
      <c r="C2394" s="4" t="s">
        <v>7507</v>
      </c>
    </row>
    <row r="2395" spans="1:3">
      <c r="A2395" s="4" t="s">
        <v>7508</v>
      </c>
      <c r="B2395" s="4" t="s">
        <v>7508</v>
      </c>
      <c r="C2395" s="4" t="s">
        <v>7509</v>
      </c>
    </row>
    <row r="2396" spans="1:3">
      <c r="A2396" s="4" t="s">
        <v>7510</v>
      </c>
      <c r="B2396" s="4" t="s">
        <v>7510</v>
      </c>
      <c r="C2396" s="4" t="s">
        <v>5939</v>
      </c>
    </row>
    <row r="2397" spans="1:3">
      <c r="A2397" s="4" t="s">
        <v>7299</v>
      </c>
      <c r="B2397" s="4" t="s">
        <v>7299</v>
      </c>
      <c r="C2397" s="4" t="s">
        <v>7300</v>
      </c>
    </row>
    <row r="2398" spans="1:3">
      <c r="A2398" s="4" t="s">
        <v>7511</v>
      </c>
      <c r="B2398" s="4" t="s">
        <v>7511</v>
      </c>
      <c r="C2398" s="4" t="s">
        <v>7512</v>
      </c>
    </row>
    <row r="2399" spans="1:3">
      <c r="A2399" s="4" t="s">
        <v>7513</v>
      </c>
      <c r="B2399" s="4" t="s">
        <v>7513</v>
      </c>
      <c r="C2399" s="4" t="s">
        <v>7514</v>
      </c>
    </row>
    <row r="2400" spans="1:3">
      <c r="A2400" s="4" t="s">
        <v>7515</v>
      </c>
      <c r="B2400" s="4" t="s">
        <v>7515</v>
      </c>
      <c r="C2400" s="4" t="s">
        <v>7516</v>
      </c>
    </row>
    <row r="2401" spans="1:3">
      <c r="A2401" s="4" t="s">
        <v>7517</v>
      </c>
      <c r="B2401" s="4" t="s">
        <v>7517</v>
      </c>
      <c r="C2401" s="4" t="s">
        <v>7518</v>
      </c>
    </row>
    <row r="2402" spans="1:3">
      <c r="A2402" s="4" t="s">
        <v>7519</v>
      </c>
      <c r="B2402" s="4" t="s">
        <v>7519</v>
      </c>
      <c r="C2402" s="4" t="s">
        <v>7520</v>
      </c>
    </row>
    <row r="2403" spans="1:3">
      <c r="A2403" s="4" t="s">
        <v>7521</v>
      </c>
      <c r="B2403" s="4" t="s">
        <v>7521</v>
      </c>
      <c r="C2403" s="4" t="s">
        <v>7522</v>
      </c>
    </row>
    <row r="2404" spans="1:3">
      <c r="A2404" s="4" t="s">
        <v>7523</v>
      </c>
      <c r="B2404" s="4" t="s">
        <v>7523</v>
      </c>
      <c r="C2404" s="4" t="s">
        <v>7524</v>
      </c>
    </row>
    <row r="2405" spans="1:3">
      <c r="A2405" s="4" t="s">
        <v>7525</v>
      </c>
      <c r="B2405" s="4" t="s">
        <v>7525</v>
      </c>
      <c r="C2405" s="4" t="s">
        <v>7526</v>
      </c>
    </row>
    <row r="2406" spans="1:3">
      <c r="A2406" s="4" t="s">
        <v>6025</v>
      </c>
      <c r="B2406" s="4" t="s">
        <v>6025</v>
      </c>
      <c r="C2406" s="4" t="s">
        <v>7527</v>
      </c>
    </row>
    <row r="2407" spans="1:3">
      <c r="A2407" s="4" t="s">
        <v>7528</v>
      </c>
      <c r="B2407" s="4" t="s">
        <v>7528</v>
      </c>
      <c r="C2407" s="4" t="s">
        <v>7529</v>
      </c>
    </row>
    <row r="2408" spans="1:3">
      <c r="A2408" s="4" t="s">
        <v>7530</v>
      </c>
      <c r="B2408" s="4" t="s">
        <v>7530</v>
      </c>
      <c r="C2408" s="4" t="s">
        <v>7531</v>
      </c>
    </row>
    <row r="2409" spans="1:3">
      <c r="A2409" s="4" t="s">
        <v>5923</v>
      </c>
      <c r="B2409" s="4" t="s">
        <v>5923</v>
      </c>
      <c r="C2409" s="4" t="s">
        <v>7532</v>
      </c>
    </row>
    <row r="2410" spans="1:3">
      <c r="A2410" s="4" t="s">
        <v>5924</v>
      </c>
      <c r="B2410" s="4" t="s">
        <v>5924</v>
      </c>
      <c r="C2410" s="4" t="s">
        <v>7533</v>
      </c>
    </row>
    <row r="2411" spans="1:3">
      <c r="A2411" s="4" t="s">
        <v>7534</v>
      </c>
      <c r="B2411" s="4" t="s">
        <v>7534</v>
      </c>
      <c r="C2411" s="4" t="s">
        <v>7535</v>
      </c>
    </row>
    <row r="2412" spans="1:3">
      <c r="A2412" s="4" t="s">
        <v>7536</v>
      </c>
      <c r="B2412" s="4" t="s">
        <v>7536</v>
      </c>
      <c r="C2412" s="4" t="s">
        <v>7537</v>
      </c>
    </row>
    <row r="2413" spans="1:3">
      <c r="A2413" s="4" t="s">
        <v>7538</v>
      </c>
      <c r="B2413" s="4" t="s">
        <v>7538</v>
      </c>
      <c r="C2413" s="4" t="s">
        <v>7539</v>
      </c>
    </row>
    <row r="2414" spans="1:3">
      <c r="A2414" s="4" t="s">
        <v>7540</v>
      </c>
      <c r="B2414" s="4" t="s">
        <v>7540</v>
      </c>
      <c r="C2414" s="4" t="s">
        <v>7541</v>
      </c>
    </row>
    <row r="2415" spans="1:3">
      <c r="A2415" s="4" t="s">
        <v>7542</v>
      </c>
      <c r="B2415" s="4" t="s">
        <v>7542</v>
      </c>
      <c r="C2415" s="4" t="s">
        <v>7138</v>
      </c>
    </row>
    <row r="2416" spans="1:3">
      <c r="A2416" s="4" t="s">
        <v>7543</v>
      </c>
      <c r="B2416" s="4" t="s">
        <v>7543</v>
      </c>
      <c r="C2416" s="4" t="s">
        <v>7544</v>
      </c>
    </row>
    <row r="2417" spans="1:3">
      <c r="A2417" s="4" t="s">
        <v>7545</v>
      </c>
      <c r="B2417" s="4" t="s">
        <v>7545</v>
      </c>
      <c r="C2417" s="4" t="s">
        <v>7546</v>
      </c>
    </row>
    <row r="2418" spans="1:3">
      <c r="A2418" s="4" t="s">
        <v>7547</v>
      </c>
      <c r="B2418" s="4" t="s">
        <v>7547</v>
      </c>
      <c r="C2418" s="4" t="s">
        <v>7548</v>
      </c>
    </row>
    <row r="2419" spans="1:3">
      <c r="A2419" s="4" t="s">
        <v>7549</v>
      </c>
      <c r="B2419" s="4" t="s">
        <v>7549</v>
      </c>
      <c r="C2419" s="4" t="s">
        <v>7550</v>
      </c>
    </row>
    <row r="2420" spans="1:3">
      <c r="A2420" s="4" t="s">
        <v>7551</v>
      </c>
      <c r="B2420" s="4" t="s">
        <v>7551</v>
      </c>
      <c r="C2420" s="4" t="s">
        <v>7552</v>
      </c>
    </row>
    <row r="2421" spans="1:3">
      <c r="A2421" s="4" t="s">
        <v>7553</v>
      </c>
      <c r="B2421" s="4" t="s">
        <v>7553</v>
      </c>
      <c r="C2421" s="4" t="s">
        <v>7554</v>
      </c>
    </row>
    <row r="2422" spans="1:3">
      <c r="A2422" s="4" t="s">
        <v>7555</v>
      </c>
      <c r="B2422" s="4" t="s">
        <v>7555</v>
      </c>
      <c r="C2422" s="4" t="s">
        <v>7556</v>
      </c>
    </row>
    <row r="2423" spans="1:3">
      <c r="A2423" s="4" t="s">
        <v>7557</v>
      </c>
      <c r="B2423" s="4" t="s">
        <v>7557</v>
      </c>
      <c r="C2423" s="4" t="s">
        <v>7558</v>
      </c>
    </row>
    <row r="2424" spans="1:3">
      <c r="A2424" s="4" t="s">
        <v>7559</v>
      </c>
      <c r="B2424" s="4" t="s">
        <v>7559</v>
      </c>
      <c r="C2424" s="4" t="s">
        <v>7560</v>
      </c>
    </row>
    <row r="2425" spans="1:3">
      <c r="A2425" s="4" t="s">
        <v>7561</v>
      </c>
      <c r="B2425" s="4" t="s">
        <v>7561</v>
      </c>
      <c r="C2425" s="4" t="s">
        <v>7562</v>
      </c>
    </row>
    <row r="2426" spans="1:3">
      <c r="A2426" s="4" t="s">
        <v>7563</v>
      </c>
      <c r="B2426" s="4" t="s">
        <v>7563</v>
      </c>
      <c r="C2426" s="4" t="s">
        <v>7564</v>
      </c>
    </row>
    <row r="2427" spans="1:3">
      <c r="A2427" s="4" t="s">
        <v>7565</v>
      </c>
      <c r="B2427" s="4" t="s">
        <v>7565</v>
      </c>
      <c r="C2427" s="4" t="s">
        <v>7566</v>
      </c>
    </row>
    <row r="2428" spans="1:3">
      <c r="A2428" s="4" t="s">
        <v>7567</v>
      </c>
      <c r="B2428" s="4" t="s">
        <v>7567</v>
      </c>
      <c r="C2428" s="4" t="s">
        <v>7568</v>
      </c>
    </row>
    <row r="2429" spans="1:3">
      <c r="A2429" s="4" t="s">
        <v>7569</v>
      </c>
      <c r="B2429" s="4" t="s">
        <v>7569</v>
      </c>
      <c r="C2429" s="4" t="s">
        <v>7570</v>
      </c>
    </row>
    <row r="2430" spans="1:3">
      <c r="A2430" s="4" t="s">
        <v>7571</v>
      </c>
      <c r="B2430" s="4" t="s">
        <v>7571</v>
      </c>
      <c r="C2430" s="4" t="s">
        <v>7572</v>
      </c>
    </row>
    <row r="2431" spans="1:3">
      <c r="A2431" s="4" t="s">
        <v>7573</v>
      </c>
      <c r="B2431" s="4" t="s">
        <v>7573</v>
      </c>
      <c r="C2431" s="4" t="s">
        <v>7574</v>
      </c>
    </row>
    <row r="2432" spans="1:3">
      <c r="A2432" s="4" t="s">
        <v>7575</v>
      </c>
      <c r="B2432" s="4" t="s">
        <v>7575</v>
      </c>
      <c r="C2432" s="4" t="s">
        <v>7576</v>
      </c>
    </row>
    <row r="2433" spans="1:3">
      <c r="A2433" s="4" t="s">
        <v>7577</v>
      </c>
      <c r="B2433" s="4" t="s">
        <v>7577</v>
      </c>
      <c r="C2433" s="4" t="s">
        <v>7578</v>
      </c>
    </row>
    <row r="2434" spans="1:3">
      <c r="A2434" s="4" t="s">
        <v>7579</v>
      </c>
      <c r="B2434" s="4" t="s">
        <v>7579</v>
      </c>
      <c r="C2434" s="4" t="s">
        <v>7580</v>
      </c>
    </row>
    <row r="2435" spans="1:3">
      <c r="A2435" s="4" t="s">
        <v>5915</v>
      </c>
      <c r="B2435" s="4" t="s">
        <v>5915</v>
      </c>
      <c r="C2435" s="4" t="s">
        <v>5914</v>
      </c>
    </row>
    <row r="2436" spans="1:3">
      <c r="A2436" s="4" t="s">
        <v>7403</v>
      </c>
      <c r="B2436" s="4" t="s">
        <v>7403</v>
      </c>
      <c r="C2436" s="4" t="s">
        <v>7404</v>
      </c>
    </row>
    <row r="2437" spans="1:3">
      <c r="A2437" s="4" t="s">
        <v>7581</v>
      </c>
      <c r="B2437" s="4" t="s">
        <v>7581</v>
      </c>
      <c r="C2437" s="4" t="s">
        <v>7582</v>
      </c>
    </row>
    <row r="2438" spans="1:3">
      <c r="A2438" s="4" t="s">
        <v>7583</v>
      </c>
      <c r="B2438" s="4" t="s">
        <v>7583</v>
      </c>
      <c r="C2438" s="4" t="s">
        <v>7584</v>
      </c>
    </row>
    <row r="2439" spans="1:3">
      <c r="A2439" s="4" t="s">
        <v>7585</v>
      </c>
      <c r="B2439" s="4" t="s">
        <v>7585</v>
      </c>
      <c r="C2439" s="4" t="s">
        <v>7586</v>
      </c>
    </row>
    <row r="2440" spans="1:3">
      <c r="A2440" s="4" t="s">
        <v>7506</v>
      </c>
      <c r="B2440" s="4" t="s">
        <v>7506</v>
      </c>
      <c r="C2440" s="4" t="s">
        <v>7507</v>
      </c>
    </row>
    <row r="2441" spans="1:3">
      <c r="A2441" s="4" t="s">
        <v>7587</v>
      </c>
      <c r="B2441" s="4" t="s">
        <v>7587</v>
      </c>
      <c r="C2441" s="4" t="s">
        <v>7588</v>
      </c>
    </row>
    <row r="2442" spans="1:3">
      <c r="A2442" s="4" t="s">
        <v>7589</v>
      </c>
      <c r="B2442" s="4" t="s">
        <v>7589</v>
      </c>
      <c r="C2442" s="4" t="s">
        <v>7590</v>
      </c>
    </row>
    <row r="2443" spans="1:3">
      <c r="A2443" s="4" t="s">
        <v>7591</v>
      </c>
      <c r="B2443" s="4" t="s">
        <v>7591</v>
      </c>
      <c r="C2443" s="4" t="s">
        <v>7592</v>
      </c>
    </row>
    <row r="2444" spans="1:3">
      <c r="A2444" s="4" t="s">
        <v>7593</v>
      </c>
      <c r="B2444" s="4" t="s">
        <v>7593</v>
      </c>
      <c r="C2444" s="4" t="s">
        <v>7594</v>
      </c>
    </row>
    <row r="2445" spans="1:3">
      <c r="A2445" s="4" t="s">
        <v>7595</v>
      </c>
      <c r="B2445" s="4" t="s">
        <v>7595</v>
      </c>
      <c r="C2445" s="4" t="s">
        <v>7596</v>
      </c>
    </row>
    <row r="2446" spans="1:3">
      <c r="A2446" s="4" t="s">
        <v>7597</v>
      </c>
      <c r="B2446" s="4" t="s">
        <v>7597</v>
      </c>
      <c r="C2446" s="4" t="s">
        <v>7598</v>
      </c>
    </row>
    <row r="2447" spans="1:3">
      <c r="A2447" s="4" t="s">
        <v>7599</v>
      </c>
      <c r="B2447" s="4" t="s">
        <v>7599</v>
      </c>
      <c r="C2447" s="4" t="s">
        <v>7600</v>
      </c>
    </row>
    <row r="2448" spans="1:3">
      <c r="A2448" s="4" t="s">
        <v>7551</v>
      </c>
      <c r="B2448" s="4" t="s">
        <v>7551</v>
      </c>
      <c r="C2448" s="4" t="s">
        <v>7552</v>
      </c>
    </row>
    <row r="2449" spans="1:3">
      <c r="A2449" s="4" t="s">
        <v>7513</v>
      </c>
      <c r="B2449" s="4" t="s">
        <v>7513</v>
      </c>
      <c r="C2449" s="4" t="s">
        <v>7514</v>
      </c>
    </row>
    <row r="2450" spans="1:3">
      <c r="A2450" s="4" t="s">
        <v>7601</v>
      </c>
      <c r="B2450" s="4" t="s">
        <v>7601</v>
      </c>
      <c r="C2450" s="4" t="s">
        <v>7602</v>
      </c>
    </row>
    <row r="2451" spans="1:3">
      <c r="A2451" s="4" t="s">
        <v>7603</v>
      </c>
      <c r="B2451" s="4" t="s">
        <v>7603</v>
      </c>
      <c r="C2451" s="4" t="s">
        <v>7604</v>
      </c>
    </row>
    <row r="2452" spans="1:3">
      <c r="A2452" s="4" t="s">
        <v>7605</v>
      </c>
      <c r="B2452" s="4" t="s">
        <v>7605</v>
      </c>
      <c r="C2452" s="4" t="s">
        <v>7606</v>
      </c>
    </row>
    <row r="2453" spans="1:3">
      <c r="A2453" s="4" t="s">
        <v>7607</v>
      </c>
      <c r="B2453" s="4" t="s">
        <v>7607</v>
      </c>
      <c r="C2453" s="4" t="s">
        <v>7608</v>
      </c>
    </row>
    <row r="2454" spans="1:3">
      <c r="A2454" s="4" t="s">
        <v>7609</v>
      </c>
      <c r="B2454" s="4" t="s">
        <v>7609</v>
      </c>
      <c r="C2454" s="4" t="s">
        <v>7610</v>
      </c>
    </row>
    <row r="2455" spans="1:3">
      <c r="A2455" s="4" t="s">
        <v>6022</v>
      </c>
      <c r="B2455" s="4" t="s">
        <v>6022</v>
      </c>
      <c r="C2455" s="4" t="s">
        <v>7611</v>
      </c>
    </row>
    <row r="2456" spans="1:3">
      <c r="A2456" s="4" t="s">
        <v>7612</v>
      </c>
      <c r="B2456" s="4" t="s">
        <v>7612</v>
      </c>
      <c r="C2456" s="4" t="s">
        <v>7613</v>
      </c>
    </row>
    <row r="2457" spans="1:3">
      <c r="A2457" s="4" t="s">
        <v>7614</v>
      </c>
      <c r="B2457" s="4" t="s">
        <v>7614</v>
      </c>
      <c r="C2457" s="4" t="s">
        <v>6380</v>
      </c>
    </row>
    <row r="2458" spans="1:3">
      <c r="A2458" s="4" t="s">
        <v>6023</v>
      </c>
      <c r="B2458" s="4" t="s">
        <v>6023</v>
      </c>
      <c r="C2458" s="4" t="s">
        <v>7615</v>
      </c>
    </row>
    <row r="2459" spans="1:3">
      <c r="A2459" s="4" t="s">
        <v>7616</v>
      </c>
      <c r="B2459" s="4" t="s">
        <v>7616</v>
      </c>
      <c r="C2459" s="4" t="s">
        <v>7617</v>
      </c>
    </row>
    <row r="2460" spans="1:3">
      <c r="A2460" s="4" t="s">
        <v>7618</v>
      </c>
      <c r="B2460" s="4" t="s">
        <v>7618</v>
      </c>
      <c r="C2460" s="4" t="s">
        <v>6383</v>
      </c>
    </row>
    <row r="2461" spans="1:3">
      <c r="A2461" s="4" t="s">
        <v>7619</v>
      </c>
      <c r="B2461" s="4" t="s">
        <v>7619</v>
      </c>
      <c r="C2461" s="4" t="s">
        <v>7620</v>
      </c>
    </row>
    <row r="2462" spans="1:3">
      <c r="A2462" s="4" t="s">
        <v>7621</v>
      </c>
      <c r="B2462" s="4" t="s">
        <v>7621</v>
      </c>
      <c r="C2462" s="4" t="s">
        <v>7622</v>
      </c>
    </row>
    <row r="2463" spans="1:3">
      <c r="A2463" s="4" t="s">
        <v>7623</v>
      </c>
      <c r="B2463" s="4" t="s">
        <v>7623</v>
      </c>
      <c r="C2463" s="4" t="s">
        <v>7624</v>
      </c>
    </row>
    <row r="2464" spans="1:3">
      <c r="A2464" s="4" t="s">
        <v>7625</v>
      </c>
      <c r="B2464" s="4" t="s">
        <v>7625</v>
      </c>
      <c r="C2464" s="4" t="s">
        <v>7626</v>
      </c>
    </row>
    <row r="2465" spans="1:3">
      <c r="A2465" s="4" t="s">
        <v>7627</v>
      </c>
      <c r="B2465" s="4" t="s">
        <v>7627</v>
      </c>
      <c r="C2465" s="4" t="s">
        <v>7628</v>
      </c>
    </row>
    <row r="2466" spans="1:3">
      <c r="A2466" s="4" t="s">
        <v>7629</v>
      </c>
      <c r="B2466" s="4" t="s">
        <v>7629</v>
      </c>
      <c r="C2466" s="4" t="s">
        <v>7630</v>
      </c>
    </row>
    <row r="2467" spans="1:3">
      <c r="A2467" s="4" t="s">
        <v>7631</v>
      </c>
      <c r="B2467" s="4" t="s">
        <v>7631</v>
      </c>
      <c r="C2467" s="4" t="s">
        <v>7632</v>
      </c>
    </row>
    <row r="2468" spans="1:3">
      <c r="A2468" s="4" t="s">
        <v>7633</v>
      </c>
      <c r="B2468" s="4" t="s">
        <v>7633</v>
      </c>
      <c r="C2468" s="4" t="s">
        <v>7634</v>
      </c>
    </row>
    <row r="2469" spans="1:3">
      <c r="A2469" s="4" t="s">
        <v>7635</v>
      </c>
      <c r="B2469" s="4" t="s">
        <v>7635</v>
      </c>
      <c r="C2469" s="4" t="s">
        <v>7636</v>
      </c>
    </row>
    <row r="2470" spans="1:3">
      <c r="A2470" s="4" t="s">
        <v>7637</v>
      </c>
      <c r="B2470" s="4" t="s">
        <v>7637</v>
      </c>
      <c r="C2470" s="4" t="s">
        <v>7638</v>
      </c>
    </row>
    <row r="2471" spans="1:3">
      <c r="A2471" s="4" t="s">
        <v>7639</v>
      </c>
      <c r="B2471" s="4" t="s">
        <v>7639</v>
      </c>
      <c r="C2471" s="4" t="s">
        <v>7640</v>
      </c>
    </row>
    <row r="2472" spans="1:3">
      <c r="A2472" s="4" t="s">
        <v>7641</v>
      </c>
      <c r="B2472" s="4" t="s">
        <v>7641</v>
      </c>
      <c r="C2472" s="4" t="s">
        <v>7642</v>
      </c>
    </row>
    <row r="2473" spans="1:3">
      <c r="A2473" s="4" t="s">
        <v>7643</v>
      </c>
      <c r="B2473" s="4" t="s">
        <v>7643</v>
      </c>
      <c r="C2473" s="4" t="s">
        <v>7644</v>
      </c>
    </row>
    <row r="2474" spans="1:3">
      <c r="A2474" s="4" t="s">
        <v>7645</v>
      </c>
      <c r="B2474" s="4" t="s">
        <v>7645</v>
      </c>
      <c r="C2474" s="4" t="s">
        <v>7646</v>
      </c>
    </row>
    <row r="2475" spans="1:3">
      <c r="A2475" s="4" t="s">
        <v>7647</v>
      </c>
      <c r="B2475" s="4" t="s">
        <v>7647</v>
      </c>
      <c r="C2475" s="4" t="s">
        <v>7648</v>
      </c>
    </row>
    <row r="2476" spans="1:3">
      <c r="A2476" s="4" t="s">
        <v>7649</v>
      </c>
      <c r="B2476" s="4" t="s">
        <v>7649</v>
      </c>
      <c r="C2476" s="4" t="s">
        <v>7650</v>
      </c>
    </row>
    <row r="2477" spans="1:3">
      <c r="A2477" s="4" t="s">
        <v>7651</v>
      </c>
      <c r="B2477" s="4" t="s">
        <v>7651</v>
      </c>
      <c r="C2477" s="4" t="s">
        <v>7652</v>
      </c>
    </row>
    <row r="2478" spans="1:3">
      <c r="A2478" s="4" t="s">
        <v>7653</v>
      </c>
      <c r="B2478" s="4" t="s">
        <v>7653</v>
      </c>
      <c r="C2478" s="4" t="s">
        <v>7654</v>
      </c>
    </row>
    <row r="2479" spans="1:3">
      <c r="A2479" s="4" t="s">
        <v>7655</v>
      </c>
      <c r="B2479" s="4" t="s">
        <v>7655</v>
      </c>
      <c r="C2479" s="4" t="s">
        <v>7656</v>
      </c>
    </row>
    <row r="2480" spans="1:3">
      <c r="A2480" s="4" t="s">
        <v>7657</v>
      </c>
      <c r="B2480" s="4" t="s">
        <v>7657</v>
      </c>
      <c r="C2480" s="4" t="s">
        <v>7658</v>
      </c>
    </row>
    <row r="2481" spans="1:3">
      <c r="A2481" s="4" t="s">
        <v>7659</v>
      </c>
      <c r="B2481" s="4" t="s">
        <v>7659</v>
      </c>
      <c r="C2481" s="4" t="s">
        <v>7660</v>
      </c>
    </row>
    <row r="2482" spans="1:3">
      <c r="A2482" s="4" t="s">
        <v>7661</v>
      </c>
      <c r="B2482" s="4" t="s">
        <v>7661</v>
      </c>
      <c r="C2482" s="4" t="s">
        <v>7662</v>
      </c>
    </row>
    <row r="2483" spans="1:3">
      <c r="A2483" s="4" t="s">
        <v>7663</v>
      </c>
      <c r="B2483" s="4" t="s">
        <v>7663</v>
      </c>
      <c r="C2483" s="4" t="s">
        <v>7664</v>
      </c>
    </row>
    <row r="2484" spans="1:3">
      <c r="A2484" s="4" t="s">
        <v>7665</v>
      </c>
      <c r="B2484" s="4" t="s">
        <v>7665</v>
      </c>
      <c r="C2484" s="4" t="s">
        <v>7666</v>
      </c>
    </row>
    <row r="2485" spans="1:3">
      <c r="A2485" s="4" t="s">
        <v>7667</v>
      </c>
      <c r="B2485" s="4" t="s">
        <v>7667</v>
      </c>
      <c r="C2485" s="4" t="s">
        <v>7668</v>
      </c>
    </row>
    <row r="2486" spans="1:3">
      <c r="A2486" s="4" t="s">
        <v>7669</v>
      </c>
      <c r="B2486" s="4" t="s">
        <v>7669</v>
      </c>
      <c r="C2486" s="4" t="s">
        <v>7670</v>
      </c>
    </row>
    <row r="2487" spans="1:3">
      <c r="A2487" s="4" t="s">
        <v>7671</v>
      </c>
      <c r="B2487" s="4" t="s">
        <v>7671</v>
      </c>
      <c r="C2487" s="4" t="s">
        <v>7672</v>
      </c>
    </row>
    <row r="2488" spans="1:3">
      <c r="A2488" s="4" t="s">
        <v>7673</v>
      </c>
      <c r="B2488" s="4" t="s">
        <v>7673</v>
      </c>
      <c r="C2488" s="4" t="s">
        <v>7674</v>
      </c>
    </row>
    <row r="2489" spans="1:3">
      <c r="A2489" s="4" t="s">
        <v>7675</v>
      </c>
      <c r="B2489" s="4" t="s">
        <v>7675</v>
      </c>
      <c r="C2489" s="4" t="s">
        <v>7676</v>
      </c>
    </row>
    <row r="2490" spans="1:3">
      <c r="A2490" s="4" t="s">
        <v>7677</v>
      </c>
      <c r="B2490" s="4" t="s">
        <v>7677</v>
      </c>
      <c r="C2490" s="4" t="s">
        <v>7678</v>
      </c>
    </row>
    <row r="2491" spans="1:3">
      <c r="A2491" s="4" t="s">
        <v>7679</v>
      </c>
      <c r="B2491" s="4" t="s">
        <v>7679</v>
      </c>
      <c r="C2491" s="4" t="s">
        <v>7680</v>
      </c>
    </row>
    <row r="2492" spans="1:3">
      <c r="A2492" s="4" t="s">
        <v>7681</v>
      </c>
      <c r="B2492" s="4" t="s">
        <v>7681</v>
      </c>
      <c r="C2492" s="4" t="s">
        <v>7682</v>
      </c>
    </row>
    <row r="2493" spans="1:3">
      <c r="A2493" s="4" t="s">
        <v>7683</v>
      </c>
      <c r="B2493" s="4" t="s">
        <v>7683</v>
      </c>
      <c r="C2493" s="4" t="s">
        <v>7684</v>
      </c>
    </row>
    <row r="2494" spans="1:3">
      <c r="A2494" s="4" t="s">
        <v>7685</v>
      </c>
      <c r="B2494" s="4" t="s">
        <v>7685</v>
      </c>
      <c r="C2494" s="4" t="s">
        <v>7686</v>
      </c>
    </row>
    <row r="2495" spans="1:3">
      <c r="A2495" s="4" t="s">
        <v>7687</v>
      </c>
      <c r="B2495" s="4" t="s">
        <v>7687</v>
      </c>
      <c r="C2495" s="4" t="s">
        <v>6383</v>
      </c>
    </row>
    <row r="2496" spans="1:3">
      <c r="A2496" s="4" t="s">
        <v>7688</v>
      </c>
      <c r="B2496" s="4" t="s">
        <v>7688</v>
      </c>
      <c r="C2496" s="4" t="s">
        <v>7689</v>
      </c>
    </row>
    <row r="2497" spans="1:3">
      <c r="A2497" s="4" t="s">
        <v>7690</v>
      </c>
      <c r="B2497" s="4" t="s">
        <v>7690</v>
      </c>
      <c r="C2497" s="4" t="s">
        <v>7691</v>
      </c>
    </row>
    <row r="2498" spans="1:3">
      <c r="A2498" s="4" t="s">
        <v>7692</v>
      </c>
      <c r="B2498" s="4" t="s">
        <v>7692</v>
      </c>
      <c r="C2498" s="4" t="s">
        <v>7634</v>
      </c>
    </row>
    <row r="2499" spans="1:3">
      <c r="A2499" s="4" t="s">
        <v>7693</v>
      </c>
      <c r="B2499" s="4" t="s">
        <v>7693</v>
      </c>
      <c r="C2499" s="4" t="s">
        <v>7694</v>
      </c>
    </row>
    <row r="2500" spans="1:3">
      <c r="A2500" s="4" t="s">
        <v>7695</v>
      </c>
      <c r="B2500" s="4" t="s">
        <v>7695</v>
      </c>
      <c r="C2500" s="4" t="s">
        <v>7626</v>
      </c>
    </row>
    <row r="2501" spans="1:3">
      <c r="A2501" s="4" t="s">
        <v>7696</v>
      </c>
      <c r="B2501" s="4" t="s">
        <v>7696</v>
      </c>
      <c r="C2501" s="4" t="s">
        <v>7666</v>
      </c>
    </row>
    <row r="2502" spans="1:3">
      <c r="A2502" s="4" t="s">
        <v>7697</v>
      </c>
      <c r="B2502" s="4" t="s">
        <v>7697</v>
      </c>
      <c r="C2502" s="4" t="s">
        <v>7698</v>
      </c>
    </row>
    <row r="2503" spans="1:3">
      <c r="A2503" s="4" t="s">
        <v>7699</v>
      </c>
      <c r="B2503" s="4" t="s">
        <v>7699</v>
      </c>
      <c r="C2503" s="4" t="s">
        <v>7700</v>
      </c>
    </row>
    <row r="2504" spans="1:3">
      <c r="A2504" s="4" t="s">
        <v>7701</v>
      </c>
      <c r="B2504" s="4" t="s">
        <v>7701</v>
      </c>
      <c r="C2504" s="4" t="s">
        <v>7702</v>
      </c>
    </row>
    <row r="2505" spans="1:3">
      <c r="A2505" s="4" t="s">
        <v>7703</v>
      </c>
      <c r="B2505" s="4" t="s">
        <v>7703</v>
      </c>
      <c r="C2505" s="4" t="s">
        <v>7668</v>
      </c>
    </row>
    <row r="2506" spans="1:3">
      <c r="A2506" s="4" t="s">
        <v>7704</v>
      </c>
      <c r="B2506" s="4" t="s">
        <v>7704</v>
      </c>
      <c r="C2506" s="4" t="s">
        <v>7670</v>
      </c>
    </row>
    <row r="2507" spans="1:3">
      <c r="A2507" s="4" t="s">
        <v>7705</v>
      </c>
      <c r="B2507" s="4" t="s">
        <v>7705</v>
      </c>
      <c r="C2507" s="4" t="s">
        <v>7672</v>
      </c>
    </row>
    <row r="2508" spans="1:3">
      <c r="A2508" s="4" t="s">
        <v>7706</v>
      </c>
      <c r="B2508" s="4" t="s">
        <v>7706</v>
      </c>
      <c r="C2508" s="4" t="s">
        <v>7707</v>
      </c>
    </row>
    <row r="2509" spans="1:3">
      <c r="A2509" s="4" t="s">
        <v>7708</v>
      </c>
      <c r="B2509" s="4" t="s">
        <v>7708</v>
      </c>
      <c r="C2509" s="4" t="s">
        <v>7709</v>
      </c>
    </row>
    <row r="2510" spans="1:3">
      <c r="A2510" s="4" t="s">
        <v>7710</v>
      </c>
      <c r="B2510" s="4" t="s">
        <v>7710</v>
      </c>
      <c r="C2510" s="4" t="s">
        <v>7711</v>
      </c>
    </row>
    <row r="2511" spans="1:3">
      <c r="A2511" s="4" t="s">
        <v>7712</v>
      </c>
      <c r="B2511" s="4" t="s">
        <v>7712</v>
      </c>
      <c r="C2511" s="4" t="s">
        <v>7648</v>
      </c>
    </row>
    <row r="2512" spans="1:3">
      <c r="A2512" s="4" t="s">
        <v>7713</v>
      </c>
      <c r="B2512" s="4" t="s">
        <v>7713</v>
      </c>
      <c r="C2512" s="4" t="s">
        <v>7650</v>
      </c>
    </row>
    <row r="2513" spans="1:3">
      <c r="A2513" s="4" t="s">
        <v>7714</v>
      </c>
      <c r="B2513" s="4" t="s">
        <v>7714</v>
      </c>
      <c r="C2513" s="4" t="s">
        <v>7715</v>
      </c>
    </row>
    <row r="2514" spans="1:3">
      <c r="A2514" s="4" t="s">
        <v>7716</v>
      </c>
      <c r="B2514" s="4" t="s">
        <v>7716</v>
      </c>
      <c r="C2514" s="4" t="s">
        <v>7717</v>
      </c>
    </row>
    <row r="2515" spans="1:3">
      <c r="A2515" s="4" t="s">
        <v>7718</v>
      </c>
      <c r="B2515" s="4" t="s">
        <v>7718</v>
      </c>
      <c r="C2515" s="4" t="s">
        <v>7719</v>
      </c>
    </row>
    <row r="2516" spans="1:3">
      <c r="A2516" s="4" t="s">
        <v>7720</v>
      </c>
      <c r="B2516" s="4" t="s">
        <v>7720</v>
      </c>
      <c r="C2516" s="4" t="s">
        <v>7721</v>
      </c>
    </row>
    <row r="2517" spans="1:3">
      <c r="A2517" s="4" t="s">
        <v>7722</v>
      </c>
      <c r="B2517" s="4" t="s">
        <v>7722</v>
      </c>
      <c r="C2517" s="4" t="s">
        <v>7723</v>
      </c>
    </row>
    <row r="2518" spans="1:3">
      <c r="A2518" s="4" t="s">
        <v>7724</v>
      </c>
      <c r="B2518" s="4" t="s">
        <v>7724</v>
      </c>
      <c r="C2518" s="4" t="s">
        <v>7725</v>
      </c>
    </row>
    <row r="2519" spans="1:3">
      <c r="A2519" s="4" t="s">
        <v>7726</v>
      </c>
      <c r="B2519" s="4" t="s">
        <v>7726</v>
      </c>
      <c r="C2519" s="4" t="s">
        <v>7727</v>
      </c>
    </row>
    <row r="2520" spans="1:3">
      <c r="A2520" s="4" t="s">
        <v>7728</v>
      </c>
      <c r="B2520" s="4" t="s">
        <v>7728</v>
      </c>
      <c r="C2520" s="4" t="s">
        <v>7729</v>
      </c>
    </row>
    <row r="2521" spans="1:3">
      <c r="A2521" s="4" t="s">
        <v>7730</v>
      </c>
      <c r="B2521" s="4" t="s">
        <v>7730</v>
      </c>
      <c r="C2521" s="4" t="s">
        <v>7731</v>
      </c>
    </row>
    <row r="2522" spans="1:3">
      <c r="A2522" s="4" t="s">
        <v>7732</v>
      </c>
      <c r="B2522" s="4" t="s">
        <v>7732</v>
      </c>
      <c r="C2522" s="4" t="s">
        <v>7733</v>
      </c>
    </row>
    <row r="2523" spans="1:3">
      <c r="A2523" s="4" t="s">
        <v>7734</v>
      </c>
      <c r="B2523" s="4" t="s">
        <v>7734</v>
      </c>
      <c r="C2523" s="4" t="s">
        <v>7735</v>
      </c>
    </row>
    <row r="2524" spans="1:3">
      <c r="A2524" s="4" t="s">
        <v>7736</v>
      </c>
      <c r="B2524" s="4" t="s">
        <v>7736</v>
      </c>
      <c r="C2524" s="4" t="s">
        <v>7737</v>
      </c>
    </row>
    <row r="2525" spans="1:3">
      <c r="A2525" s="4" t="s">
        <v>7738</v>
      </c>
      <c r="B2525" s="4" t="s">
        <v>7738</v>
      </c>
      <c r="C2525" s="4" t="s">
        <v>7739</v>
      </c>
    </row>
    <row r="2526" spans="1:3">
      <c r="A2526" s="4" t="s">
        <v>7619</v>
      </c>
      <c r="B2526" s="4" t="s">
        <v>7619</v>
      </c>
      <c r="C2526" s="4" t="s">
        <v>7620</v>
      </c>
    </row>
    <row r="2527" spans="1:3">
      <c r="A2527" s="4" t="s">
        <v>7740</v>
      </c>
      <c r="B2527" s="4" t="s">
        <v>7740</v>
      </c>
      <c r="C2527" s="4" t="s">
        <v>7741</v>
      </c>
    </row>
    <row r="2528" spans="1:3">
      <c r="A2528" s="4" t="s">
        <v>7742</v>
      </c>
      <c r="B2528" s="4" t="s">
        <v>7742</v>
      </c>
      <c r="C2528" s="4" t="s">
        <v>7743</v>
      </c>
    </row>
    <row r="2529" spans="1:3">
      <c r="A2529" s="4" t="s">
        <v>7744</v>
      </c>
      <c r="B2529" s="4" t="s">
        <v>7744</v>
      </c>
      <c r="C2529" s="4" t="s">
        <v>7745</v>
      </c>
    </row>
    <row r="2530" spans="1:3">
      <c r="A2530" s="4" t="s">
        <v>7746</v>
      </c>
      <c r="B2530" s="4" t="s">
        <v>7746</v>
      </c>
      <c r="C2530" s="4" t="s">
        <v>7501</v>
      </c>
    </row>
    <row r="2531" spans="1:3">
      <c r="A2531" s="4" t="s">
        <v>7747</v>
      </c>
      <c r="B2531" s="4" t="s">
        <v>7747</v>
      </c>
      <c r="C2531" s="4" t="s">
        <v>7748</v>
      </c>
    </row>
    <row r="2532" spans="1:3">
      <c r="A2532" s="4" t="s">
        <v>7749</v>
      </c>
      <c r="B2532" s="4" t="s">
        <v>7749</v>
      </c>
      <c r="C2532" s="4" t="s">
        <v>7750</v>
      </c>
    </row>
    <row r="2533" spans="1:3">
      <c r="A2533" s="4" t="s">
        <v>7591</v>
      </c>
      <c r="B2533" s="4" t="s">
        <v>7591</v>
      </c>
      <c r="C2533" s="4" t="s">
        <v>7592</v>
      </c>
    </row>
    <row r="2534" spans="1:3">
      <c r="A2534" s="4" t="s">
        <v>7751</v>
      </c>
      <c r="B2534" s="4" t="s">
        <v>7751</v>
      </c>
      <c r="C2534" s="4" t="s">
        <v>7752</v>
      </c>
    </row>
    <row r="2535" spans="1:3">
      <c r="A2535" s="4" t="s">
        <v>7720</v>
      </c>
      <c r="B2535" s="4" t="s">
        <v>7720</v>
      </c>
      <c r="C2535" s="4" t="s">
        <v>7721</v>
      </c>
    </row>
    <row r="2536" spans="1:3">
      <c r="A2536" s="4" t="s">
        <v>7561</v>
      </c>
      <c r="B2536" s="4" t="s">
        <v>7561</v>
      </c>
      <c r="C2536" s="4" t="s">
        <v>7753</v>
      </c>
    </row>
    <row r="2537" spans="1:3">
      <c r="A2537" s="4" t="s">
        <v>7754</v>
      </c>
      <c r="B2537" s="4" t="s">
        <v>7754</v>
      </c>
      <c r="C2537" s="4" t="s">
        <v>7755</v>
      </c>
    </row>
    <row r="2538" spans="1:3">
      <c r="A2538" s="4" t="s">
        <v>6015</v>
      </c>
      <c r="B2538" s="4" t="s">
        <v>6015</v>
      </c>
      <c r="C2538" s="4" t="s">
        <v>7756</v>
      </c>
    </row>
    <row r="2539" spans="1:3">
      <c r="A2539" s="4" t="s">
        <v>7757</v>
      </c>
      <c r="B2539" s="4" t="s">
        <v>7757</v>
      </c>
      <c r="C2539" s="4" t="s">
        <v>7758</v>
      </c>
    </row>
    <row r="2540" spans="1:3">
      <c r="A2540" s="4" t="s">
        <v>7759</v>
      </c>
      <c r="B2540" s="4" t="s">
        <v>7759</v>
      </c>
      <c r="C2540" s="4" t="s">
        <v>7760</v>
      </c>
    </row>
    <row r="2541" spans="1:3">
      <c r="A2541" s="4" t="s">
        <v>7761</v>
      </c>
      <c r="B2541" s="4" t="s">
        <v>7761</v>
      </c>
      <c r="C2541" s="4" t="s">
        <v>7762</v>
      </c>
    </row>
    <row r="2542" spans="1:3">
      <c r="A2542" s="4" t="s">
        <v>7763</v>
      </c>
      <c r="B2542" s="4" t="s">
        <v>7763</v>
      </c>
      <c r="C2542" s="4" t="s">
        <v>7764</v>
      </c>
    </row>
    <row r="2543" spans="1:3">
      <c r="A2543" s="4" t="s">
        <v>7765</v>
      </c>
      <c r="B2543" s="4" t="s">
        <v>7765</v>
      </c>
      <c r="C2543" s="4" t="s">
        <v>7766</v>
      </c>
    </row>
    <row r="2544" spans="1:3">
      <c r="A2544" s="4" t="s">
        <v>7767</v>
      </c>
      <c r="B2544" s="4" t="s">
        <v>7767</v>
      </c>
      <c r="C2544" s="4" t="s">
        <v>7768</v>
      </c>
    </row>
    <row r="2545" spans="1:3">
      <c r="A2545" s="4" t="s">
        <v>7769</v>
      </c>
      <c r="B2545" s="4" t="s">
        <v>7769</v>
      </c>
      <c r="C2545" s="4" t="s">
        <v>7770</v>
      </c>
    </row>
    <row r="2546" spans="1:3">
      <c r="A2546" s="4" t="s">
        <v>7771</v>
      </c>
      <c r="B2546" s="4" t="s">
        <v>7771</v>
      </c>
      <c r="C2546" s="4" t="s">
        <v>7772</v>
      </c>
    </row>
    <row r="2547" spans="1:3">
      <c r="A2547" s="4" t="s">
        <v>7773</v>
      </c>
      <c r="B2547" s="4" t="s">
        <v>7773</v>
      </c>
      <c r="C2547" s="4" t="s">
        <v>7774</v>
      </c>
    </row>
    <row r="2548" spans="1:3">
      <c r="A2548" s="4" t="s">
        <v>7775</v>
      </c>
      <c r="B2548" s="4" t="s">
        <v>7775</v>
      </c>
      <c r="C2548" s="4" t="s">
        <v>7776</v>
      </c>
    </row>
    <row r="2549" spans="1:3">
      <c r="A2549" s="4" t="s">
        <v>7777</v>
      </c>
      <c r="B2549" s="4" t="s">
        <v>7777</v>
      </c>
      <c r="C2549" s="4" t="s">
        <v>7778</v>
      </c>
    </row>
    <row r="2550" spans="1:3">
      <c r="A2550" s="4" t="s">
        <v>7484</v>
      </c>
      <c r="B2550" s="4" t="s">
        <v>7484</v>
      </c>
      <c r="C2550" s="4" t="s">
        <v>7485</v>
      </c>
    </row>
    <row r="2551" spans="1:3">
      <c r="A2551" s="4" t="s">
        <v>7779</v>
      </c>
      <c r="B2551" s="4" t="s">
        <v>7779</v>
      </c>
      <c r="C2551" s="4" t="s">
        <v>7780</v>
      </c>
    </row>
    <row r="2552" spans="1:3">
      <c r="A2552" s="4" t="s">
        <v>7781</v>
      </c>
      <c r="B2552" s="4" t="s">
        <v>7781</v>
      </c>
      <c r="C2552" s="4" t="s">
        <v>7782</v>
      </c>
    </row>
    <row r="2553" spans="1:3">
      <c r="A2553" s="4" t="s">
        <v>7783</v>
      </c>
      <c r="B2553" s="4" t="s">
        <v>7783</v>
      </c>
      <c r="C2553" s="4" t="s">
        <v>7784</v>
      </c>
    </row>
    <row r="2554" spans="1:3">
      <c r="A2554" s="4" t="s">
        <v>7785</v>
      </c>
      <c r="B2554" s="4" t="s">
        <v>7785</v>
      </c>
      <c r="C2554" s="4" t="s">
        <v>7786</v>
      </c>
    </row>
    <row r="2555" spans="1:3">
      <c r="A2555" s="4" t="s">
        <v>7787</v>
      </c>
      <c r="B2555" s="4" t="s">
        <v>7787</v>
      </c>
      <c r="C2555" s="4" t="s">
        <v>7788</v>
      </c>
    </row>
    <row r="2556" spans="1:3">
      <c r="A2556" s="4" t="s">
        <v>7789</v>
      </c>
      <c r="B2556" s="4" t="s">
        <v>7789</v>
      </c>
      <c r="C2556" s="4" t="s">
        <v>7790</v>
      </c>
    </row>
    <row r="2557" spans="1:3">
      <c r="A2557" s="4" t="s">
        <v>7791</v>
      </c>
      <c r="B2557" s="4" t="s">
        <v>7791</v>
      </c>
      <c r="C2557" s="4" t="s">
        <v>7792</v>
      </c>
    </row>
    <row r="2558" spans="1:3">
      <c r="A2558" s="4" t="s">
        <v>7793</v>
      </c>
      <c r="B2558" s="4" t="s">
        <v>7793</v>
      </c>
      <c r="C2558" s="4" t="s">
        <v>7794</v>
      </c>
    </row>
    <row r="2559" spans="1:3">
      <c r="A2559" s="4" t="s">
        <v>7795</v>
      </c>
      <c r="B2559" s="4" t="s">
        <v>7795</v>
      </c>
      <c r="C2559" s="4" t="s">
        <v>7796</v>
      </c>
    </row>
    <row r="2560" spans="1:3">
      <c r="A2560" s="4" t="s">
        <v>7797</v>
      </c>
      <c r="B2560" s="4" t="s">
        <v>7797</v>
      </c>
      <c r="C2560" s="4" t="s">
        <v>7798</v>
      </c>
    </row>
    <row r="2561" spans="1:3">
      <c r="A2561" s="4" t="s">
        <v>7799</v>
      </c>
      <c r="B2561" s="4" t="s">
        <v>7799</v>
      </c>
      <c r="C2561" s="4" t="s">
        <v>7800</v>
      </c>
    </row>
    <row r="2562" spans="1:3">
      <c r="A2562" s="4" t="s">
        <v>7801</v>
      </c>
      <c r="B2562" s="4" t="s">
        <v>7801</v>
      </c>
      <c r="C2562" s="4" t="s">
        <v>7802</v>
      </c>
    </row>
    <row r="2563" spans="1:3">
      <c r="A2563" s="4" t="s">
        <v>7803</v>
      </c>
      <c r="B2563" s="4" t="s">
        <v>7803</v>
      </c>
      <c r="C2563" s="4" t="s">
        <v>7804</v>
      </c>
    </row>
    <row r="2564" spans="1:3">
      <c r="A2564" s="4" t="s">
        <v>7805</v>
      </c>
      <c r="B2564" s="4" t="s">
        <v>7805</v>
      </c>
      <c r="C2564" s="4" t="s">
        <v>7806</v>
      </c>
    </row>
    <row r="2565" spans="1:3">
      <c r="A2565" s="4" t="s">
        <v>7807</v>
      </c>
      <c r="B2565" s="4" t="s">
        <v>7807</v>
      </c>
      <c r="C2565" s="4" t="s">
        <v>7792</v>
      </c>
    </row>
    <row r="2566" spans="1:3">
      <c r="A2566" s="4" t="s">
        <v>7808</v>
      </c>
      <c r="B2566" s="4" t="s">
        <v>7808</v>
      </c>
      <c r="C2566" s="4" t="s">
        <v>7809</v>
      </c>
    </row>
    <row r="2567" spans="1:3">
      <c r="A2567" s="4" t="s">
        <v>7810</v>
      </c>
      <c r="B2567" s="4" t="s">
        <v>7810</v>
      </c>
      <c r="C2567" s="4" t="s">
        <v>7811</v>
      </c>
    </row>
    <row r="2568" spans="1:3">
      <c r="A2568" s="4" t="s">
        <v>7812</v>
      </c>
      <c r="B2568" s="4" t="s">
        <v>7812</v>
      </c>
      <c r="C2568" s="4" t="s">
        <v>7813</v>
      </c>
    </row>
    <row r="2569" spans="1:3">
      <c r="A2569" s="4" t="s">
        <v>7814</v>
      </c>
      <c r="B2569" s="4" t="s">
        <v>7814</v>
      </c>
      <c r="C2569" s="4" t="s">
        <v>7815</v>
      </c>
    </row>
    <row r="2570" spans="1:3">
      <c r="A2570" s="4" t="s">
        <v>7816</v>
      </c>
      <c r="B2570" s="4" t="s">
        <v>7816</v>
      </c>
      <c r="C2570" s="4" t="s">
        <v>7817</v>
      </c>
    </row>
    <row r="2571" spans="1:3">
      <c r="A2571" s="4" t="s">
        <v>7818</v>
      </c>
      <c r="B2571" s="4" t="s">
        <v>7818</v>
      </c>
      <c r="C2571" s="4" t="s">
        <v>7819</v>
      </c>
    </row>
    <row r="2572" spans="1:3">
      <c r="A2572" s="4" t="s">
        <v>7820</v>
      </c>
      <c r="B2572" s="4" t="s">
        <v>7820</v>
      </c>
      <c r="C2572" s="4" t="s">
        <v>7821</v>
      </c>
    </row>
    <row r="2573" spans="1:3">
      <c r="A2573" s="4" t="s">
        <v>7822</v>
      </c>
      <c r="B2573" s="4" t="s">
        <v>7822</v>
      </c>
      <c r="C2573" s="4" t="s">
        <v>7823</v>
      </c>
    </row>
    <row r="2574" spans="1:3">
      <c r="A2574" s="4" t="s">
        <v>7824</v>
      </c>
      <c r="B2574" s="4" t="s">
        <v>7824</v>
      </c>
      <c r="C2574" s="4" t="s">
        <v>7825</v>
      </c>
    </row>
    <row r="2575" spans="1:3">
      <c r="A2575" s="4" t="s">
        <v>7826</v>
      </c>
      <c r="B2575" s="4" t="s">
        <v>7826</v>
      </c>
      <c r="C2575" s="4" t="s">
        <v>7827</v>
      </c>
    </row>
    <row r="2576" spans="1:3">
      <c r="A2576" s="4" t="s">
        <v>7744</v>
      </c>
      <c r="B2576" s="4" t="s">
        <v>7744</v>
      </c>
      <c r="C2576" s="4" t="s">
        <v>7745</v>
      </c>
    </row>
    <row r="2577" spans="1:3">
      <c r="A2577" s="4" t="s">
        <v>6025</v>
      </c>
      <c r="B2577" s="4" t="s">
        <v>6025</v>
      </c>
      <c r="C2577" s="4" t="s">
        <v>7527</v>
      </c>
    </row>
    <row r="2578" spans="1:3">
      <c r="A2578" s="4" t="s">
        <v>7746</v>
      </c>
      <c r="B2578" s="4" t="s">
        <v>7746</v>
      </c>
      <c r="C2578" s="4" t="s">
        <v>7501</v>
      </c>
    </row>
    <row r="2579" spans="1:3">
      <c r="A2579" s="4" t="s">
        <v>7828</v>
      </c>
      <c r="B2579" s="4" t="s">
        <v>7828</v>
      </c>
      <c r="C2579" s="4" t="s">
        <v>7829</v>
      </c>
    </row>
    <row r="2580" spans="1:3">
      <c r="A2580" s="4" t="s">
        <v>7830</v>
      </c>
      <c r="B2580" s="4" t="s">
        <v>7830</v>
      </c>
      <c r="C2580" s="4" t="s">
        <v>7831</v>
      </c>
    </row>
    <row r="2581" spans="1:3">
      <c r="A2581" s="4" t="s">
        <v>7832</v>
      </c>
      <c r="B2581" s="4" t="s">
        <v>7832</v>
      </c>
      <c r="C2581" s="4" t="s">
        <v>7833</v>
      </c>
    </row>
    <row r="2582" spans="1:3">
      <c r="A2582" s="4" t="s">
        <v>7834</v>
      </c>
      <c r="B2582" s="4" t="s">
        <v>7834</v>
      </c>
      <c r="C2582" s="4" t="s">
        <v>7835</v>
      </c>
    </row>
    <row r="2583" spans="1:3">
      <c r="A2583" s="4" t="s">
        <v>7812</v>
      </c>
      <c r="B2583" s="4" t="s">
        <v>7812</v>
      </c>
      <c r="C2583" s="4" t="s">
        <v>7813</v>
      </c>
    </row>
    <row r="2584" spans="1:3">
      <c r="A2584" s="4" t="s">
        <v>7836</v>
      </c>
      <c r="B2584" s="4" t="s">
        <v>7836</v>
      </c>
      <c r="C2584" s="4" t="s">
        <v>7837</v>
      </c>
    </row>
    <row r="2585" spans="1:3">
      <c r="A2585" s="4" t="s">
        <v>7838</v>
      </c>
      <c r="B2585" s="4" t="s">
        <v>7838</v>
      </c>
      <c r="C2585" s="4" t="s">
        <v>7839</v>
      </c>
    </row>
    <row r="2586" spans="1:3">
      <c r="A2586" s="4" t="s">
        <v>7393</v>
      </c>
      <c r="B2586" s="4" t="s">
        <v>7393</v>
      </c>
      <c r="C2586" s="4" t="s">
        <v>7394</v>
      </c>
    </row>
    <row r="2587" spans="1:3">
      <c r="A2587" s="4" t="s">
        <v>7840</v>
      </c>
      <c r="B2587" s="4" t="s">
        <v>7840</v>
      </c>
      <c r="C2587" s="4" t="s">
        <v>7841</v>
      </c>
    </row>
    <row r="2588" spans="1:3">
      <c r="A2588" s="4" t="s">
        <v>7842</v>
      </c>
      <c r="B2588" s="4" t="s">
        <v>7842</v>
      </c>
      <c r="C2588" s="4" t="s">
        <v>7843</v>
      </c>
    </row>
    <row r="2589" spans="1:3">
      <c r="A2589" s="4" t="s">
        <v>7844</v>
      </c>
      <c r="B2589" s="4" t="s">
        <v>7844</v>
      </c>
      <c r="C2589" s="4" t="s">
        <v>7845</v>
      </c>
    </row>
    <row r="2590" spans="1:3">
      <c r="A2590" s="4" t="s">
        <v>7828</v>
      </c>
      <c r="B2590" s="4" t="s">
        <v>7828</v>
      </c>
      <c r="C2590" s="4" t="s">
        <v>7829</v>
      </c>
    </row>
    <row r="2591" spans="1:3">
      <c r="A2591" s="4" t="s">
        <v>7846</v>
      </c>
      <c r="B2591" s="4" t="s">
        <v>7846</v>
      </c>
      <c r="C2591" s="4" t="s">
        <v>7847</v>
      </c>
    </row>
    <row r="2592" spans="1:3">
      <c r="A2592" s="4" t="s">
        <v>7848</v>
      </c>
      <c r="B2592" s="4" t="s">
        <v>7848</v>
      </c>
      <c r="C2592" s="4" t="s">
        <v>7849</v>
      </c>
    </row>
    <row r="2593" spans="1:3">
      <c r="A2593" s="4" t="s">
        <v>7814</v>
      </c>
      <c r="B2593" s="4" t="s">
        <v>7814</v>
      </c>
      <c r="C2593" s="4" t="s">
        <v>7815</v>
      </c>
    </row>
    <row r="2594" spans="1:3">
      <c r="A2594" s="4" t="s">
        <v>7832</v>
      </c>
      <c r="B2594" s="4" t="s">
        <v>7832</v>
      </c>
      <c r="C2594" s="4" t="s">
        <v>7833</v>
      </c>
    </row>
    <row r="2595" spans="1:3">
      <c r="A2595" s="4" t="s">
        <v>7850</v>
      </c>
      <c r="B2595" s="4" t="s">
        <v>7850</v>
      </c>
      <c r="C2595" s="4" t="s">
        <v>7851</v>
      </c>
    </row>
    <row r="2596" spans="1:3">
      <c r="A2596" s="4" t="s">
        <v>7852</v>
      </c>
      <c r="B2596" s="4" t="s">
        <v>7852</v>
      </c>
      <c r="C2596" s="4" t="s">
        <v>7853</v>
      </c>
    </row>
    <row r="2597" spans="1:3">
      <c r="A2597" s="4" t="s">
        <v>7641</v>
      </c>
      <c r="B2597" s="4" t="s">
        <v>7641</v>
      </c>
      <c r="C2597" s="4" t="s">
        <v>7642</v>
      </c>
    </row>
    <row r="2598" spans="1:3">
      <c r="A2598" s="4" t="s">
        <v>7534</v>
      </c>
      <c r="B2598" s="4" t="s">
        <v>7534</v>
      </c>
      <c r="C2598" s="4" t="s">
        <v>7854</v>
      </c>
    </row>
    <row r="2599" spans="1:3">
      <c r="A2599" s="4" t="s">
        <v>7855</v>
      </c>
      <c r="B2599" s="4" t="s">
        <v>7855</v>
      </c>
      <c r="C2599" s="4" t="s">
        <v>7856</v>
      </c>
    </row>
    <row r="2600" spans="1:3">
      <c r="A2600" s="4" t="s">
        <v>7857</v>
      </c>
      <c r="B2600" s="4" t="s">
        <v>7857</v>
      </c>
      <c r="C2600" s="4" t="s">
        <v>7858</v>
      </c>
    </row>
    <row r="2601" spans="1:3">
      <c r="A2601" s="4" t="s">
        <v>7859</v>
      </c>
      <c r="B2601" s="4" t="s">
        <v>7859</v>
      </c>
      <c r="C2601" s="4" t="s">
        <v>7860</v>
      </c>
    </row>
    <row r="2602" spans="1:3">
      <c r="A2602" s="4" t="s">
        <v>5921</v>
      </c>
      <c r="B2602" s="4" t="s">
        <v>5921</v>
      </c>
      <c r="C2602" s="4" t="s">
        <v>7861</v>
      </c>
    </row>
    <row r="2603" spans="1:3">
      <c r="A2603" s="4" t="s">
        <v>7862</v>
      </c>
      <c r="B2603" s="4" t="s">
        <v>7862</v>
      </c>
      <c r="C2603" s="4" t="s">
        <v>7863</v>
      </c>
    </row>
    <row r="2604" spans="1:3">
      <c r="A2604" s="4" t="s">
        <v>7864</v>
      </c>
      <c r="B2604" s="4" t="s">
        <v>7864</v>
      </c>
      <c r="C2604" s="4" t="s">
        <v>7865</v>
      </c>
    </row>
    <row r="2605" spans="1:3">
      <c r="A2605" s="4" t="s">
        <v>7866</v>
      </c>
      <c r="B2605" s="4" t="s">
        <v>7866</v>
      </c>
      <c r="C2605" s="4" t="s">
        <v>7867</v>
      </c>
    </row>
    <row r="2606" spans="1:3">
      <c r="A2606" s="4" t="s">
        <v>7868</v>
      </c>
      <c r="B2606" s="4" t="s">
        <v>7868</v>
      </c>
      <c r="C2606" s="4" t="s">
        <v>7869</v>
      </c>
    </row>
    <row r="2607" spans="1:3">
      <c r="A2607" s="4" t="s">
        <v>7868</v>
      </c>
      <c r="B2607" s="4" t="s">
        <v>7868</v>
      </c>
      <c r="C2607" s="4" t="s">
        <v>7869</v>
      </c>
    </row>
    <row r="2608" spans="1:3">
      <c r="A2608" s="4" t="s">
        <v>7429</v>
      </c>
      <c r="B2608" s="4" t="s">
        <v>7429</v>
      </c>
      <c r="C2608" s="4" t="s">
        <v>7430</v>
      </c>
    </row>
    <row r="2609" spans="1:3">
      <c r="A2609" s="4" t="s">
        <v>7870</v>
      </c>
      <c r="B2609" s="4" t="s">
        <v>7870</v>
      </c>
      <c r="C2609" s="4" t="s">
        <v>7871</v>
      </c>
    </row>
    <row r="2610" spans="1:3">
      <c r="A2610" s="4" t="s">
        <v>7872</v>
      </c>
      <c r="B2610" s="4" t="s">
        <v>7872</v>
      </c>
      <c r="C2610" s="4" t="s">
        <v>7871</v>
      </c>
    </row>
    <row r="2611" spans="1:3">
      <c r="A2611" s="4" t="s">
        <v>7873</v>
      </c>
      <c r="B2611" s="4" t="s">
        <v>7873</v>
      </c>
      <c r="C2611" s="4" t="s">
        <v>7874</v>
      </c>
    </row>
    <row r="2612" spans="1:3">
      <c r="A2612" s="4" t="s">
        <v>7875</v>
      </c>
      <c r="B2612" s="4" t="s">
        <v>7875</v>
      </c>
      <c r="C2612" s="4" t="s">
        <v>7876</v>
      </c>
    </row>
    <row r="2613" spans="1:3">
      <c r="A2613" s="4" t="s">
        <v>7877</v>
      </c>
      <c r="B2613" s="4" t="s">
        <v>7877</v>
      </c>
      <c r="C2613" s="4" t="s">
        <v>7878</v>
      </c>
    </row>
    <row r="2614" spans="1:3">
      <c r="A2614" s="4" t="s">
        <v>7879</v>
      </c>
      <c r="B2614" s="4" t="s">
        <v>7879</v>
      </c>
      <c r="C2614" s="4" t="s">
        <v>7880</v>
      </c>
    </row>
    <row r="2615" spans="1:3">
      <c r="A2615" s="4" t="s">
        <v>7583</v>
      </c>
      <c r="B2615" s="4" t="s">
        <v>7583</v>
      </c>
      <c r="C2615" s="4" t="s">
        <v>7584</v>
      </c>
    </row>
    <row r="2616" spans="1:3">
      <c r="A2616" s="4" t="s">
        <v>7747</v>
      </c>
      <c r="B2616" s="4" t="s">
        <v>7747</v>
      </c>
      <c r="C2616" s="4" t="s">
        <v>7748</v>
      </c>
    </row>
    <row r="2617" spans="1:3">
      <c r="A2617" s="4" t="s">
        <v>7740</v>
      </c>
      <c r="B2617" s="4" t="s">
        <v>7740</v>
      </c>
      <c r="C2617" s="4" t="s">
        <v>7741</v>
      </c>
    </row>
    <row r="2618" spans="1:3">
      <c r="A2618" s="4" t="s">
        <v>7881</v>
      </c>
      <c r="B2618" s="4" t="s">
        <v>7881</v>
      </c>
      <c r="C2618" s="4" t="s">
        <v>7882</v>
      </c>
    </row>
    <row r="2619" spans="1:3">
      <c r="A2619" s="4" t="s">
        <v>7585</v>
      </c>
      <c r="B2619" s="4" t="s">
        <v>7585</v>
      </c>
      <c r="C2619" s="4" t="s">
        <v>7586</v>
      </c>
    </row>
    <row r="2620" spans="1:3">
      <c r="A2620" s="4" t="s">
        <v>7883</v>
      </c>
      <c r="B2620" s="4" t="s">
        <v>7883</v>
      </c>
      <c r="C2620" s="4" t="s">
        <v>7884</v>
      </c>
    </row>
    <row r="2621" spans="1:3">
      <c r="A2621" s="4" t="s">
        <v>7885</v>
      </c>
      <c r="B2621" s="4" t="s">
        <v>7885</v>
      </c>
      <c r="C2621" s="4" t="s">
        <v>7886</v>
      </c>
    </row>
    <row r="2622" spans="1:3">
      <c r="A2622" s="4" t="s">
        <v>7887</v>
      </c>
      <c r="B2622" s="4" t="s">
        <v>7887</v>
      </c>
      <c r="C2622" s="4" t="s">
        <v>7888</v>
      </c>
    </row>
    <row r="2623" spans="1:3">
      <c r="A2623" s="4" t="s">
        <v>7889</v>
      </c>
      <c r="B2623" s="4" t="s">
        <v>7889</v>
      </c>
      <c r="C2623" s="4" t="s">
        <v>7890</v>
      </c>
    </row>
    <row r="2624" spans="1:3">
      <c r="A2624" s="4" t="s">
        <v>7805</v>
      </c>
      <c r="B2624" s="4" t="s">
        <v>7805</v>
      </c>
      <c r="C2624" s="4" t="s">
        <v>7891</v>
      </c>
    </row>
    <row r="2625" spans="1:3">
      <c r="A2625" s="4" t="s">
        <v>7892</v>
      </c>
      <c r="B2625" s="4" t="s">
        <v>7892</v>
      </c>
      <c r="C2625" s="4" t="s">
        <v>7893</v>
      </c>
    </row>
    <row r="2626" spans="1:3">
      <c r="A2626" s="4" t="s">
        <v>7894</v>
      </c>
      <c r="B2626" s="4" t="s">
        <v>7894</v>
      </c>
      <c r="C2626" s="4" t="s">
        <v>7895</v>
      </c>
    </row>
    <row r="2627" spans="1:3">
      <c r="A2627" s="4" t="s">
        <v>7896</v>
      </c>
      <c r="B2627" s="4" t="s">
        <v>7896</v>
      </c>
      <c r="C2627" s="4" t="s">
        <v>7897</v>
      </c>
    </row>
    <row r="2628" spans="1:3">
      <c r="A2628" s="4" t="s">
        <v>7896</v>
      </c>
      <c r="B2628" s="4" t="s">
        <v>7896</v>
      </c>
      <c r="C2628" s="4" t="s">
        <v>7897</v>
      </c>
    </row>
    <row r="2629" spans="1:3">
      <c r="A2629" s="4" t="s">
        <v>7898</v>
      </c>
      <c r="B2629" s="4" t="s">
        <v>7898</v>
      </c>
      <c r="C2629" s="4" t="s">
        <v>7899</v>
      </c>
    </row>
    <row r="2630" spans="1:3">
      <c r="A2630" s="4" t="s">
        <v>7900</v>
      </c>
      <c r="B2630" s="4" t="s">
        <v>7900</v>
      </c>
      <c r="C2630" s="4" t="s">
        <v>7901</v>
      </c>
    </row>
    <row r="2631" spans="1:3">
      <c r="A2631" s="4" t="s">
        <v>7525</v>
      </c>
      <c r="B2631" s="4" t="s">
        <v>7525</v>
      </c>
      <c r="C2631" s="4" t="s">
        <v>7526</v>
      </c>
    </row>
    <row r="2632" spans="1:3">
      <c r="A2632" s="4" t="s">
        <v>7898</v>
      </c>
      <c r="B2632" s="4" t="s">
        <v>7898</v>
      </c>
      <c r="C2632" s="4" t="s">
        <v>7899</v>
      </c>
    </row>
    <row r="2633" spans="1:3">
      <c r="A2633" s="4" t="s">
        <v>7900</v>
      </c>
      <c r="B2633" s="4" t="s">
        <v>7900</v>
      </c>
      <c r="C2633" s="4" t="s">
        <v>7901</v>
      </c>
    </row>
    <row r="2634" spans="1:3">
      <c r="A2634" s="4" t="s">
        <v>7852</v>
      </c>
      <c r="B2634" s="4" t="s">
        <v>7852</v>
      </c>
      <c r="C2634" s="4" t="s">
        <v>7853</v>
      </c>
    </row>
    <row r="2635" spans="1:3">
      <c r="A2635" s="4" t="s">
        <v>7902</v>
      </c>
      <c r="B2635" s="4" t="s">
        <v>7902</v>
      </c>
      <c r="C2635" s="4" t="s">
        <v>7903</v>
      </c>
    </row>
    <row r="2636" spans="1:3">
      <c r="A2636" s="4" t="s">
        <v>7900</v>
      </c>
      <c r="B2636" s="4" t="s">
        <v>7900</v>
      </c>
      <c r="C2636" s="4" t="s">
        <v>7901</v>
      </c>
    </row>
    <row r="2637" spans="1:3">
      <c r="A2637" s="4" t="s">
        <v>7904</v>
      </c>
      <c r="B2637" s="4" t="s">
        <v>7904</v>
      </c>
      <c r="C2637" s="4" t="s">
        <v>7905</v>
      </c>
    </row>
    <row r="2638" spans="1:3">
      <c r="A2638" s="4" t="s">
        <v>7906</v>
      </c>
      <c r="B2638" s="4" t="s">
        <v>7906</v>
      </c>
      <c r="C2638" s="4" t="s">
        <v>7907</v>
      </c>
    </row>
    <row r="2639" spans="1:3">
      <c r="A2639" s="4" t="s">
        <v>7908</v>
      </c>
      <c r="B2639" s="4" t="s">
        <v>7908</v>
      </c>
      <c r="C2639" s="4" t="s">
        <v>7909</v>
      </c>
    </row>
    <row r="2640" spans="1:3">
      <c r="A2640" s="4" t="s">
        <v>7910</v>
      </c>
      <c r="B2640" s="4" t="s">
        <v>7910</v>
      </c>
      <c r="C2640" s="4" t="s">
        <v>7911</v>
      </c>
    </row>
    <row r="2641" spans="1:3">
      <c r="A2641" s="4" t="s">
        <v>7912</v>
      </c>
      <c r="B2641" s="4" t="s">
        <v>7912</v>
      </c>
      <c r="C2641" s="4" t="s">
        <v>7913</v>
      </c>
    </row>
    <row r="2642" spans="1:3">
      <c r="A2642" s="4" t="s">
        <v>7906</v>
      </c>
      <c r="B2642" s="4" t="s">
        <v>7906</v>
      </c>
      <c r="C2642" s="4" t="s">
        <v>7907</v>
      </c>
    </row>
    <row r="2643" spans="1:3">
      <c r="A2643" s="4" t="s">
        <v>7908</v>
      </c>
      <c r="B2643" s="4" t="s">
        <v>7908</v>
      </c>
      <c r="C2643" s="4" t="s">
        <v>7909</v>
      </c>
    </row>
    <row r="2644" spans="1:3">
      <c r="A2644" s="4" t="s">
        <v>7912</v>
      </c>
      <c r="B2644" s="4" t="s">
        <v>7912</v>
      </c>
      <c r="C2644" s="4" t="s">
        <v>7913</v>
      </c>
    </row>
    <row r="2645" spans="1:3">
      <c r="A2645" s="4" t="s">
        <v>7906</v>
      </c>
      <c r="B2645" s="4" t="s">
        <v>7906</v>
      </c>
      <c r="C2645" s="4" t="s">
        <v>7907</v>
      </c>
    </row>
    <row r="2646" spans="1:3">
      <c r="A2646" s="4" t="s">
        <v>7908</v>
      </c>
      <c r="B2646" s="4" t="s">
        <v>7908</v>
      </c>
      <c r="C2646" s="4" t="s">
        <v>7909</v>
      </c>
    </row>
    <row r="2647" spans="1:3">
      <c r="A2647" s="4" t="s">
        <v>7910</v>
      </c>
      <c r="B2647" s="4" t="s">
        <v>7910</v>
      </c>
      <c r="C2647" s="4" t="s">
        <v>7911</v>
      </c>
    </row>
    <row r="2648" spans="1:3">
      <c r="A2648" s="4" t="s">
        <v>7914</v>
      </c>
      <c r="B2648" s="4" t="s">
        <v>7914</v>
      </c>
      <c r="C2648" s="4" t="s">
        <v>7915</v>
      </c>
    </row>
    <row r="2649" spans="1:3">
      <c r="A2649" s="4" t="s">
        <v>7916</v>
      </c>
      <c r="B2649" s="4" t="s">
        <v>7916</v>
      </c>
      <c r="C2649" s="4" t="s">
        <v>7917</v>
      </c>
    </row>
    <row r="2650" spans="1:3">
      <c r="A2650" s="4" t="s">
        <v>7918</v>
      </c>
      <c r="B2650" s="4" t="s">
        <v>7918</v>
      </c>
      <c r="C2650" s="4" t="s">
        <v>7919</v>
      </c>
    </row>
    <row r="2651" spans="1:3">
      <c r="A2651" s="4" t="s">
        <v>7920</v>
      </c>
      <c r="B2651" s="4" t="s">
        <v>7920</v>
      </c>
      <c r="C2651" s="4" t="s">
        <v>7921</v>
      </c>
    </row>
    <row r="2652" spans="1:3">
      <c r="A2652" s="4" t="s">
        <v>7922</v>
      </c>
      <c r="B2652" s="4" t="s">
        <v>7922</v>
      </c>
      <c r="C2652" s="4" t="s">
        <v>7923</v>
      </c>
    </row>
    <row r="2653" spans="1:3">
      <c r="A2653" s="4" t="s">
        <v>7924</v>
      </c>
      <c r="B2653" s="4" t="s">
        <v>7924</v>
      </c>
      <c r="C2653" s="4" t="s">
        <v>7925</v>
      </c>
    </row>
    <row r="2654" spans="1:3">
      <c r="A2654" s="4" t="s">
        <v>7914</v>
      </c>
      <c r="B2654" s="4" t="s">
        <v>7914</v>
      </c>
      <c r="C2654" s="4" t="s">
        <v>7915</v>
      </c>
    </row>
    <row r="2655" spans="1:3">
      <c r="A2655" s="4" t="s">
        <v>7916</v>
      </c>
      <c r="B2655" s="4" t="s">
        <v>7916</v>
      </c>
      <c r="C2655" s="4" t="s">
        <v>7917</v>
      </c>
    </row>
    <row r="2656" spans="1:3">
      <c r="A2656" s="4" t="s">
        <v>7926</v>
      </c>
      <c r="B2656" s="4" t="s">
        <v>7926</v>
      </c>
      <c r="C2656" s="4" t="s">
        <v>7927</v>
      </c>
    </row>
    <row r="2657" spans="1:3">
      <c r="A2657" s="4" t="s">
        <v>7918</v>
      </c>
      <c r="B2657" s="4" t="s">
        <v>7918</v>
      </c>
      <c r="C2657" s="4" t="s">
        <v>7919</v>
      </c>
    </row>
    <row r="2658" spans="1:3">
      <c r="A2658" s="4" t="s">
        <v>7920</v>
      </c>
      <c r="B2658" s="4" t="s">
        <v>7920</v>
      </c>
      <c r="C2658" s="4" t="s">
        <v>7921</v>
      </c>
    </row>
    <row r="2659" spans="1:3">
      <c r="A2659" s="4" t="s">
        <v>7922</v>
      </c>
      <c r="B2659" s="4" t="s">
        <v>7922</v>
      </c>
      <c r="C2659" s="4" t="s">
        <v>7923</v>
      </c>
    </row>
    <row r="2660" spans="1:3">
      <c r="A2660" s="4" t="s">
        <v>7924</v>
      </c>
      <c r="B2660" s="4" t="s">
        <v>7924</v>
      </c>
      <c r="C2660" s="4" t="s">
        <v>7925</v>
      </c>
    </row>
    <row r="2661" spans="1:3">
      <c r="A2661" s="4" t="s">
        <v>7914</v>
      </c>
      <c r="B2661" s="4" t="s">
        <v>7914</v>
      </c>
      <c r="C2661" s="4" t="s">
        <v>7915</v>
      </c>
    </row>
    <row r="2662" spans="1:3">
      <c r="A2662" s="4" t="s">
        <v>7916</v>
      </c>
      <c r="B2662" s="4" t="s">
        <v>7916</v>
      </c>
      <c r="C2662" s="4" t="s">
        <v>7917</v>
      </c>
    </row>
    <row r="2663" spans="1:3">
      <c r="A2663" s="4" t="s">
        <v>7926</v>
      </c>
      <c r="B2663" s="4" t="s">
        <v>7926</v>
      </c>
      <c r="C2663" s="4" t="s">
        <v>7927</v>
      </c>
    </row>
    <row r="2664" spans="1:3">
      <c r="A2664" s="4" t="s">
        <v>7928</v>
      </c>
      <c r="B2664" s="4" t="s">
        <v>7928</v>
      </c>
      <c r="C2664" s="4" t="s">
        <v>7929</v>
      </c>
    </row>
    <row r="2665" spans="1:3">
      <c r="A2665" s="4" t="s">
        <v>7930</v>
      </c>
      <c r="B2665" s="4" t="s">
        <v>7930</v>
      </c>
      <c r="C2665" s="4" t="s">
        <v>2382</v>
      </c>
    </row>
    <row r="2666" spans="1:3">
      <c r="A2666" s="4" t="s">
        <v>7931</v>
      </c>
      <c r="B2666" s="4" t="s">
        <v>7931</v>
      </c>
      <c r="C2666" s="4" t="s">
        <v>7932</v>
      </c>
    </row>
    <row r="2667" spans="1:3">
      <c r="A2667" s="4" t="s">
        <v>7933</v>
      </c>
      <c r="B2667" s="4" t="s">
        <v>7933</v>
      </c>
      <c r="C2667" s="4" t="s">
        <v>7934</v>
      </c>
    </row>
    <row r="2668" spans="1:3">
      <c r="A2668" s="4" t="s">
        <v>7935</v>
      </c>
      <c r="B2668" s="4" t="s">
        <v>7935</v>
      </c>
      <c r="C2668" s="4" t="s">
        <v>7936</v>
      </c>
    </row>
    <row r="2669" spans="1:3">
      <c r="A2669" s="4" t="s">
        <v>7928</v>
      </c>
      <c r="B2669" s="4" t="s">
        <v>7928</v>
      </c>
      <c r="C2669" s="4" t="s">
        <v>7929</v>
      </c>
    </row>
    <row r="2670" spans="1:3">
      <c r="A2670" s="4" t="s">
        <v>7933</v>
      </c>
      <c r="B2670" s="4" t="s">
        <v>7933</v>
      </c>
      <c r="C2670" s="4" t="s">
        <v>7934</v>
      </c>
    </row>
    <row r="2671" spans="1:3">
      <c r="A2671" s="4" t="s">
        <v>7935</v>
      </c>
      <c r="B2671" s="4" t="s">
        <v>7935</v>
      </c>
      <c r="C2671" s="4" t="s">
        <v>7936</v>
      </c>
    </row>
    <row r="2672" spans="1:3">
      <c r="A2672" s="4" t="s">
        <v>7933</v>
      </c>
      <c r="B2672" s="4" t="s">
        <v>7933</v>
      </c>
      <c r="C2672" s="4" t="s">
        <v>7934</v>
      </c>
    </row>
    <row r="2673" spans="1:3">
      <c r="A2673" s="4" t="s">
        <v>7935</v>
      </c>
      <c r="B2673" s="4" t="s">
        <v>7935</v>
      </c>
      <c r="C2673" s="4" t="s">
        <v>7936</v>
      </c>
    </row>
    <row r="2674" spans="1:3">
      <c r="A2674" s="4" t="s">
        <v>7937</v>
      </c>
      <c r="B2674" s="4" t="s">
        <v>7937</v>
      </c>
      <c r="C2674" s="4" t="s">
        <v>7938</v>
      </c>
    </row>
    <row r="2675" spans="1:3">
      <c r="A2675" s="4" t="s">
        <v>7937</v>
      </c>
      <c r="B2675" s="4" t="s">
        <v>7937</v>
      </c>
      <c r="C2675" s="4" t="s">
        <v>7938</v>
      </c>
    </row>
    <row r="2676" spans="1:3">
      <c r="A2676" s="4" t="s">
        <v>7939</v>
      </c>
      <c r="B2676" s="4" t="s">
        <v>7939</v>
      </c>
      <c r="C2676" s="4" t="s">
        <v>7940</v>
      </c>
    </row>
    <row r="2677" spans="1:3">
      <c r="A2677" s="4" t="s">
        <v>7939</v>
      </c>
      <c r="B2677" s="4" t="s">
        <v>7939</v>
      </c>
      <c r="C2677" s="4" t="s">
        <v>7940</v>
      </c>
    </row>
    <row r="2678" spans="1:3">
      <c r="A2678" s="4" t="s">
        <v>7941</v>
      </c>
      <c r="B2678" s="4" t="s">
        <v>7941</v>
      </c>
      <c r="C2678" s="4" t="s">
        <v>7942</v>
      </c>
    </row>
    <row r="2679" spans="1:3">
      <c r="A2679" s="4" t="s">
        <v>7941</v>
      </c>
      <c r="B2679" s="4" t="s">
        <v>7941</v>
      </c>
      <c r="C2679" s="4" t="s">
        <v>7942</v>
      </c>
    </row>
    <row r="2680" spans="1:3">
      <c r="A2680" s="4" t="s">
        <v>5922</v>
      </c>
      <c r="B2680" s="4" t="s">
        <v>5922</v>
      </c>
      <c r="C2680" s="4" t="s">
        <v>7943</v>
      </c>
    </row>
    <row r="2681" spans="1:3">
      <c r="A2681" s="4" t="s">
        <v>5922</v>
      </c>
      <c r="B2681" s="4" t="s">
        <v>5922</v>
      </c>
      <c r="C2681" s="4" t="s">
        <v>7943</v>
      </c>
    </row>
    <row r="2682" spans="1:3">
      <c r="A2682" s="4" t="s">
        <v>7944</v>
      </c>
      <c r="B2682" s="4" t="s">
        <v>7944</v>
      </c>
      <c r="C2682" s="4" t="s">
        <v>7945</v>
      </c>
    </row>
    <row r="2683" spans="1:3">
      <c r="A2683" s="4" t="s">
        <v>7944</v>
      </c>
      <c r="B2683" s="4" t="s">
        <v>7944</v>
      </c>
      <c r="C2683" s="4" t="s">
        <v>7945</v>
      </c>
    </row>
    <row r="2684" spans="1:3">
      <c r="A2684" s="4" t="s">
        <v>7946</v>
      </c>
      <c r="B2684" s="4" t="s">
        <v>7946</v>
      </c>
      <c r="C2684" s="4" t="s">
        <v>7947</v>
      </c>
    </row>
    <row r="2685" spans="1:3">
      <c r="A2685" s="4" t="s">
        <v>7946</v>
      </c>
      <c r="B2685" s="4" t="s">
        <v>7946</v>
      </c>
      <c r="C2685" s="4" t="s">
        <v>7947</v>
      </c>
    </row>
    <row r="2686" spans="1:3">
      <c r="A2686" s="4" t="s">
        <v>7948</v>
      </c>
      <c r="B2686" s="4" t="s">
        <v>7948</v>
      </c>
      <c r="C2686" s="4" t="s">
        <v>7949</v>
      </c>
    </row>
    <row r="2687" spans="1:3">
      <c r="A2687" s="4" t="s">
        <v>7950</v>
      </c>
      <c r="B2687" s="4" t="s">
        <v>7950</v>
      </c>
      <c r="C2687" s="4" t="s">
        <v>7951</v>
      </c>
    </row>
    <row r="2688" spans="1:3">
      <c r="A2688" s="4" t="s">
        <v>7952</v>
      </c>
      <c r="B2688" s="4" t="s">
        <v>7952</v>
      </c>
      <c r="C2688" s="4" t="s">
        <v>7953</v>
      </c>
    </row>
    <row r="2689" spans="1:3">
      <c r="A2689" s="4" t="s">
        <v>7954</v>
      </c>
      <c r="B2689" s="4" t="s">
        <v>7954</v>
      </c>
      <c r="C2689" s="4" t="s">
        <v>7955</v>
      </c>
    </row>
    <row r="2690" spans="1:3">
      <c r="A2690" s="4" t="s">
        <v>7948</v>
      </c>
      <c r="B2690" s="4" t="s">
        <v>7948</v>
      </c>
      <c r="C2690" s="4" t="s">
        <v>7949</v>
      </c>
    </row>
    <row r="2691" spans="1:3">
      <c r="A2691" s="4" t="s">
        <v>7954</v>
      </c>
      <c r="B2691" s="4" t="s">
        <v>7954</v>
      </c>
      <c r="C2691" s="4" t="s">
        <v>7955</v>
      </c>
    </row>
    <row r="2692" spans="1:3">
      <c r="A2692" s="4" t="s">
        <v>7948</v>
      </c>
      <c r="B2692" s="4" t="s">
        <v>7948</v>
      </c>
      <c r="C2692" s="4" t="s">
        <v>7949</v>
      </c>
    </row>
    <row r="2693" spans="1:3">
      <c r="A2693" s="4" t="s">
        <v>7952</v>
      </c>
      <c r="B2693" s="4" t="s">
        <v>7952</v>
      </c>
      <c r="C2693" s="4" t="s">
        <v>7953</v>
      </c>
    </row>
    <row r="2694" spans="1:3">
      <c r="A2694" s="4" t="s">
        <v>7954</v>
      </c>
      <c r="B2694" s="4" t="s">
        <v>7954</v>
      </c>
      <c r="C2694" s="4" t="s">
        <v>7955</v>
      </c>
    </row>
    <row r="2695" spans="1:3">
      <c r="A2695" s="4" t="s">
        <v>7937</v>
      </c>
      <c r="B2695" s="4" t="s">
        <v>7937</v>
      </c>
      <c r="C2695" s="4" t="s">
        <v>7938</v>
      </c>
    </row>
    <row r="2696" spans="1:3">
      <c r="A2696" s="4" t="s">
        <v>7939</v>
      </c>
      <c r="B2696" s="4" t="s">
        <v>7939</v>
      </c>
      <c r="C2696" s="4" t="s">
        <v>7940</v>
      </c>
    </row>
    <row r="2697" spans="1:3">
      <c r="A2697" s="4" t="s">
        <v>5922</v>
      </c>
      <c r="B2697" s="4" t="s">
        <v>5922</v>
      </c>
      <c r="C2697" s="4" t="s">
        <v>7943</v>
      </c>
    </row>
    <row r="2698" spans="1:3">
      <c r="A2698" s="4" t="s">
        <v>7944</v>
      </c>
      <c r="B2698" s="4" t="s">
        <v>7944</v>
      </c>
      <c r="C2698" s="4" t="s">
        <v>7945</v>
      </c>
    </row>
    <row r="2699" spans="1:3">
      <c r="A2699" s="4" t="s">
        <v>7956</v>
      </c>
      <c r="B2699" s="4" t="s">
        <v>7956</v>
      </c>
      <c r="C2699" s="4" t="s">
        <v>7957</v>
      </c>
    </row>
    <row r="2700" spans="1:3">
      <c r="A2700" s="4" t="s">
        <v>5923</v>
      </c>
      <c r="B2700" s="4" t="s">
        <v>5923</v>
      </c>
      <c r="C2700" s="4" t="s">
        <v>7958</v>
      </c>
    </row>
    <row r="2701" spans="1:3">
      <c r="A2701" s="4" t="s">
        <v>5924</v>
      </c>
      <c r="B2701" s="4" t="s">
        <v>5924</v>
      </c>
      <c r="C2701" s="4" t="s">
        <v>7959</v>
      </c>
    </row>
    <row r="2702" spans="1:3">
      <c r="A2702" s="4" t="s">
        <v>5923</v>
      </c>
      <c r="B2702" s="4" t="s">
        <v>5923</v>
      </c>
      <c r="C2702" s="4" t="s">
        <v>7958</v>
      </c>
    </row>
    <row r="2703" spans="1:3">
      <c r="A2703" s="4" t="s">
        <v>5924</v>
      </c>
      <c r="B2703" s="4" t="s">
        <v>5924</v>
      </c>
      <c r="C2703" s="4" t="s">
        <v>7959</v>
      </c>
    </row>
    <row r="2704" spans="1:3">
      <c r="A2704" s="4" t="s">
        <v>7857</v>
      </c>
      <c r="B2704" s="4" t="s">
        <v>7857</v>
      </c>
      <c r="C2704" s="4" t="s">
        <v>7960</v>
      </c>
    </row>
    <row r="2705" spans="1:3">
      <c r="A2705" s="4" t="s">
        <v>7857</v>
      </c>
      <c r="B2705" s="4" t="s">
        <v>7857</v>
      </c>
      <c r="C2705" s="4" t="s">
        <v>7960</v>
      </c>
    </row>
    <row r="2706" spans="1:3">
      <c r="A2706" s="4" t="s">
        <v>7961</v>
      </c>
      <c r="B2706" s="4" t="s">
        <v>7961</v>
      </c>
      <c r="C2706" s="4" t="s">
        <v>7962</v>
      </c>
    </row>
    <row r="2707" spans="1:3">
      <c r="A2707" s="4" t="s">
        <v>7961</v>
      </c>
      <c r="B2707" s="4" t="s">
        <v>7961</v>
      </c>
      <c r="C2707" s="4" t="s">
        <v>7962</v>
      </c>
    </row>
    <row r="2708" spans="1:3">
      <c r="A2708" s="4" t="s">
        <v>7963</v>
      </c>
      <c r="B2708" s="4" t="s">
        <v>7963</v>
      </c>
      <c r="C2708" s="4" t="s">
        <v>7964</v>
      </c>
    </row>
    <row r="2709" spans="1:3">
      <c r="A2709" s="4" t="s">
        <v>7965</v>
      </c>
      <c r="B2709" s="4" t="s">
        <v>7965</v>
      </c>
      <c r="C2709" s="4" t="s">
        <v>7966</v>
      </c>
    </row>
    <row r="2710" spans="1:3">
      <c r="A2710" s="4" t="s">
        <v>7967</v>
      </c>
      <c r="B2710" s="4" t="s">
        <v>7967</v>
      </c>
      <c r="C2710" s="4" t="s">
        <v>7968</v>
      </c>
    </row>
    <row r="2711" spans="1:3">
      <c r="A2711" s="4" t="s">
        <v>7969</v>
      </c>
      <c r="B2711" s="4" t="s">
        <v>7969</v>
      </c>
      <c r="C2711" s="4" t="s">
        <v>7970</v>
      </c>
    </row>
    <row r="2712" spans="1:3">
      <c r="A2712" s="4" t="s">
        <v>7963</v>
      </c>
      <c r="B2712" s="4" t="s">
        <v>7963</v>
      </c>
      <c r="C2712" s="4" t="s">
        <v>7964</v>
      </c>
    </row>
    <row r="2713" spans="1:3">
      <c r="A2713" s="4" t="s">
        <v>7965</v>
      </c>
      <c r="B2713" s="4" t="s">
        <v>7965</v>
      </c>
      <c r="C2713" s="4" t="s">
        <v>7966</v>
      </c>
    </row>
    <row r="2714" spans="1:3">
      <c r="A2714" s="4" t="s">
        <v>7967</v>
      </c>
      <c r="B2714" s="4" t="s">
        <v>7967</v>
      </c>
      <c r="C2714" s="4" t="s">
        <v>7968</v>
      </c>
    </row>
    <row r="2715" spans="1:3">
      <c r="A2715" s="4" t="s">
        <v>7969</v>
      </c>
      <c r="B2715" s="4" t="s">
        <v>7969</v>
      </c>
      <c r="C2715" s="4" t="s">
        <v>7970</v>
      </c>
    </row>
    <row r="2716" spans="1:3">
      <c r="A2716" s="4" t="s">
        <v>7971</v>
      </c>
      <c r="B2716" s="4" t="s">
        <v>7971</v>
      </c>
      <c r="C2716" s="4" t="s">
        <v>7972</v>
      </c>
    </row>
    <row r="2717" spans="1:3">
      <c r="A2717" s="4" t="s">
        <v>7973</v>
      </c>
      <c r="B2717" s="4" t="s">
        <v>7973</v>
      </c>
      <c r="C2717" s="4" t="s">
        <v>7974</v>
      </c>
    </row>
    <row r="2718" spans="1:3">
      <c r="A2718" s="4" t="s">
        <v>7975</v>
      </c>
      <c r="B2718" s="4" t="s">
        <v>7975</v>
      </c>
      <c r="C2718" s="4" t="s">
        <v>7976</v>
      </c>
    </row>
    <row r="2719" spans="1:3">
      <c r="A2719" s="4" t="s">
        <v>7977</v>
      </c>
      <c r="B2719" s="4" t="s">
        <v>7977</v>
      </c>
      <c r="C2719" s="4" t="s">
        <v>7978</v>
      </c>
    </row>
    <row r="2720" spans="1:3">
      <c r="A2720" s="4" t="s">
        <v>7979</v>
      </c>
      <c r="B2720" s="4" t="s">
        <v>7979</v>
      </c>
      <c r="C2720" s="4" t="s">
        <v>7980</v>
      </c>
    </row>
    <row r="2721" spans="1:3">
      <c r="A2721" s="4" t="s">
        <v>7981</v>
      </c>
      <c r="B2721" s="4" t="s">
        <v>7981</v>
      </c>
      <c r="C2721" s="4" t="s">
        <v>7982</v>
      </c>
    </row>
    <row r="2722" spans="1:3">
      <c r="A2722" s="4" t="s">
        <v>7983</v>
      </c>
      <c r="B2722" s="4" t="s">
        <v>7983</v>
      </c>
      <c r="C2722" s="4" t="s">
        <v>7984</v>
      </c>
    </row>
    <row r="2723" spans="1:3">
      <c r="A2723" s="4" t="s">
        <v>7985</v>
      </c>
      <c r="B2723" s="4" t="s">
        <v>7985</v>
      </c>
      <c r="C2723" s="4" t="s">
        <v>3316</v>
      </c>
    </row>
    <row r="2724" spans="1:3">
      <c r="A2724" s="4" t="s">
        <v>7986</v>
      </c>
      <c r="B2724" s="4" t="s">
        <v>7986</v>
      </c>
      <c r="C2724" s="4" t="s">
        <v>7987</v>
      </c>
    </row>
    <row r="2725" spans="1:3">
      <c r="A2725" s="4" t="s">
        <v>7988</v>
      </c>
      <c r="B2725" s="4" t="s">
        <v>7988</v>
      </c>
      <c r="C2725" s="4" t="s">
        <v>7989</v>
      </c>
    </row>
    <row r="2726" spans="1:3">
      <c r="A2726" s="4" t="s">
        <v>7990</v>
      </c>
      <c r="B2726" s="4" t="s">
        <v>7990</v>
      </c>
      <c r="C2726" s="4" t="s">
        <v>7991</v>
      </c>
    </row>
    <row r="2727" spans="1:3">
      <c r="A2727" s="4" t="s">
        <v>7992</v>
      </c>
      <c r="B2727" s="4" t="s">
        <v>7992</v>
      </c>
      <c r="C2727" s="4" t="s">
        <v>7993</v>
      </c>
    </row>
    <row r="2728" spans="1:3">
      <c r="A2728" s="4" t="s">
        <v>7994</v>
      </c>
      <c r="B2728" s="4" t="s">
        <v>7994</v>
      </c>
      <c r="C2728" s="4" t="s">
        <v>7995</v>
      </c>
    </row>
    <row r="2729" spans="1:3">
      <c r="A2729" s="4" t="s">
        <v>7996</v>
      </c>
      <c r="B2729" s="4" t="s">
        <v>7996</v>
      </c>
      <c r="C2729" s="4" t="s">
        <v>7997</v>
      </c>
    </row>
    <row r="2730" spans="1:3">
      <c r="A2730" s="4" t="s">
        <v>7998</v>
      </c>
      <c r="B2730" s="4" t="s">
        <v>7998</v>
      </c>
      <c r="C2730" s="4" t="s">
        <v>7999</v>
      </c>
    </row>
    <row r="2731" spans="1:3">
      <c r="A2731" s="4" t="s">
        <v>8000</v>
      </c>
      <c r="B2731" s="4" t="s">
        <v>8000</v>
      </c>
      <c r="C2731" s="4" t="s">
        <v>8001</v>
      </c>
    </row>
    <row r="2732" spans="1:3">
      <c r="A2732" s="4" t="s">
        <v>8002</v>
      </c>
      <c r="B2732" s="4" t="s">
        <v>8002</v>
      </c>
      <c r="C2732" s="4" t="s">
        <v>8003</v>
      </c>
    </row>
    <row r="2733" spans="1:3">
      <c r="A2733" s="4" t="s">
        <v>8004</v>
      </c>
      <c r="B2733" s="4" t="s">
        <v>8004</v>
      </c>
      <c r="C2733" s="4" t="s">
        <v>8005</v>
      </c>
    </row>
    <row r="2734" spans="1:3">
      <c r="A2734" s="4" t="s">
        <v>8006</v>
      </c>
      <c r="B2734" s="4" t="s">
        <v>8006</v>
      </c>
      <c r="C2734" s="4" t="s">
        <v>8007</v>
      </c>
    </row>
    <row r="2735" spans="1:3">
      <c r="A2735" s="4" t="s">
        <v>8008</v>
      </c>
      <c r="B2735" s="4" t="s">
        <v>8008</v>
      </c>
      <c r="C2735" s="4" t="s">
        <v>8009</v>
      </c>
    </row>
    <row r="2736" spans="1:3">
      <c r="A2736" s="4" t="s">
        <v>8010</v>
      </c>
      <c r="B2736" s="4" t="s">
        <v>8010</v>
      </c>
      <c r="C2736" s="4" t="s">
        <v>8011</v>
      </c>
    </row>
    <row r="2737" spans="1:3">
      <c r="A2737" s="4" t="s">
        <v>8012</v>
      </c>
      <c r="B2737" s="4" t="s">
        <v>8012</v>
      </c>
      <c r="C2737" s="4" t="s">
        <v>8013</v>
      </c>
    </row>
    <row r="2738" spans="1:3">
      <c r="A2738" s="4" t="s">
        <v>8014</v>
      </c>
      <c r="B2738" s="4" t="s">
        <v>8014</v>
      </c>
      <c r="C2738" s="4" t="s">
        <v>8015</v>
      </c>
    </row>
    <row r="2739" spans="1:3">
      <c r="A2739" s="4" t="s">
        <v>8016</v>
      </c>
      <c r="B2739" s="4" t="s">
        <v>8016</v>
      </c>
      <c r="C2739" s="4" t="s">
        <v>8017</v>
      </c>
    </row>
    <row r="2740" spans="1:3">
      <c r="A2740" s="4" t="s">
        <v>8018</v>
      </c>
      <c r="B2740" s="4" t="s">
        <v>8018</v>
      </c>
      <c r="C2740" s="4" t="s">
        <v>8019</v>
      </c>
    </row>
    <row r="2741" spans="1:3">
      <c r="A2741" s="4" t="s">
        <v>8020</v>
      </c>
      <c r="B2741" s="4" t="s">
        <v>8020</v>
      </c>
      <c r="C2741" s="4" t="s">
        <v>7136</v>
      </c>
    </row>
    <row r="2742" spans="1:3">
      <c r="A2742" s="4" t="s">
        <v>8021</v>
      </c>
      <c r="B2742" s="4" t="s">
        <v>8021</v>
      </c>
      <c r="C2742" s="4" t="s">
        <v>8022</v>
      </c>
    </row>
    <row r="2743" spans="1:3">
      <c r="A2743" s="4" t="s">
        <v>8023</v>
      </c>
      <c r="B2743" s="4" t="s">
        <v>8023</v>
      </c>
      <c r="C2743" s="4" t="s">
        <v>8024</v>
      </c>
    </row>
    <row r="2744" spans="1:3">
      <c r="A2744" s="4" t="s">
        <v>8025</v>
      </c>
      <c r="B2744" s="4" t="s">
        <v>8025</v>
      </c>
      <c r="C2744" s="4" t="s">
        <v>8026</v>
      </c>
    </row>
    <row r="2745" spans="1:3">
      <c r="A2745" s="4" t="s">
        <v>8027</v>
      </c>
      <c r="B2745" s="4" t="s">
        <v>8027</v>
      </c>
      <c r="C2745" s="4" t="s">
        <v>8028</v>
      </c>
    </row>
    <row r="2746" spans="1:3">
      <c r="A2746" s="4" t="s">
        <v>7994</v>
      </c>
      <c r="B2746" s="4" t="s">
        <v>7994</v>
      </c>
      <c r="C2746" s="4" t="s">
        <v>7995</v>
      </c>
    </row>
    <row r="2747" spans="1:3">
      <c r="A2747" s="4" t="s">
        <v>8029</v>
      </c>
      <c r="B2747" s="4" t="s">
        <v>8029</v>
      </c>
      <c r="C2747" s="4" t="s">
        <v>8030</v>
      </c>
    </row>
    <row r="2748" spans="1:3">
      <c r="A2748" s="4" t="s">
        <v>8014</v>
      </c>
      <c r="B2748" s="4" t="s">
        <v>8014</v>
      </c>
      <c r="C2748" s="4" t="s">
        <v>8015</v>
      </c>
    </row>
    <row r="2749" spans="1:3">
      <c r="A2749" s="4" t="s">
        <v>7547</v>
      </c>
      <c r="B2749" s="4" t="s">
        <v>7547</v>
      </c>
      <c r="C2749" s="4" t="s">
        <v>7548</v>
      </c>
    </row>
    <row r="2750" spans="1:3">
      <c r="A2750" s="4" t="s">
        <v>7971</v>
      </c>
      <c r="B2750" s="4" t="s">
        <v>7971</v>
      </c>
      <c r="C2750" s="4" t="s">
        <v>7972</v>
      </c>
    </row>
    <row r="2751" spans="1:3">
      <c r="A2751" s="4" t="s">
        <v>7973</v>
      </c>
      <c r="B2751" s="4" t="s">
        <v>7973</v>
      </c>
      <c r="C2751" s="4" t="s">
        <v>7974</v>
      </c>
    </row>
    <row r="2752" spans="1:3">
      <c r="A2752" s="4" t="s">
        <v>7975</v>
      </c>
      <c r="B2752" s="4" t="s">
        <v>7975</v>
      </c>
      <c r="C2752" s="4" t="s">
        <v>7976</v>
      </c>
    </row>
    <row r="2753" spans="1:3">
      <c r="A2753" s="4" t="s">
        <v>7977</v>
      </c>
      <c r="B2753" s="4" t="s">
        <v>7977</v>
      </c>
      <c r="C2753" s="4" t="s">
        <v>7978</v>
      </c>
    </row>
    <row r="2754" spans="1:3">
      <c r="A2754" s="4" t="s">
        <v>7979</v>
      </c>
      <c r="B2754" s="4" t="s">
        <v>7979</v>
      </c>
      <c r="C2754" s="4" t="s">
        <v>7980</v>
      </c>
    </row>
    <row r="2755" spans="1:3">
      <c r="A2755" s="4" t="s">
        <v>7981</v>
      </c>
      <c r="B2755" s="4" t="s">
        <v>7981</v>
      </c>
      <c r="C2755" s="4" t="s">
        <v>7982</v>
      </c>
    </row>
    <row r="2756" spans="1:3">
      <c r="A2756" s="4" t="s">
        <v>7983</v>
      </c>
      <c r="B2756" s="4" t="s">
        <v>7983</v>
      </c>
      <c r="C2756" s="4" t="s">
        <v>7984</v>
      </c>
    </row>
    <row r="2757" spans="1:3">
      <c r="A2757" s="4" t="s">
        <v>7985</v>
      </c>
      <c r="B2757" s="4" t="s">
        <v>7985</v>
      </c>
      <c r="C2757" s="4" t="s">
        <v>3316</v>
      </c>
    </row>
    <row r="2758" spans="1:3">
      <c r="A2758" s="4" t="s">
        <v>7986</v>
      </c>
      <c r="B2758" s="4" t="s">
        <v>7986</v>
      </c>
      <c r="C2758" s="4" t="s">
        <v>7987</v>
      </c>
    </row>
    <row r="2759" spans="1:3">
      <c r="A2759" s="4" t="s">
        <v>7988</v>
      </c>
      <c r="B2759" s="4" t="s">
        <v>7988</v>
      </c>
      <c r="C2759" s="4" t="s">
        <v>7989</v>
      </c>
    </row>
    <row r="2760" spans="1:3">
      <c r="A2760" s="4" t="s">
        <v>7990</v>
      </c>
      <c r="B2760" s="4" t="s">
        <v>7990</v>
      </c>
      <c r="C2760" s="4" t="s">
        <v>7991</v>
      </c>
    </row>
    <row r="2761" spans="1:3">
      <c r="A2761" s="4" t="s">
        <v>7992</v>
      </c>
      <c r="B2761" s="4" t="s">
        <v>7992</v>
      </c>
      <c r="C2761" s="4" t="s">
        <v>7993</v>
      </c>
    </row>
    <row r="2762" spans="1:3">
      <c r="A2762" s="4" t="s">
        <v>8027</v>
      </c>
      <c r="B2762" s="4" t="s">
        <v>8027</v>
      </c>
      <c r="C2762" s="4" t="s">
        <v>8028</v>
      </c>
    </row>
    <row r="2763" spans="1:3">
      <c r="A2763" s="4" t="s">
        <v>7994</v>
      </c>
      <c r="B2763" s="4" t="s">
        <v>7994</v>
      </c>
      <c r="C2763" s="4" t="s">
        <v>7995</v>
      </c>
    </row>
    <row r="2764" spans="1:3">
      <c r="A2764" s="4" t="s">
        <v>7996</v>
      </c>
      <c r="B2764" s="4" t="s">
        <v>7996</v>
      </c>
      <c r="C2764" s="4" t="s">
        <v>7997</v>
      </c>
    </row>
    <row r="2765" spans="1:3">
      <c r="A2765" s="4" t="s">
        <v>7998</v>
      </c>
      <c r="B2765" s="4" t="s">
        <v>7998</v>
      </c>
      <c r="C2765" s="4" t="s">
        <v>7999</v>
      </c>
    </row>
    <row r="2766" spans="1:3">
      <c r="A2766" s="4" t="s">
        <v>8000</v>
      </c>
      <c r="B2766" s="4" t="s">
        <v>8000</v>
      </c>
      <c r="C2766" s="4" t="s">
        <v>8001</v>
      </c>
    </row>
    <row r="2767" spans="1:3">
      <c r="A2767" s="4" t="s">
        <v>8002</v>
      </c>
      <c r="B2767" s="4" t="s">
        <v>8002</v>
      </c>
      <c r="C2767" s="4" t="s">
        <v>8003</v>
      </c>
    </row>
    <row r="2768" spans="1:3">
      <c r="A2768" s="4" t="s">
        <v>8004</v>
      </c>
      <c r="B2768" s="4" t="s">
        <v>8004</v>
      </c>
      <c r="C2768" s="4" t="s">
        <v>8005</v>
      </c>
    </row>
    <row r="2769" spans="1:3">
      <c r="A2769" s="4" t="s">
        <v>8006</v>
      </c>
      <c r="B2769" s="4" t="s">
        <v>8006</v>
      </c>
      <c r="C2769" s="4" t="s">
        <v>8007</v>
      </c>
    </row>
    <row r="2770" spans="1:3">
      <c r="A2770" s="4" t="s">
        <v>8008</v>
      </c>
      <c r="B2770" s="4" t="s">
        <v>8008</v>
      </c>
      <c r="C2770" s="4" t="s">
        <v>8009</v>
      </c>
    </row>
    <row r="2771" spans="1:3">
      <c r="A2771" s="4" t="s">
        <v>8010</v>
      </c>
      <c r="B2771" s="4" t="s">
        <v>8010</v>
      </c>
      <c r="C2771" s="4" t="s">
        <v>8011</v>
      </c>
    </row>
    <row r="2772" spans="1:3">
      <c r="A2772" s="4" t="s">
        <v>8014</v>
      </c>
      <c r="B2772" s="4" t="s">
        <v>8014</v>
      </c>
      <c r="C2772" s="4" t="s">
        <v>8015</v>
      </c>
    </row>
    <row r="2773" spans="1:3">
      <c r="A2773" s="4" t="s">
        <v>8031</v>
      </c>
      <c r="B2773" s="4" t="s">
        <v>8031</v>
      </c>
      <c r="C2773" s="4" t="s">
        <v>8032</v>
      </c>
    </row>
    <row r="2774" spans="1:3">
      <c r="A2774" s="4" t="s">
        <v>8033</v>
      </c>
      <c r="B2774" s="4" t="s">
        <v>8033</v>
      </c>
      <c r="C2774" s="4" t="s">
        <v>8034</v>
      </c>
    </row>
    <row r="2775" spans="1:3">
      <c r="A2775" s="4" t="s">
        <v>8035</v>
      </c>
      <c r="B2775" s="4" t="s">
        <v>8035</v>
      </c>
      <c r="C2775" s="4" t="s">
        <v>8036</v>
      </c>
    </row>
    <row r="2776" spans="1:3">
      <c r="A2776" s="4" t="s">
        <v>8023</v>
      </c>
      <c r="B2776" s="4" t="s">
        <v>8023</v>
      </c>
      <c r="C2776" s="4" t="s">
        <v>8024</v>
      </c>
    </row>
    <row r="2777" spans="1:3">
      <c r="A2777" s="4" t="s">
        <v>8004</v>
      </c>
      <c r="B2777" s="4" t="s">
        <v>8004</v>
      </c>
      <c r="C2777" s="4" t="s">
        <v>8005</v>
      </c>
    </row>
    <row r="2778" spans="1:3">
      <c r="A2778" s="4" t="s">
        <v>8037</v>
      </c>
      <c r="B2778" s="4" t="s">
        <v>8037</v>
      </c>
      <c r="C2778" s="4" t="s">
        <v>8038</v>
      </c>
    </row>
    <row r="2779" spans="1:3">
      <c r="A2779" s="4" t="s">
        <v>8037</v>
      </c>
      <c r="B2779" s="4" t="s">
        <v>8037</v>
      </c>
      <c r="C2779" s="4" t="s">
        <v>8038</v>
      </c>
    </row>
    <row r="2780" spans="1:3">
      <c r="A2780" s="4" t="s">
        <v>8039</v>
      </c>
      <c r="B2780" s="4" t="s">
        <v>8039</v>
      </c>
      <c r="C2780" s="4" t="s">
        <v>8040</v>
      </c>
    </row>
    <row r="2781" spans="1:3">
      <c r="A2781" s="4" t="s">
        <v>8039</v>
      </c>
      <c r="B2781" s="4" t="s">
        <v>8039</v>
      </c>
      <c r="C2781" s="4" t="s">
        <v>8040</v>
      </c>
    </row>
    <row r="2782" spans="1:3">
      <c r="A2782" s="4" t="s">
        <v>8041</v>
      </c>
      <c r="B2782" s="4" t="s">
        <v>8041</v>
      </c>
      <c r="C2782" s="4" t="s">
        <v>8042</v>
      </c>
    </row>
    <row r="2783" spans="1:3">
      <c r="A2783" s="4" t="s">
        <v>8043</v>
      </c>
      <c r="B2783" s="4" t="s">
        <v>8043</v>
      </c>
      <c r="C2783" s="4" t="s">
        <v>8044</v>
      </c>
    </row>
    <row r="2784" spans="1:3">
      <c r="A2784" s="4" t="s">
        <v>8045</v>
      </c>
      <c r="B2784" s="4" t="s">
        <v>8045</v>
      </c>
      <c r="C2784" s="4" t="s">
        <v>7617</v>
      </c>
    </row>
    <row r="2785" spans="1:3">
      <c r="A2785" s="4" t="s">
        <v>8046</v>
      </c>
      <c r="B2785" s="4" t="s">
        <v>8046</v>
      </c>
      <c r="C2785" s="4" t="s">
        <v>8047</v>
      </c>
    </row>
    <row r="2786" spans="1:3">
      <c r="A2786" s="4" t="s">
        <v>8048</v>
      </c>
      <c r="B2786" s="4" t="s">
        <v>8048</v>
      </c>
      <c r="C2786" s="4" t="s">
        <v>8049</v>
      </c>
    </row>
    <row r="2787" spans="1:3">
      <c r="A2787" s="4" t="s">
        <v>8050</v>
      </c>
      <c r="B2787" s="4" t="s">
        <v>8050</v>
      </c>
      <c r="C2787" s="4" t="s">
        <v>8051</v>
      </c>
    </row>
    <row r="2788" spans="1:3">
      <c r="A2788" s="4" t="s">
        <v>8052</v>
      </c>
      <c r="B2788" s="4" t="s">
        <v>8052</v>
      </c>
      <c r="C2788" s="4" t="s">
        <v>8053</v>
      </c>
    </row>
    <row r="2789" spans="1:3">
      <c r="A2789" s="4" t="s">
        <v>6021</v>
      </c>
      <c r="B2789" s="4" t="s">
        <v>6021</v>
      </c>
      <c r="C2789" s="4" t="s">
        <v>8054</v>
      </c>
    </row>
    <row r="2790" spans="1:3">
      <c r="A2790" s="4" t="s">
        <v>8055</v>
      </c>
      <c r="B2790" s="4" t="s">
        <v>8055</v>
      </c>
      <c r="C2790" s="4" t="s">
        <v>8056</v>
      </c>
    </row>
    <row r="2791" spans="1:3">
      <c r="A2791" s="4" t="s">
        <v>6015</v>
      </c>
      <c r="B2791" s="4" t="s">
        <v>6015</v>
      </c>
      <c r="C2791" s="4" t="s">
        <v>7756</v>
      </c>
    </row>
    <row r="2792" spans="1:3">
      <c r="A2792" s="4" t="s">
        <v>8057</v>
      </c>
      <c r="B2792" s="4" t="s">
        <v>8057</v>
      </c>
      <c r="C2792" s="4" t="s">
        <v>8058</v>
      </c>
    </row>
    <row r="2793" spans="1:3">
      <c r="A2793" s="4" t="s">
        <v>6018</v>
      </c>
      <c r="B2793" s="4" t="s">
        <v>6018</v>
      </c>
      <c r="C2793" s="4" t="s">
        <v>8059</v>
      </c>
    </row>
    <row r="2794" spans="1:3">
      <c r="A2794" s="4" t="s">
        <v>6020</v>
      </c>
      <c r="B2794" s="4" t="s">
        <v>6020</v>
      </c>
      <c r="C2794" s="4" t="s">
        <v>8060</v>
      </c>
    </row>
    <row r="2795" spans="1:3">
      <c r="A2795" s="4" t="s">
        <v>6024</v>
      </c>
      <c r="B2795" s="4" t="s">
        <v>6024</v>
      </c>
      <c r="C2795" s="4" t="s">
        <v>8061</v>
      </c>
    </row>
    <row r="2796" spans="1:3">
      <c r="A2796" s="4" t="s">
        <v>6026</v>
      </c>
      <c r="B2796" s="4" t="s">
        <v>6026</v>
      </c>
      <c r="C2796" s="4" t="s">
        <v>8062</v>
      </c>
    </row>
    <row r="2797" spans="1:3">
      <c r="A2797" s="4" t="s">
        <v>6027</v>
      </c>
      <c r="B2797" s="4" t="s">
        <v>6027</v>
      </c>
      <c r="C2797" s="4" t="s">
        <v>8063</v>
      </c>
    </row>
    <row r="2798" spans="1:3">
      <c r="A2798" s="4" t="s">
        <v>8064</v>
      </c>
      <c r="B2798" s="4" t="s">
        <v>8064</v>
      </c>
      <c r="C2798" s="4" t="s">
        <v>8065</v>
      </c>
    </row>
    <row r="2799" spans="1:3">
      <c r="A2799" s="4" t="s">
        <v>8055</v>
      </c>
      <c r="B2799" s="4" t="s">
        <v>8055</v>
      </c>
      <c r="C2799" s="4" t="s">
        <v>8056</v>
      </c>
    </row>
    <row r="2800" spans="1:3">
      <c r="A2800" s="4" t="s">
        <v>6015</v>
      </c>
      <c r="B2800" s="4" t="s">
        <v>6015</v>
      </c>
      <c r="C2800" s="4" t="s">
        <v>7756</v>
      </c>
    </row>
    <row r="2801" spans="1:3">
      <c r="A2801" s="4" t="s">
        <v>8057</v>
      </c>
      <c r="B2801" s="4" t="s">
        <v>8057</v>
      </c>
      <c r="C2801" s="4" t="s">
        <v>8058</v>
      </c>
    </row>
    <row r="2802" spans="1:3">
      <c r="A2802" s="4" t="s">
        <v>6018</v>
      </c>
      <c r="B2802" s="4" t="s">
        <v>6018</v>
      </c>
      <c r="C2802" s="4" t="s">
        <v>8059</v>
      </c>
    </row>
    <row r="2803" spans="1:3">
      <c r="A2803" s="4" t="s">
        <v>6020</v>
      </c>
      <c r="B2803" s="4" t="s">
        <v>6020</v>
      </c>
      <c r="C2803" s="4" t="s">
        <v>8060</v>
      </c>
    </row>
    <row r="2804" spans="1:3">
      <c r="A2804" s="4" t="s">
        <v>6024</v>
      </c>
      <c r="B2804" s="4" t="s">
        <v>6024</v>
      </c>
      <c r="C2804" s="4" t="s">
        <v>8061</v>
      </c>
    </row>
    <row r="2805" spans="1:3">
      <c r="A2805" s="4" t="s">
        <v>6026</v>
      </c>
      <c r="B2805" s="4" t="s">
        <v>6026</v>
      </c>
      <c r="C2805" s="4" t="s">
        <v>8062</v>
      </c>
    </row>
    <row r="2806" spans="1:3">
      <c r="A2806" s="4" t="s">
        <v>6027</v>
      </c>
      <c r="B2806" s="4" t="s">
        <v>6027</v>
      </c>
      <c r="C2806" s="4" t="s">
        <v>8063</v>
      </c>
    </row>
    <row r="2807" spans="1:3">
      <c r="A2807" s="4" t="s">
        <v>7818</v>
      </c>
      <c r="B2807" s="4" t="s">
        <v>7818</v>
      </c>
      <c r="C2807" s="4" t="s">
        <v>8066</v>
      </c>
    </row>
    <row r="2808" spans="1:3">
      <c r="A2808" s="4" t="s">
        <v>8064</v>
      </c>
      <c r="B2808" s="4" t="s">
        <v>8064</v>
      </c>
      <c r="C2808" s="4" t="s">
        <v>8065</v>
      </c>
    </row>
    <row r="2809" spans="1:3">
      <c r="A2809" s="4" t="s">
        <v>8067</v>
      </c>
      <c r="B2809" s="4" t="s">
        <v>8067</v>
      </c>
      <c r="C2809" s="4" t="s">
        <v>8068</v>
      </c>
    </row>
    <row r="2810" spans="1:3">
      <c r="A2810" s="4" t="s">
        <v>8069</v>
      </c>
      <c r="B2810" s="4" t="s">
        <v>8069</v>
      </c>
      <c r="C2810" s="4" t="s">
        <v>8070</v>
      </c>
    </row>
    <row r="2811" spans="1:3">
      <c r="A2811" s="4" t="s">
        <v>8071</v>
      </c>
      <c r="B2811" s="4" t="s">
        <v>8071</v>
      </c>
      <c r="C2811" s="4" t="s">
        <v>8072</v>
      </c>
    </row>
    <row r="2812" spans="1:3">
      <c r="A2812" s="4" t="s">
        <v>8073</v>
      </c>
      <c r="B2812" s="4" t="s">
        <v>8073</v>
      </c>
      <c r="C2812" s="4" t="s">
        <v>8074</v>
      </c>
    </row>
    <row r="2813" spans="1:3">
      <c r="A2813" s="4" t="s">
        <v>8075</v>
      </c>
      <c r="B2813" s="4" t="s">
        <v>8075</v>
      </c>
      <c r="C2813" s="4" t="s">
        <v>8076</v>
      </c>
    </row>
    <row r="2814" spans="1:3">
      <c r="A2814" s="4" t="s">
        <v>8077</v>
      </c>
      <c r="B2814" s="4" t="s">
        <v>8077</v>
      </c>
      <c r="C2814" s="4" t="s">
        <v>8078</v>
      </c>
    </row>
    <row r="2815" spans="1:3">
      <c r="A2815" s="4" t="s">
        <v>8079</v>
      </c>
      <c r="B2815" s="4" t="s">
        <v>8079</v>
      </c>
      <c r="C2815" s="4" t="s">
        <v>8080</v>
      </c>
    </row>
    <row r="2816" spans="1:3">
      <c r="A2816" s="4" t="s">
        <v>8081</v>
      </c>
      <c r="B2816" s="4" t="s">
        <v>8081</v>
      </c>
      <c r="C2816" s="4" t="s">
        <v>8082</v>
      </c>
    </row>
    <row r="2817" spans="1:3">
      <c r="A2817" s="4" t="s">
        <v>8081</v>
      </c>
      <c r="B2817" s="4" t="s">
        <v>8081</v>
      </c>
      <c r="C2817" s="4" t="s">
        <v>8082</v>
      </c>
    </row>
    <row r="2818" spans="1:3">
      <c r="A2818" s="4" t="s">
        <v>8083</v>
      </c>
      <c r="B2818" s="4" t="s">
        <v>8083</v>
      </c>
      <c r="C2818" s="4" t="s">
        <v>8084</v>
      </c>
    </row>
    <row r="2819" spans="1:3">
      <c r="A2819" s="4" t="s">
        <v>8085</v>
      </c>
      <c r="B2819" s="4" t="s">
        <v>8085</v>
      </c>
      <c r="C2819" s="4" t="s">
        <v>8086</v>
      </c>
    </row>
    <row r="2820" spans="1:3">
      <c r="A2820" s="4" t="s">
        <v>8087</v>
      </c>
      <c r="B2820" s="4" t="s">
        <v>8087</v>
      </c>
      <c r="C2820" s="4" t="s">
        <v>8088</v>
      </c>
    </row>
    <row r="2821" spans="1:3">
      <c r="A2821" s="4" t="s">
        <v>8089</v>
      </c>
      <c r="B2821" s="4" t="s">
        <v>8089</v>
      </c>
      <c r="C2821" s="4" t="s">
        <v>8090</v>
      </c>
    </row>
    <row r="2822" spans="1:3">
      <c r="A2822" s="4" t="s">
        <v>8091</v>
      </c>
      <c r="B2822" s="4" t="s">
        <v>8091</v>
      </c>
      <c r="C2822" s="4" t="s">
        <v>8092</v>
      </c>
    </row>
    <row r="2823" spans="1:3">
      <c r="A2823" s="4" t="s">
        <v>8091</v>
      </c>
      <c r="B2823" s="4" t="s">
        <v>8091</v>
      </c>
      <c r="C2823" s="4" t="s">
        <v>8092</v>
      </c>
    </row>
    <row r="2824" spans="1:3">
      <c r="A2824" s="4" t="s">
        <v>8093</v>
      </c>
      <c r="B2824" s="4" t="s">
        <v>8093</v>
      </c>
      <c r="C2824" s="4" t="s">
        <v>8094</v>
      </c>
    </row>
    <row r="2825" spans="1:3">
      <c r="A2825" s="4" t="s">
        <v>8095</v>
      </c>
      <c r="B2825" s="4" t="s">
        <v>8095</v>
      </c>
      <c r="C2825" s="4" t="s">
        <v>8096</v>
      </c>
    </row>
    <row r="2826" spans="1:3">
      <c r="A2826" s="4" t="s">
        <v>8095</v>
      </c>
      <c r="B2826" s="4" t="s">
        <v>8095</v>
      </c>
      <c r="C2826" s="4" t="s">
        <v>8096</v>
      </c>
    </row>
    <row r="2827" spans="1:3">
      <c r="A2827" s="4" t="s">
        <v>8097</v>
      </c>
      <c r="B2827" s="4" t="s">
        <v>8097</v>
      </c>
      <c r="C2827" s="4" t="s">
        <v>8098</v>
      </c>
    </row>
    <row r="2828" spans="1:3">
      <c r="A2828" s="4" t="s">
        <v>8099</v>
      </c>
      <c r="B2828" s="4" t="s">
        <v>8099</v>
      </c>
      <c r="C2828" s="4" t="s">
        <v>8100</v>
      </c>
    </row>
    <row r="2829" spans="1:3">
      <c r="A2829" s="4" t="s">
        <v>8099</v>
      </c>
      <c r="B2829" s="4" t="s">
        <v>8099</v>
      </c>
      <c r="C2829" s="4" t="s">
        <v>8100</v>
      </c>
    </row>
    <row r="2830" spans="1:3">
      <c r="A2830" s="4" t="s">
        <v>8101</v>
      </c>
      <c r="B2830" s="4" t="s">
        <v>8101</v>
      </c>
      <c r="C2830" s="4" t="s">
        <v>5956</v>
      </c>
    </row>
    <row r="2831" spans="1:3">
      <c r="A2831" s="4" t="s">
        <v>8102</v>
      </c>
      <c r="B2831" s="4" t="s">
        <v>8102</v>
      </c>
      <c r="C2831" s="4" t="s">
        <v>8103</v>
      </c>
    </row>
    <row r="2832" spans="1:3">
      <c r="A2832" s="4" t="s">
        <v>8104</v>
      </c>
      <c r="B2832" s="4" t="s">
        <v>8104</v>
      </c>
      <c r="C2832" s="4" t="s">
        <v>8105</v>
      </c>
    </row>
    <row r="2833" spans="1:3">
      <c r="A2833" s="4" t="s">
        <v>8106</v>
      </c>
      <c r="B2833" s="4" t="s">
        <v>8106</v>
      </c>
      <c r="C2833" s="4" t="s">
        <v>8107</v>
      </c>
    </row>
    <row r="2834" spans="1:3">
      <c r="A2834" s="4" t="s">
        <v>8108</v>
      </c>
      <c r="B2834" s="4" t="s">
        <v>8108</v>
      </c>
      <c r="C2834" s="4" t="s">
        <v>5955</v>
      </c>
    </row>
    <row r="2835" spans="1:3">
      <c r="A2835" s="4" t="s">
        <v>8099</v>
      </c>
      <c r="B2835" s="4" t="s">
        <v>8099</v>
      </c>
      <c r="C2835" s="4" t="s">
        <v>8100</v>
      </c>
    </row>
    <row r="2836" spans="1:3">
      <c r="A2836" s="4" t="s">
        <v>8109</v>
      </c>
      <c r="B2836" s="4" t="s">
        <v>8109</v>
      </c>
      <c r="C2836" s="4" t="s">
        <v>8110</v>
      </c>
    </row>
    <row r="2837" spans="1:3">
      <c r="A2837" s="4" t="s">
        <v>8104</v>
      </c>
      <c r="B2837" s="4" t="s">
        <v>8104</v>
      </c>
      <c r="C2837" s="4" t="s">
        <v>8105</v>
      </c>
    </row>
    <row r="2838" spans="1:3">
      <c r="A2838" s="4" t="s">
        <v>8111</v>
      </c>
      <c r="B2838" s="4" t="s">
        <v>8111</v>
      </c>
      <c r="C2838" s="4" t="s">
        <v>8112</v>
      </c>
    </row>
    <row r="2839" spans="1:3">
      <c r="A2839" s="4" t="s">
        <v>7734</v>
      </c>
      <c r="B2839" s="4" t="s">
        <v>7734</v>
      </c>
      <c r="C2839" s="4" t="s">
        <v>7735</v>
      </c>
    </row>
    <row r="2840" spans="1:3">
      <c r="A2840" s="4" t="s">
        <v>8113</v>
      </c>
      <c r="B2840" s="4" t="s">
        <v>8113</v>
      </c>
      <c r="C2840" s="4" t="s">
        <v>8114</v>
      </c>
    </row>
    <row r="2841" spans="1:3">
      <c r="A2841" s="4" t="s">
        <v>8115</v>
      </c>
      <c r="B2841" s="4" t="s">
        <v>8115</v>
      </c>
      <c r="C2841" s="4" t="s">
        <v>8116</v>
      </c>
    </row>
    <row r="2842" spans="1:3">
      <c r="A2842" s="4" t="s">
        <v>8117</v>
      </c>
      <c r="B2842" s="4" t="s">
        <v>8117</v>
      </c>
      <c r="C2842" s="4" t="s">
        <v>8118</v>
      </c>
    </row>
    <row r="2843" spans="1:3">
      <c r="A2843" s="4" t="s">
        <v>8119</v>
      </c>
      <c r="B2843" s="4" t="s">
        <v>8119</v>
      </c>
      <c r="C2843" s="4" t="s">
        <v>8120</v>
      </c>
    </row>
    <row r="2844" spans="1:3">
      <c r="A2844" s="4" t="s">
        <v>8121</v>
      </c>
      <c r="B2844" s="4" t="s">
        <v>8121</v>
      </c>
      <c r="C2844" s="4" t="s">
        <v>5911</v>
      </c>
    </row>
    <row r="2845" spans="1:3">
      <c r="A2845" s="4" t="s">
        <v>8122</v>
      </c>
      <c r="B2845" s="4" t="s">
        <v>8122</v>
      </c>
      <c r="C2845" s="4" t="s">
        <v>8123</v>
      </c>
    </row>
    <row r="2846" spans="1:3">
      <c r="A2846" s="4" t="s">
        <v>8124</v>
      </c>
      <c r="B2846" s="4" t="s">
        <v>8124</v>
      </c>
      <c r="C2846" s="4" t="s">
        <v>8125</v>
      </c>
    </row>
    <row r="2847" spans="1:3">
      <c r="A2847" s="4" t="s">
        <v>8126</v>
      </c>
      <c r="B2847" s="4" t="s">
        <v>8126</v>
      </c>
      <c r="C2847" s="4" t="s">
        <v>8127</v>
      </c>
    </row>
    <row r="2848" spans="1:3">
      <c r="A2848" s="4" t="s">
        <v>8128</v>
      </c>
      <c r="B2848" s="4" t="s">
        <v>8128</v>
      </c>
      <c r="C2848" s="4" t="s">
        <v>8129</v>
      </c>
    </row>
    <row r="2849" spans="1:3">
      <c r="A2849" s="4" t="s">
        <v>8130</v>
      </c>
      <c r="B2849" s="4" t="s">
        <v>8130</v>
      </c>
      <c r="C2849" s="4" t="s">
        <v>8131</v>
      </c>
    </row>
    <row r="2850" spans="1:3">
      <c r="A2850" s="4" t="s">
        <v>8132</v>
      </c>
      <c r="B2850" s="4" t="s">
        <v>8132</v>
      </c>
      <c r="C2850" s="4" t="s">
        <v>8133</v>
      </c>
    </row>
    <row r="2851" spans="1:3">
      <c r="A2851" s="4" t="s">
        <v>8134</v>
      </c>
      <c r="B2851" s="4" t="s">
        <v>8134</v>
      </c>
      <c r="C2851" s="4" t="s">
        <v>8125</v>
      </c>
    </row>
    <row r="2852" spans="1:3">
      <c r="A2852" s="4" t="s">
        <v>8135</v>
      </c>
      <c r="B2852" s="4" t="s">
        <v>8135</v>
      </c>
      <c r="C2852" s="4" t="s">
        <v>8125</v>
      </c>
    </row>
    <row r="2853" spans="1:3">
      <c r="A2853" s="4" t="s">
        <v>8134</v>
      </c>
      <c r="B2853" s="4" t="s">
        <v>8134</v>
      </c>
      <c r="C2853" s="4" t="s">
        <v>8125</v>
      </c>
    </row>
    <row r="2854" spans="1:3">
      <c r="A2854" s="4" t="s">
        <v>8136</v>
      </c>
      <c r="B2854" s="4" t="s">
        <v>8136</v>
      </c>
      <c r="C2854" s="4" t="s">
        <v>8137</v>
      </c>
    </row>
    <row r="2855" spans="1:3">
      <c r="A2855" s="4" t="s">
        <v>7708</v>
      </c>
      <c r="B2855" s="4" t="s">
        <v>7708</v>
      </c>
      <c r="C2855" s="4" t="s">
        <v>8138</v>
      </c>
    </row>
    <row r="2856" spans="1:3">
      <c r="A2856" s="4" t="s">
        <v>8139</v>
      </c>
      <c r="B2856" s="4" t="s">
        <v>8139</v>
      </c>
      <c r="C2856" s="4" t="s">
        <v>8125</v>
      </c>
    </row>
    <row r="2857" spans="1:3">
      <c r="A2857" s="4" t="s">
        <v>7952</v>
      </c>
      <c r="B2857" s="4" t="s">
        <v>7952</v>
      </c>
      <c r="C2857" s="4" t="s">
        <v>7953</v>
      </c>
    </row>
    <row r="2858" spans="1:3">
      <c r="A2858" s="4" t="s">
        <v>8140</v>
      </c>
      <c r="B2858" s="4" t="s">
        <v>8140</v>
      </c>
      <c r="C2858" s="4" t="s">
        <v>8125</v>
      </c>
    </row>
    <row r="2859" spans="1:3">
      <c r="A2859" s="4" t="s">
        <v>5922</v>
      </c>
      <c r="B2859" s="4" t="s">
        <v>5922</v>
      </c>
      <c r="C2859" s="4" t="s">
        <v>7943</v>
      </c>
    </row>
    <row r="2860" spans="1:3">
      <c r="A2860" s="4" t="s">
        <v>7616</v>
      </c>
      <c r="B2860" s="4" t="s">
        <v>7616</v>
      </c>
      <c r="C2860" s="4" t="s">
        <v>7617</v>
      </c>
    </row>
    <row r="2861" spans="1:3">
      <c r="A2861" s="4" t="s">
        <v>8141</v>
      </c>
      <c r="B2861" s="4" t="s">
        <v>8141</v>
      </c>
      <c r="C2861" s="4" t="s">
        <v>8142</v>
      </c>
    </row>
    <row r="2862" spans="1:3">
      <c r="A2862" s="4" t="s">
        <v>7742</v>
      </c>
      <c r="B2862" s="4" t="s">
        <v>7742</v>
      </c>
      <c r="C2862" s="4" t="s">
        <v>7743</v>
      </c>
    </row>
    <row r="2863" spans="1:3">
      <c r="A2863" s="4" t="s">
        <v>8139</v>
      </c>
      <c r="B2863" s="4" t="s">
        <v>8139</v>
      </c>
      <c r="C2863" s="4" t="s">
        <v>8125</v>
      </c>
    </row>
    <row r="2864" spans="1:3">
      <c r="A2864" s="4" t="s">
        <v>8135</v>
      </c>
      <c r="B2864" s="4" t="s">
        <v>8135</v>
      </c>
      <c r="C2864" s="4" t="s">
        <v>8125</v>
      </c>
    </row>
    <row r="2865" spans="1:3">
      <c r="A2865" s="4" t="s">
        <v>7740</v>
      </c>
      <c r="B2865" s="4" t="s">
        <v>7740</v>
      </c>
      <c r="C2865" s="4" t="s">
        <v>7741</v>
      </c>
    </row>
    <row r="2866" spans="1:3">
      <c r="A2866" s="4" t="s">
        <v>7744</v>
      </c>
      <c r="B2866" s="4" t="s">
        <v>7744</v>
      </c>
      <c r="C2866" s="4" t="s">
        <v>7745</v>
      </c>
    </row>
    <row r="2867" spans="1:3">
      <c r="A2867" s="4" t="s">
        <v>8140</v>
      </c>
      <c r="B2867" s="4" t="s">
        <v>8140</v>
      </c>
      <c r="C2867" s="4" t="s">
        <v>8125</v>
      </c>
    </row>
    <row r="2868" spans="1:3">
      <c r="A2868" s="4" t="s">
        <v>8124</v>
      </c>
      <c r="B2868" s="4" t="s">
        <v>8124</v>
      </c>
      <c r="C2868" s="4" t="s">
        <v>8125</v>
      </c>
    </row>
    <row r="2869" spans="1:3">
      <c r="A2869" s="4" t="s">
        <v>7746</v>
      </c>
      <c r="B2869" s="4" t="s">
        <v>7746</v>
      </c>
      <c r="C2869" s="4" t="s">
        <v>7501</v>
      </c>
    </row>
    <row r="2870" spans="1:3">
      <c r="A2870" s="4" t="s">
        <v>7747</v>
      </c>
      <c r="B2870" s="4" t="s">
        <v>7747</v>
      </c>
      <c r="C2870" s="4" t="s">
        <v>7748</v>
      </c>
    </row>
    <row r="2871" spans="1:3">
      <c r="A2871" s="4" t="s">
        <v>8143</v>
      </c>
      <c r="B2871" s="4" t="s">
        <v>8143</v>
      </c>
      <c r="C2871" s="4" t="s">
        <v>8125</v>
      </c>
    </row>
    <row r="2872" spans="1:3">
      <c r="A2872" s="4" t="s">
        <v>8143</v>
      </c>
      <c r="B2872" s="4" t="s">
        <v>8143</v>
      </c>
      <c r="C2872" s="4" t="s">
        <v>8125</v>
      </c>
    </row>
    <row r="2873" spans="1:3">
      <c r="A2873" s="4" t="s">
        <v>7749</v>
      </c>
      <c r="B2873" s="4" t="s">
        <v>7749</v>
      </c>
      <c r="C2873" s="4" t="s">
        <v>7750</v>
      </c>
    </row>
    <row r="2874" spans="1:3">
      <c r="A2874" s="4" t="s">
        <v>7591</v>
      </c>
      <c r="B2874" s="4" t="s">
        <v>7591</v>
      </c>
      <c r="C2874" s="4" t="s">
        <v>7592</v>
      </c>
    </row>
    <row r="2875" spans="1:3">
      <c r="A2875" s="4" t="s">
        <v>7536</v>
      </c>
      <c r="B2875" s="4" t="s">
        <v>7536</v>
      </c>
      <c r="C2875" s="4" t="s">
        <v>7537</v>
      </c>
    </row>
    <row r="2876" spans="1:3">
      <c r="A2876" s="4" t="s">
        <v>8144</v>
      </c>
      <c r="B2876" s="4" t="s">
        <v>8144</v>
      </c>
      <c r="C2876" s="4" t="s">
        <v>8145</v>
      </c>
    </row>
    <row r="2877" spans="1:3">
      <c r="A2877" s="4" t="s">
        <v>8146</v>
      </c>
      <c r="B2877" s="4" t="s">
        <v>8146</v>
      </c>
      <c r="C2877" s="4" t="s">
        <v>8147</v>
      </c>
    </row>
    <row r="2878" spans="1:3">
      <c r="A2878" s="4" t="s">
        <v>8148</v>
      </c>
      <c r="B2878" s="4" t="s">
        <v>8148</v>
      </c>
      <c r="C2878" s="4" t="s">
        <v>8149</v>
      </c>
    </row>
    <row r="2879" spans="1:3">
      <c r="A2879" s="4" t="s">
        <v>7394</v>
      </c>
      <c r="B2879" s="4" t="s">
        <v>7393</v>
      </c>
      <c r="C2879" s="4" t="s">
        <v>7393</v>
      </c>
    </row>
    <row r="2880" spans="1:3">
      <c r="A2880" s="4" t="s">
        <v>7396</v>
      </c>
      <c r="B2880" s="4" t="s">
        <v>7395</v>
      </c>
      <c r="C2880" s="4" t="s">
        <v>7395</v>
      </c>
    </row>
    <row r="2881" spans="1:3">
      <c r="A2881" s="4" t="s">
        <v>7398</v>
      </c>
      <c r="B2881" s="4" t="s">
        <v>7397</v>
      </c>
      <c r="C2881" s="4" t="s">
        <v>7397</v>
      </c>
    </row>
    <row r="2882" spans="1:3">
      <c r="A2882" s="4" t="s">
        <v>7400</v>
      </c>
      <c r="B2882" s="4" t="s">
        <v>7399</v>
      </c>
      <c r="C2882" s="4" t="s">
        <v>7399</v>
      </c>
    </row>
    <row r="2883" spans="1:3">
      <c r="A2883" s="4" t="s">
        <v>7402</v>
      </c>
      <c r="B2883" s="4" t="s">
        <v>7401</v>
      </c>
      <c r="C2883" s="4" t="s">
        <v>7401</v>
      </c>
    </row>
    <row r="2884" spans="1:3">
      <c r="A2884" s="4" t="s">
        <v>7404</v>
      </c>
      <c r="B2884" s="4" t="s">
        <v>7403</v>
      </c>
      <c r="C2884" s="4" t="s">
        <v>7403</v>
      </c>
    </row>
    <row r="2885" spans="1:3">
      <c r="A2885" s="4" t="s">
        <v>7406</v>
      </c>
      <c r="B2885" s="4" t="s">
        <v>7405</v>
      </c>
      <c r="C2885" s="4" t="s">
        <v>7405</v>
      </c>
    </row>
    <row r="2886" spans="1:3">
      <c r="A2886" s="4" t="s">
        <v>7408</v>
      </c>
      <c r="B2886" s="4" t="s">
        <v>7407</v>
      </c>
      <c r="C2886" s="4" t="s">
        <v>7407</v>
      </c>
    </row>
    <row r="2887" spans="1:3">
      <c r="A2887" s="4" t="s">
        <v>7410</v>
      </c>
      <c r="B2887" s="4" t="s">
        <v>7409</v>
      </c>
      <c r="C2887" s="4" t="s">
        <v>7409</v>
      </c>
    </row>
    <row r="2888" spans="1:3">
      <c r="A2888" s="4" t="s">
        <v>7412</v>
      </c>
      <c r="B2888" s="4" t="s">
        <v>7411</v>
      </c>
      <c r="C2888" s="4" t="s">
        <v>7411</v>
      </c>
    </row>
    <row r="2889" spans="1:3">
      <c r="A2889" s="4" t="s">
        <v>7414</v>
      </c>
      <c r="B2889" s="4" t="s">
        <v>7413</v>
      </c>
      <c r="C2889" s="4" t="s">
        <v>7413</v>
      </c>
    </row>
    <row r="2890" spans="1:3">
      <c r="A2890" s="4" t="s">
        <v>7416</v>
      </c>
      <c r="B2890" s="4" t="s">
        <v>7415</v>
      </c>
      <c r="C2890" s="4" t="s">
        <v>7415</v>
      </c>
    </row>
    <row r="2891" spans="1:3">
      <c r="A2891" s="4" t="s">
        <v>7418</v>
      </c>
      <c r="B2891" s="4" t="s">
        <v>7417</v>
      </c>
      <c r="C2891" s="4" t="s">
        <v>7417</v>
      </c>
    </row>
    <row r="2892" spans="1:3">
      <c r="A2892" s="4" t="s">
        <v>7420</v>
      </c>
      <c r="B2892" s="4" t="s">
        <v>7419</v>
      </c>
      <c r="C2892" s="4" t="s">
        <v>7419</v>
      </c>
    </row>
    <row r="2893" spans="1:3">
      <c r="A2893" s="4" t="s">
        <v>7422</v>
      </c>
      <c r="B2893" s="4" t="s">
        <v>7421</v>
      </c>
      <c r="C2893" s="4" t="s">
        <v>7421</v>
      </c>
    </row>
    <row r="2894" spans="1:3">
      <c r="A2894" s="4" t="s">
        <v>7424</v>
      </c>
      <c r="B2894" s="4" t="s">
        <v>7423</v>
      </c>
      <c r="C2894" s="4" t="s">
        <v>7423</v>
      </c>
    </row>
    <row r="2895" spans="1:3">
      <c r="A2895" s="4" t="s">
        <v>7426</v>
      </c>
      <c r="B2895" s="4" t="s">
        <v>7425</v>
      </c>
      <c r="C2895" s="4" t="s">
        <v>7425</v>
      </c>
    </row>
    <row r="2896" spans="1:3">
      <c r="A2896" s="4" t="s">
        <v>7428</v>
      </c>
      <c r="B2896" s="4" t="s">
        <v>7427</v>
      </c>
      <c r="C2896" s="4" t="s">
        <v>7427</v>
      </c>
    </row>
    <row r="2897" spans="1:3">
      <c r="A2897" s="4" t="s">
        <v>7430</v>
      </c>
      <c r="B2897" s="4" t="s">
        <v>7429</v>
      </c>
      <c r="C2897" s="4" t="s">
        <v>7429</v>
      </c>
    </row>
    <row r="2898" spans="1:3">
      <c r="A2898" s="4" t="s">
        <v>7432</v>
      </c>
      <c r="B2898" s="4" t="s">
        <v>7431</v>
      </c>
      <c r="C2898" s="4" t="s">
        <v>7431</v>
      </c>
    </row>
    <row r="2899" spans="1:3">
      <c r="A2899" s="4" t="s">
        <v>7396</v>
      </c>
      <c r="B2899" s="4" t="s">
        <v>7395</v>
      </c>
      <c r="C2899" s="4" t="s">
        <v>7395</v>
      </c>
    </row>
    <row r="2900" spans="1:3">
      <c r="A2900" s="4" t="s">
        <v>7434</v>
      </c>
      <c r="B2900" s="4" t="s">
        <v>7433</v>
      </c>
      <c r="C2900" s="4" t="s">
        <v>7433</v>
      </c>
    </row>
    <row r="2901" spans="1:3">
      <c r="A2901" s="4" t="s">
        <v>7436</v>
      </c>
      <c r="B2901" s="4" t="s">
        <v>7435</v>
      </c>
      <c r="C2901" s="4" t="s">
        <v>7435</v>
      </c>
    </row>
    <row r="2902" spans="1:3">
      <c r="A2902" s="4" t="s">
        <v>7438</v>
      </c>
      <c r="B2902" s="4" t="s">
        <v>7437</v>
      </c>
      <c r="C2902" s="4" t="s">
        <v>7437</v>
      </c>
    </row>
    <row r="2903" spans="1:3">
      <c r="A2903" s="4" t="s">
        <v>7440</v>
      </c>
      <c r="B2903" s="4" t="s">
        <v>7439</v>
      </c>
      <c r="C2903" s="4" t="s">
        <v>7439</v>
      </c>
    </row>
    <row r="2904" spans="1:3">
      <c r="A2904" s="4" t="s">
        <v>7442</v>
      </c>
      <c r="B2904" s="4" t="s">
        <v>7441</v>
      </c>
      <c r="C2904" s="4" t="s">
        <v>7441</v>
      </c>
    </row>
    <row r="2905" spans="1:3">
      <c r="A2905" s="4" t="s">
        <v>7444</v>
      </c>
      <c r="B2905" s="4" t="s">
        <v>7443</v>
      </c>
      <c r="C2905" s="4" t="s">
        <v>7443</v>
      </c>
    </row>
    <row r="2906" spans="1:3">
      <c r="A2906" s="4" t="s">
        <v>7446</v>
      </c>
      <c r="B2906" s="4" t="s">
        <v>7445</v>
      </c>
      <c r="C2906" s="4" t="s">
        <v>7445</v>
      </c>
    </row>
    <row r="2907" spans="1:3">
      <c r="A2907" s="4" t="s">
        <v>7448</v>
      </c>
      <c r="B2907" s="4" t="s">
        <v>7447</v>
      </c>
      <c r="C2907" s="4" t="s">
        <v>7447</v>
      </c>
    </row>
    <row r="2908" spans="1:3">
      <c r="A2908" s="4" t="s">
        <v>7450</v>
      </c>
      <c r="B2908" s="4" t="s">
        <v>7449</v>
      </c>
      <c r="C2908" s="4" t="s">
        <v>7449</v>
      </c>
    </row>
    <row r="2909" spans="1:3">
      <c r="A2909" s="4" t="s">
        <v>7452</v>
      </c>
      <c r="B2909" s="4" t="s">
        <v>7451</v>
      </c>
      <c r="C2909" s="4" t="s">
        <v>7451</v>
      </c>
    </row>
    <row r="2910" spans="1:3">
      <c r="A2910" s="4" t="s">
        <v>7454</v>
      </c>
      <c r="B2910" s="4" t="s">
        <v>7453</v>
      </c>
      <c r="C2910" s="4" t="s">
        <v>7453</v>
      </c>
    </row>
    <row r="2911" spans="1:3">
      <c r="A2911" s="4" t="s">
        <v>7456</v>
      </c>
      <c r="B2911" s="4" t="s">
        <v>7455</v>
      </c>
      <c r="C2911" s="4" t="s">
        <v>7455</v>
      </c>
    </row>
    <row r="2912" spans="1:3">
      <c r="A2912" s="4" t="s">
        <v>7458</v>
      </c>
      <c r="B2912" s="4" t="s">
        <v>7457</v>
      </c>
      <c r="C2912" s="4" t="s">
        <v>7457</v>
      </c>
    </row>
    <row r="2913" spans="1:3">
      <c r="A2913" s="4" t="s">
        <v>7438</v>
      </c>
      <c r="B2913" s="4" t="s">
        <v>7437</v>
      </c>
      <c r="C2913" s="4" t="s">
        <v>7437</v>
      </c>
    </row>
    <row r="2914" spans="1:3">
      <c r="A2914" s="4" t="s">
        <v>7440</v>
      </c>
      <c r="B2914" s="4" t="s">
        <v>7439</v>
      </c>
      <c r="C2914" s="4" t="s">
        <v>7439</v>
      </c>
    </row>
    <row r="2915" spans="1:3">
      <c r="A2915" s="4" t="s">
        <v>7442</v>
      </c>
      <c r="B2915" s="4" t="s">
        <v>7441</v>
      </c>
      <c r="C2915" s="4" t="s">
        <v>7441</v>
      </c>
    </row>
    <row r="2916" spans="1:3">
      <c r="A2916" s="4" t="s">
        <v>7444</v>
      </c>
      <c r="B2916" s="4" t="s">
        <v>7443</v>
      </c>
      <c r="C2916" s="4" t="s">
        <v>7443</v>
      </c>
    </row>
    <row r="2917" spans="1:3">
      <c r="A2917" s="4" t="s">
        <v>7446</v>
      </c>
      <c r="B2917" s="4" t="s">
        <v>7445</v>
      </c>
      <c r="C2917" s="4" t="s">
        <v>7445</v>
      </c>
    </row>
    <row r="2918" spans="1:3">
      <c r="A2918" s="4" t="s">
        <v>7448</v>
      </c>
      <c r="B2918" s="4" t="s">
        <v>7447</v>
      </c>
      <c r="C2918" s="4" t="s">
        <v>7447</v>
      </c>
    </row>
    <row r="2919" spans="1:3">
      <c r="A2919" s="4" t="s">
        <v>7460</v>
      </c>
      <c r="B2919" s="4" t="s">
        <v>7459</v>
      </c>
      <c r="C2919" s="4" t="s">
        <v>7459</v>
      </c>
    </row>
    <row r="2920" spans="1:3">
      <c r="A2920" s="4" t="s">
        <v>7462</v>
      </c>
      <c r="B2920" s="4" t="s">
        <v>7461</v>
      </c>
      <c r="C2920" s="4" t="s">
        <v>7461</v>
      </c>
    </row>
    <row r="2921" spans="1:3">
      <c r="A2921" s="4" t="s">
        <v>7464</v>
      </c>
      <c r="B2921" s="4" t="s">
        <v>7463</v>
      </c>
      <c r="C2921" s="4" t="s">
        <v>7463</v>
      </c>
    </row>
    <row r="2922" spans="1:3">
      <c r="A2922" s="4" t="s">
        <v>7466</v>
      </c>
      <c r="B2922" s="4" t="s">
        <v>7465</v>
      </c>
      <c r="C2922" s="4" t="s">
        <v>7465</v>
      </c>
    </row>
    <row r="2923" spans="1:3">
      <c r="A2923" s="4" t="s">
        <v>7468</v>
      </c>
      <c r="B2923" s="4" t="s">
        <v>7467</v>
      </c>
      <c r="C2923" s="4" t="s">
        <v>7467</v>
      </c>
    </row>
    <row r="2924" spans="1:3">
      <c r="A2924" s="4" t="s">
        <v>7470</v>
      </c>
      <c r="B2924" s="4" t="s">
        <v>7469</v>
      </c>
      <c r="C2924" s="4" t="s">
        <v>7469</v>
      </c>
    </row>
    <row r="2925" spans="1:3">
      <c r="A2925" s="4" t="s">
        <v>7472</v>
      </c>
      <c r="B2925" s="4" t="s">
        <v>7471</v>
      </c>
      <c r="C2925" s="4" t="s">
        <v>7471</v>
      </c>
    </row>
    <row r="2926" spans="1:3">
      <c r="A2926" s="4" t="s">
        <v>7473</v>
      </c>
      <c r="B2926" s="4" t="s">
        <v>7467</v>
      </c>
      <c r="C2926" s="4" t="s">
        <v>7467</v>
      </c>
    </row>
    <row r="2927" spans="1:3">
      <c r="A2927" s="4" t="s">
        <v>7474</v>
      </c>
      <c r="B2927" s="4" t="s">
        <v>7469</v>
      </c>
      <c r="C2927" s="4" t="s">
        <v>7469</v>
      </c>
    </row>
    <row r="2928" spans="1:3">
      <c r="A2928" s="4" t="s">
        <v>7475</v>
      </c>
      <c r="B2928" s="4" t="s">
        <v>7465</v>
      </c>
      <c r="C2928" s="4" t="s">
        <v>7465</v>
      </c>
    </row>
    <row r="2929" spans="1:3">
      <c r="A2929" s="4" t="s">
        <v>7477</v>
      </c>
      <c r="B2929" s="4" t="s">
        <v>7476</v>
      </c>
      <c r="C2929" s="4" t="s">
        <v>7476</v>
      </c>
    </row>
    <row r="2930" spans="1:3">
      <c r="A2930" s="4" t="s">
        <v>7479</v>
      </c>
      <c r="B2930" s="4" t="s">
        <v>7478</v>
      </c>
      <c r="C2930" s="4" t="s">
        <v>7478</v>
      </c>
    </row>
    <row r="2931" spans="1:3">
      <c r="A2931" s="4" t="s">
        <v>7481</v>
      </c>
      <c r="B2931" s="4" t="s">
        <v>7480</v>
      </c>
      <c r="C2931" s="4" t="s">
        <v>7480</v>
      </c>
    </row>
    <row r="2932" spans="1:3">
      <c r="A2932" s="4" t="s">
        <v>7483</v>
      </c>
      <c r="B2932" s="4" t="s">
        <v>7482</v>
      </c>
      <c r="C2932" s="4" t="s">
        <v>7482</v>
      </c>
    </row>
    <row r="2933" spans="1:3">
      <c r="A2933" s="4" t="s">
        <v>7485</v>
      </c>
      <c r="B2933" s="4" t="s">
        <v>7484</v>
      </c>
      <c r="C2933" s="4" t="s">
        <v>7484</v>
      </c>
    </row>
    <row r="2934" spans="1:3">
      <c r="A2934" s="4" t="s">
        <v>7487</v>
      </c>
      <c r="B2934" s="4" t="s">
        <v>7486</v>
      </c>
      <c r="C2934" s="4" t="s">
        <v>7486</v>
      </c>
    </row>
    <row r="2935" spans="1:3">
      <c r="A2935" s="4" t="s">
        <v>7489</v>
      </c>
      <c r="B2935" s="4" t="s">
        <v>7488</v>
      </c>
      <c r="C2935" s="4" t="s">
        <v>7488</v>
      </c>
    </row>
    <row r="2936" spans="1:3">
      <c r="A2936" s="4" t="s">
        <v>7491</v>
      </c>
      <c r="B2936" s="4" t="s">
        <v>7490</v>
      </c>
      <c r="C2936" s="4" t="s">
        <v>7490</v>
      </c>
    </row>
    <row r="2937" spans="1:3">
      <c r="A2937" s="4" t="s">
        <v>7493</v>
      </c>
      <c r="B2937" s="4" t="s">
        <v>7492</v>
      </c>
      <c r="C2937" s="4" t="s">
        <v>7492</v>
      </c>
    </row>
    <row r="2938" spans="1:3">
      <c r="A2938" s="4" t="s">
        <v>7495</v>
      </c>
      <c r="B2938" s="4" t="s">
        <v>7494</v>
      </c>
      <c r="C2938" s="4" t="s">
        <v>7494</v>
      </c>
    </row>
    <row r="2939" spans="1:3">
      <c r="A2939" s="4" t="s">
        <v>7497</v>
      </c>
      <c r="B2939" s="4" t="s">
        <v>7496</v>
      </c>
      <c r="C2939" s="4" t="s">
        <v>7496</v>
      </c>
    </row>
    <row r="2940" spans="1:3">
      <c r="A2940" s="4" t="s">
        <v>7499</v>
      </c>
      <c r="B2940" s="4" t="s">
        <v>7498</v>
      </c>
      <c r="C2940" s="4" t="s">
        <v>7498</v>
      </c>
    </row>
    <row r="2941" spans="1:3">
      <c r="A2941" s="4" t="s">
        <v>7501</v>
      </c>
      <c r="B2941" s="4" t="s">
        <v>7500</v>
      </c>
      <c r="C2941" s="4" t="s">
        <v>7500</v>
      </c>
    </row>
    <row r="2942" spans="1:3">
      <c r="A2942" s="4" t="s">
        <v>7503</v>
      </c>
      <c r="B2942" s="4" t="s">
        <v>7502</v>
      </c>
      <c r="C2942" s="4" t="s">
        <v>7502</v>
      </c>
    </row>
    <row r="2943" spans="1:3">
      <c r="A2943" s="4" t="s">
        <v>7505</v>
      </c>
      <c r="B2943" s="4" t="s">
        <v>7504</v>
      </c>
      <c r="C2943" s="4" t="s">
        <v>7504</v>
      </c>
    </row>
    <row r="2944" spans="1:3">
      <c r="A2944" s="4" t="s">
        <v>7507</v>
      </c>
      <c r="B2944" s="4" t="s">
        <v>7506</v>
      </c>
      <c r="C2944" s="4" t="s">
        <v>7506</v>
      </c>
    </row>
    <row r="2945" spans="1:3">
      <c r="A2945" s="4" t="s">
        <v>7509</v>
      </c>
      <c r="B2945" s="4" t="s">
        <v>7508</v>
      </c>
      <c r="C2945" s="4" t="s">
        <v>7508</v>
      </c>
    </row>
    <row r="2946" spans="1:3">
      <c r="A2946" s="4" t="s">
        <v>5939</v>
      </c>
      <c r="B2946" s="4" t="s">
        <v>7510</v>
      </c>
      <c r="C2946" s="4" t="s">
        <v>7510</v>
      </c>
    </row>
    <row r="2947" spans="1:3">
      <c r="A2947" s="4" t="s">
        <v>7300</v>
      </c>
      <c r="B2947" s="4" t="s">
        <v>7299</v>
      </c>
      <c r="C2947" s="4" t="s">
        <v>7299</v>
      </c>
    </row>
    <row r="2948" spans="1:3">
      <c r="A2948" s="4" t="s">
        <v>7512</v>
      </c>
      <c r="B2948" s="4" t="s">
        <v>7511</v>
      </c>
      <c r="C2948" s="4" t="s">
        <v>7511</v>
      </c>
    </row>
    <row r="2949" spans="1:3">
      <c r="A2949" s="4" t="s">
        <v>7514</v>
      </c>
      <c r="B2949" s="4" t="s">
        <v>7513</v>
      </c>
      <c r="C2949" s="4" t="s">
        <v>7513</v>
      </c>
    </row>
    <row r="2950" spans="1:3">
      <c r="A2950" s="4" t="s">
        <v>7516</v>
      </c>
      <c r="B2950" s="4" t="s">
        <v>7515</v>
      </c>
      <c r="C2950" s="4" t="s">
        <v>7515</v>
      </c>
    </row>
    <row r="2951" spans="1:3">
      <c r="A2951" s="4" t="s">
        <v>7518</v>
      </c>
      <c r="B2951" s="4" t="s">
        <v>7517</v>
      </c>
      <c r="C2951" s="4" t="s">
        <v>7517</v>
      </c>
    </row>
    <row r="2952" spans="1:3">
      <c r="A2952" s="4" t="s">
        <v>7520</v>
      </c>
      <c r="B2952" s="4" t="s">
        <v>7519</v>
      </c>
      <c r="C2952" s="4" t="s">
        <v>7519</v>
      </c>
    </row>
    <row r="2953" spans="1:3">
      <c r="A2953" s="4" t="s">
        <v>7522</v>
      </c>
      <c r="B2953" s="4" t="s">
        <v>7521</v>
      </c>
      <c r="C2953" s="4" t="s">
        <v>7521</v>
      </c>
    </row>
    <row r="2954" spans="1:3">
      <c r="A2954" s="4" t="s">
        <v>7524</v>
      </c>
      <c r="B2954" s="4" t="s">
        <v>7523</v>
      </c>
      <c r="C2954" s="4" t="s">
        <v>7523</v>
      </c>
    </row>
    <row r="2955" spans="1:3">
      <c r="A2955" s="4" t="s">
        <v>7526</v>
      </c>
      <c r="B2955" s="4" t="s">
        <v>7525</v>
      </c>
      <c r="C2955" s="4" t="s">
        <v>7525</v>
      </c>
    </row>
    <row r="2956" spans="1:3">
      <c r="A2956" s="4" t="s">
        <v>7527</v>
      </c>
      <c r="B2956" s="4" t="s">
        <v>6025</v>
      </c>
      <c r="C2956" s="4" t="s">
        <v>6025</v>
      </c>
    </row>
    <row r="2957" spans="1:3">
      <c r="A2957" s="4" t="s">
        <v>7529</v>
      </c>
      <c r="B2957" s="4" t="s">
        <v>7528</v>
      </c>
      <c r="C2957" s="4" t="s">
        <v>7528</v>
      </c>
    </row>
    <row r="2958" spans="1:3">
      <c r="A2958" s="4" t="s">
        <v>7531</v>
      </c>
      <c r="B2958" s="4" t="s">
        <v>7530</v>
      </c>
      <c r="C2958" s="4" t="s">
        <v>7530</v>
      </c>
    </row>
    <row r="2959" spans="1:3">
      <c r="A2959" s="4" t="s">
        <v>7532</v>
      </c>
      <c r="B2959" s="4" t="s">
        <v>5923</v>
      </c>
      <c r="C2959" s="4" t="s">
        <v>5923</v>
      </c>
    </row>
    <row r="2960" spans="1:3">
      <c r="A2960" s="4" t="s">
        <v>7533</v>
      </c>
      <c r="B2960" s="4" t="s">
        <v>5924</v>
      </c>
      <c r="C2960" s="4" t="s">
        <v>5924</v>
      </c>
    </row>
    <row r="2961" spans="1:3">
      <c r="A2961" s="4" t="s">
        <v>7535</v>
      </c>
      <c r="B2961" s="4" t="s">
        <v>7534</v>
      </c>
      <c r="C2961" s="4" t="s">
        <v>7534</v>
      </c>
    </row>
    <row r="2962" spans="1:3">
      <c r="A2962" s="4" t="s">
        <v>7537</v>
      </c>
      <c r="B2962" s="4" t="s">
        <v>7536</v>
      </c>
      <c r="C2962" s="4" t="s">
        <v>7536</v>
      </c>
    </row>
    <row r="2963" spans="1:3">
      <c r="A2963" s="4" t="s">
        <v>7539</v>
      </c>
      <c r="B2963" s="4" t="s">
        <v>7538</v>
      </c>
      <c r="C2963" s="4" t="s">
        <v>7538</v>
      </c>
    </row>
    <row r="2964" spans="1:3">
      <c r="A2964" s="4" t="s">
        <v>7541</v>
      </c>
      <c r="B2964" s="4" t="s">
        <v>7540</v>
      </c>
      <c r="C2964" s="4" t="s">
        <v>7540</v>
      </c>
    </row>
    <row r="2965" spans="1:3">
      <c r="A2965" s="4" t="s">
        <v>7138</v>
      </c>
      <c r="B2965" s="4" t="s">
        <v>7542</v>
      </c>
      <c r="C2965" s="4" t="s">
        <v>7542</v>
      </c>
    </row>
    <row r="2966" spans="1:3">
      <c r="A2966" s="4" t="s">
        <v>7544</v>
      </c>
      <c r="B2966" s="4" t="s">
        <v>7543</v>
      </c>
      <c r="C2966" s="4" t="s">
        <v>7543</v>
      </c>
    </row>
    <row r="2967" spans="1:3">
      <c r="A2967" s="4" t="s">
        <v>7546</v>
      </c>
      <c r="B2967" s="4" t="s">
        <v>7545</v>
      </c>
      <c r="C2967" s="4" t="s">
        <v>7545</v>
      </c>
    </row>
    <row r="2968" spans="1:3">
      <c r="A2968" s="4" t="s">
        <v>7548</v>
      </c>
      <c r="B2968" s="4" t="s">
        <v>7547</v>
      </c>
      <c r="C2968" s="4" t="s">
        <v>7547</v>
      </c>
    </row>
    <row r="2969" spans="1:3">
      <c r="A2969" s="4" t="s">
        <v>7550</v>
      </c>
      <c r="B2969" s="4" t="s">
        <v>7549</v>
      </c>
      <c r="C2969" s="4" t="s">
        <v>7549</v>
      </c>
    </row>
    <row r="2970" spans="1:3">
      <c r="A2970" s="4" t="s">
        <v>7552</v>
      </c>
      <c r="B2970" s="4" t="s">
        <v>7551</v>
      </c>
      <c r="C2970" s="4" t="s">
        <v>7551</v>
      </c>
    </row>
    <row r="2971" spans="1:3">
      <c r="A2971" s="4" t="s">
        <v>7554</v>
      </c>
      <c r="B2971" s="4" t="s">
        <v>7553</v>
      </c>
      <c r="C2971" s="4" t="s">
        <v>7553</v>
      </c>
    </row>
    <row r="2972" spans="1:3">
      <c r="A2972" s="4" t="s">
        <v>7556</v>
      </c>
      <c r="B2972" s="4" t="s">
        <v>7555</v>
      </c>
      <c r="C2972" s="4" t="s">
        <v>7555</v>
      </c>
    </row>
    <row r="2973" spans="1:3">
      <c r="A2973" s="4" t="s">
        <v>7558</v>
      </c>
      <c r="B2973" s="4" t="s">
        <v>7557</v>
      </c>
      <c r="C2973" s="4" t="s">
        <v>7557</v>
      </c>
    </row>
    <row r="2974" spans="1:3">
      <c r="A2974" s="4" t="s">
        <v>7560</v>
      </c>
      <c r="B2974" s="4" t="s">
        <v>7559</v>
      </c>
      <c r="C2974" s="4" t="s">
        <v>7559</v>
      </c>
    </row>
    <row r="2975" spans="1:3">
      <c r="A2975" s="4" t="s">
        <v>7562</v>
      </c>
      <c r="B2975" s="4" t="s">
        <v>7561</v>
      </c>
      <c r="C2975" s="4" t="s">
        <v>7561</v>
      </c>
    </row>
    <row r="2976" spans="1:3">
      <c r="A2976" s="4" t="s">
        <v>7564</v>
      </c>
      <c r="B2976" s="4" t="s">
        <v>7563</v>
      </c>
      <c r="C2976" s="4" t="s">
        <v>7563</v>
      </c>
    </row>
    <row r="2977" spans="1:3">
      <c r="A2977" s="4" t="s">
        <v>7566</v>
      </c>
      <c r="B2977" s="4" t="s">
        <v>7565</v>
      </c>
      <c r="C2977" s="4" t="s">
        <v>7565</v>
      </c>
    </row>
    <row r="2978" spans="1:3">
      <c r="A2978" s="4" t="s">
        <v>7568</v>
      </c>
      <c r="B2978" s="4" t="s">
        <v>7567</v>
      </c>
      <c r="C2978" s="4" t="s">
        <v>7567</v>
      </c>
    </row>
    <row r="2979" spans="1:3">
      <c r="A2979" s="4" t="s">
        <v>7570</v>
      </c>
      <c r="B2979" s="4" t="s">
        <v>7569</v>
      </c>
      <c r="C2979" s="4" t="s">
        <v>7569</v>
      </c>
    </row>
    <row r="2980" spans="1:3">
      <c r="A2980" s="4" t="s">
        <v>7572</v>
      </c>
      <c r="B2980" s="4" t="s">
        <v>7571</v>
      </c>
      <c r="C2980" s="4" t="s">
        <v>7571</v>
      </c>
    </row>
    <row r="2981" spans="1:3">
      <c r="A2981" s="4" t="s">
        <v>7574</v>
      </c>
      <c r="B2981" s="4" t="s">
        <v>7573</v>
      </c>
      <c r="C2981" s="4" t="s">
        <v>7573</v>
      </c>
    </row>
    <row r="2982" spans="1:3">
      <c r="A2982" s="4" t="s">
        <v>7576</v>
      </c>
      <c r="B2982" s="4" t="s">
        <v>7575</v>
      </c>
      <c r="C2982" s="4" t="s">
        <v>7575</v>
      </c>
    </row>
    <row r="2983" spans="1:3">
      <c r="A2983" s="4" t="s">
        <v>7578</v>
      </c>
      <c r="B2983" s="4" t="s">
        <v>7577</v>
      </c>
      <c r="C2983" s="4" t="s">
        <v>7577</v>
      </c>
    </row>
    <row r="2984" spans="1:3">
      <c r="A2984" s="4" t="s">
        <v>7580</v>
      </c>
      <c r="B2984" s="4" t="s">
        <v>7579</v>
      </c>
      <c r="C2984" s="4" t="s">
        <v>7579</v>
      </c>
    </row>
    <row r="2985" spans="1:3">
      <c r="A2985" s="4" t="s">
        <v>5914</v>
      </c>
      <c r="B2985" s="4" t="s">
        <v>5915</v>
      </c>
      <c r="C2985" s="4" t="s">
        <v>5915</v>
      </c>
    </row>
    <row r="2986" spans="1:3">
      <c r="A2986" s="4" t="s">
        <v>7404</v>
      </c>
      <c r="B2986" s="4" t="s">
        <v>7403</v>
      </c>
      <c r="C2986" s="4" t="s">
        <v>7403</v>
      </c>
    </row>
    <row r="2987" spans="1:3">
      <c r="A2987" s="4" t="s">
        <v>7582</v>
      </c>
      <c r="B2987" s="4" t="s">
        <v>7581</v>
      </c>
      <c r="C2987" s="4" t="s">
        <v>7581</v>
      </c>
    </row>
    <row r="2988" spans="1:3">
      <c r="A2988" s="4" t="s">
        <v>7584</v>
      </c>
      <c r="B2988" s="4" t="s">
        <v>7583</v>
      </c>
      <c r="C2988" s="4" t="s">
        <v>7583</v>
      </c>
    </row>
    <row r="2989" spans="1:3">
      <c r="A2989" s="4" t="s">
        <v>7586</v>
      </c>
      <c r="B2989" s="4" t="s">
        <v>7585</v>
      </c>
      <c r="C2989" s="4" t="s">
        <v>7585</v>
      </c>
    </row>
    <row r="2990" spans="1:3">
      <c r="A2990" s="4" t="s">
        <v>7507</v>
      </c>
      <c r="B2990" s="4" t="s">
        <v>7506</v>
      </c>
      <c r="C2990" s="4" t="s">
        <v>7506</v>
      </c>
    </row>
    <row r="2991" spans="1:3">
      <c r="A2991" s="4" t="s">
        <v>7588</v>
      </c>
      <c r="B2991" s="4" t="s">
        <v>7587</v>
      </c>
      <c r="C2991" s="4" t="s">
        <v>7587</v>
      </c>
    </row>
    <row r="2992" spans="1:3">
      <c r="A2992" s="4" t="s">
        <v>7590</v>
      </c>
      <c r="B2992" s="4" t="s">
        <v>7589</v>
      </c>
      <c r="C2992" s="4" t="s">
        <v>7589</v>
      </c>
    </row>
    <row r="2993" spans="1:3">
      <c r="A2993" s="4" t="s">
        <v>7592</v>
      </c>
      <c r="B2993" s="4" t="s">
        <v>7591</v>
      </c>
      <c r="C2993" s="4" t="s">
        <v>7591</v>
      </c>
    </row>
    <row r="2994" spans="1:3">
      <c r="A2994" s="4" t="s">
        <v>7594</v>
      </c>
      <c r="B2994" s="4" t="s">
        <v>7593</v>
      </c>
      <c r="C2994" s="4" t="s">
        <v>7593</v>
      </c>
    </row>
    <row r="2995" spans="1:3">
      <c r="A2995" s="4" t="s">
        <v>7596</v>
      </c>
      <c r="B2995" s="4" t="s">
        <v>7595</v>
      </c>
      <c r="C2995" s="4" t="s">
        <v>7595</v>
      </c>
    </row>
    <row r="2996" spans="1:3">
      <c r="A2996" s="4" t="s">
        <v>7598</v>
      </c>
      <c r="B2996" s="4" t="s">
        <v>7597</v>
      </c>
      <c r="C2996" s="4" t="s">
        <v>7597</v>
      </c>
    </row>
    <row r="2997" spans="1:3">
      <c r="A2997" s="4" t="s">
        <v>7600</v>
      </c>
      <c r="B2997" s="4" t="s">
        <v>7599</v>
      </c>
      <c r="C2997" s="4" t="s">
        <v>7599</v>
      </c>
    </row>
    <row r="2998" spans="1:3">
      <c r="A2998" s="4" t="s">
        <v>7552</v>
      </c>
      <c r="B2998" s="4" t="s">
        <v>7551</v>
      </c>
      <c r="C2998" s="4" t="s">
        <v>7551</v>
      </c>
    </row>
    <row r="2999" spans="1:3">
      <c r="A2999" s="4" t="s">
        <v>7514</v>
      </c>
      <c r="B2999" s="4" t="s">
        <v>7513</v>
      </c>
      <c r="C2999" s="4" t="s">
        <v>7513</v>
      </c>
    </row>
    <row r="3000" spans="1:3">
      <c r="A3000" s="4" t="s">
        <v>7602</v>
      </c>
      <c r="B3000" s="4" t="s">
        <v>7601</v>
      </c>
      <c r="C3000" s="4" t="s">
        <v>7601</v>
      </c>
    </row>
    <row r="3001" spans="1:3">
      <c r="A3001" s="4" t="s">
        <v>7604</v>
      </c>
      <c r="B3001" s="4" t="s">
        <v>7603</v>
      </c>
      <c r="C3001" s="4" t="s">
        <v>7603</v>
      </c>
    </row>
    <row r="3002" spans="1:3">
      <c r="A3002" s="4" t="s">
        <v>7606</v>
      </c>
      <c r="B3002" s="4" t="s">
        <v>7605</v>
      </c>
      <c r="C3002" s="4" t="s">
        <v>7605</v>
      </c>
    </row>
    <row r="3003" spans="1:3">
      <c r="A3003" s="4" t="s">
        <v>7608</v>
      </c>
      <c r="B3003" s="4" t="s">
        <v>7607</v>
      </c>
      <c r="C3003" s="4" t="s">
        <v>7607</v>
      </c>
    </row>
    <row r="3004" spans="1:3">
      <c r="A3004" s="4" t="s">
        <v>7610</v>
      </c>
      <c r="B3004" s="4" t="s">
        <v>7609</v>
      </c>
      <c r="C3004" s="4" t="s">
        <v>7609</v>
      </c>
    </row>
    <row r="3005" spans="1:3">
      <c r="A3005" s="4" t="s">
        <v>7611</v>
      </c>
      <c r="B3005" s="4" t="s">
        <v>6022</v>
      </c>
      <c r="C3005" s="4" t="s">
        <v>6022</v>
      </c>
    </row>
    <row r="3006" spans="1:3">
      <c r="A3006" s="4" t="s">
        <v>7613</v>
      </c>
      <c r="B3006" s="4" t="s">
        <v>7612</v>
      </c>
      <c r="C3006" s="4" t="s">
        <v>7612</v>
      </c>
    </row>
    <row r="3007" spans="1:3">
      <c r="A3007" s="4" t="s">
        <v>6380</v>
      </c>
      <c r="B3007" s="4" t="s">
        <v>7614</v>
      </c>
      <c r="C3007" s="4" t="s">
        <v>7614</v>
      </c>
    </row>
    <row r="3008" spans="1:3">
      <c r="A3008" s="4" t="s">
        <v>7615</v>
      </c>
      <c r="B3008" s="4" t="s">
        <v>6023</v>
      </c>
      <c r="C3008" s="4" t="s">
        <v>6023</v>
      </c>
    </row>
    <row r="3009" spans="1:3">
      <c r="A3009" s="4" t="s">
        <v>7617</v>
      </c>
      <c r="B3009" s="4" t="s">
        <v>7616</v>
      </c>
      <c r="C3009" s="4" t="s">
        <v>7616</v>
      </c>
    </row>
    <row r="3010" spans="1:3">
      <c r="A3010" s="4" t="s">
        <v>6383</v>
      </c>
      <c r="B3010" s="4" t="s">
        <v>7618</v>
      </c>
      <c r="C3010" s="4" t="s">
        <v>7618</v>
      </c>
    </row>
    <row r="3011" spans="1:3">
      <c r="A3011" s="4" t="s">
        <v>7620</v>
      </c>
      <c r="B3011" s="4" t="s">
        <v>7619</v>
      </c>
      <c r="C3011" s="4" t="s">
        <v>7619</v>
      </c>
    </row>
    <row r="3012" spans="1:3">
      <c r="A3012" s="4" t="s">
        <v>7622</v>
      </c>
      <c r="B3012" s="4" t="s">
        <v>7621</v>
      </c>
      <c r="C3012" s="4" t="s">
        <v>7621</v>
      </c>
    </row>
    <row r="3013" spans="1:3">
      <c r="A3013" s="4" t="s">
        <v>7624</v>
      </c>
      <c r="B3013" s="4" t="s">
        <v>7623</v>
      </c>
      <c r="C3013" s="4" t="s">
        <v>7623</v>
      </c>
    </row>
    <row r="3014" spans="1:3">
      <c r="A3014" s="4" t="s">
        <v>7626</v>
      </c>
      <c r="B3014" s="4" t="s">
        <v>7625</v>
      </c>
      <c r="C3014" s="4" t="s">
        <v>7625</v>
      </c>
    </row>
    <row r="3015" spans="1:3">
      <c r="A3015" s="4" t="s">
        <v>7628</v>
      </c>
      <c r="B3015" s="4" t="s">
        <v>7627</v>
      </c>
      <c r="C3015" s="4" t="s">
        <v>7627</v>
      </c>
    </row>
    <row r="3016" spans="1:3">
      <c r="A3016" s="4" t="s">
        <v>7630</v>
      </c>
      <c r="B3016" s="4" t="s">
        <v>7629</v>
      </c>
      <c r="C3016" s="4" t="s">
        <v>7629</v>
      </c>
    </row>
    <row r="3017" spans="1:3">
      <c r="A3017" s="4" t="s">
        <v>7632</v>
      </c>
      <c r="B3017" s="4" t="s">
        <v>7631</v>
      </c>
      <c r="C3017" s="4" t="s">
        <v>7631</v>
      </c>
    </row>
    <row r="3018" spans="1:3">
      <c r="A3018" s="4" t="s">
        <v>7634</v>
      </c>
      <c r="B3018" s="4" t="s">
        <v>7633</v>
      </c>
      <c r="C3018" s="4" t="s">
        <v>7633</v>
      </c>
    </row>
    <row r="3019" spans="1:3">
      <c r="A3019" s="4" t="s">
        <v>7636</v>
      </c>
      <c r="B3019" s="4" t="s">
        <v>7635</v>
      </c>
      <c r="C3019" s="4" t="s">
        <v>7635</v>
      </c>
    </row>
    <row r="3020" spans="1:3">
      <c r="A3020" s="4" t="s">
        <v>7638</v>
      </c>
      <c r="B3020" s="4" t="s">
        <v>7637</v>
      </c>
      <c r="C3020" s="4" t="s">
        <v>7637</v>
      </c>
    </row>
    <row r="3021" spans="1:3">
      <c r="A3021" s="4" t="s">
        <v>7640</v>
      </c>
      <c r="B3021" s="4" t="s">
        <v>7639</v>
      </c>
      <c r="C3021" s="4" t="s">
        <v>7639</v>
      </c>
    </row>
    <row r="3022" spans="1:3">
      <c r="A3022" s="4" t="s">
        <v>7642</v>
      </c>
      <c r="B3022" s="4" t="s">
        <v>7641</v>
      </c>
      <c r="C3022" s="4" t="s">
        <v>7641</v>
      </c>
    </row>
    <row r="3023" spans="1:3">
      <c r="A3023" s="4" t="s">
        <v>7644</v>
      </c>
      <c r="B3023" s="4" t="s">
        <v>7643</v>
      </c>
      <c r="C3023" s="4" t="s">
        <v>7643</v>
      </c>
    </row>
    <row r="3024" spans="1:3">
      <c r="A3024" s="4" t="s">
        <v>7646</v>
      </c>
      <c r="B3024" s="4" t="s">
        <v>7645</v>
      </c>
      <c r="C3024" s="4" t="s">
        <v>7645</v>
      </c>
    </row>
    <row r="3025" spans="1:3">
      <c r="A3025" s="4" t="s">
        <v>7648</v>
      </c>
      <c r="B3025" s="4" t="s">
        <v>7647</v>
      </c>
      <c r="C3025" s="4" t="s">
        <v>7647</v>
      </c>
    </row>
    <row r="3026" spans="1:3">
      <c r="A3026" s="4" t="s">
        <v>7650</v>
      </c>
      <c r="B3026" s="4" t="s">
        <v>7649</v>
      </c>
      <c r="C3026" s="4" t="s">
        <v>7649</v>
      </c>
    </row>
    <row r="3027" spans="1:3">
      <c r="A3027" s="4" t="s">
        <v>7652</v>
      </c>
      <c r="B3027" s="4" t="s">
        <v>7651</v>
      </c>
      <c r="C3027" s="4" t="s">
        <v>7651</v>
      </c>
    </row>
    <row r="3028" spans="1:3">
      <c r="A3028" s="4" t="s">
        <v>7654</v>
      </c>
      <c r="B3028" s="4" t="s">
        <v>7653</v>
      </c>
      <c r="C3028" s="4" t="s">
        <v>7653</v>
      </c>
    </row>
    <row r="3029" spans="1:3">
      <c r="A3029" s="4" t="s">
        <v>7656</v>
      </c>
      <c r="B3029" s="4" t="s">
        <v>7655</v>
      </c>
      <c r="C3029" s="4" t="s">
        <v>7655</v>
      </c>
    </row>
    <row r="3030" spans="1:3">
      <c r="A3030" s="4" t="s">
        <v>7658</v>
      </c>
      <c r="B3030" s="4" t="s">
        <v>7657</v>
      </c>
      <c r="C3030" s="4" t="s">
        <v>7657</v>
      </c>
    </row>
    <row r="3031" spans="1:3">
      <c r="A3031" s="4" t="s">
        <v>7660</v>
      </c>
      <c r="B3031" s="4" t="s">
        <v>7659</v>
      </c>
      <c r="C3031" s="4" t="s">
        <v>7659</v>
      </c>
    </row>
    <row r="3032" spans="1:3">
      <c r="A3032" s="4" t="s">
        <v>7662</v>
      </c>
      <c r="B3032" s="4" t="s">
        <v>7661</v>
      </c>
      <c r="C3032" s="4" t="s">
        <v>7661</v>
      </c>
    </row>
    <row r="3033" spans="1:3">
      <c r="A3033" s="4" t="s">
        <v>7664</v>
      </c>
      <c r="B3033" s="4" t="s">
        <v>7663</v>
      </c>
      <c r="C3033" s="4" t="s">
        <v>7663</v>
      </c>
    </row>
    <row r="3034" spans="1:3">
      <c r="A3034" s="4" t="s">
        <v>7666</v>
      </c>
      <c r="B3034" s="4" t="s">
        <v>7665</v>
      </c>
      <c r="C3034" s="4" t="s">
        <v>7665</v>
      </c>
    </row>
    <row r="3035" spans="1:3">
      <c r="A3035" s="4" t="s">
        <v>7668</v>
      </c>
      <c r="B3035" s="4" t="s">
        <v>7667</v>
      </c>
      <c r="C3035" s="4" t="s">
        <v>7667</v>
      </c>
    </row>
    <row r="3036" spans="1:3">
      <c r="A3036" s="4" t="s">
        <v>7670</v>
      </c>
      <c r="B3036" s="4" t="s">
        <v>7669</v>
      </c>
      <c r="C3036" s="4" t="s">
        <v>7669</v>
      </c>
    </row>
    <row r="3037" spans="1:3">
      <c r="A3037" s="4" t="s">
        <v>7672</v>
      </c>
      <c r="B3037" s="4" t="s">
        <v>7671</v>
      </c>
      <c r="C3037" s="4" t="s">
        <v>7671</v>
      </c>
    </row>
    <row r="3038" spans="1:3">
      <c r="A3038" s="4" t="s">
        <v>7674</v>
      </c>
      <c r="B3038" s="4" t="s">
        <v>7673</v>
      </c>
      <c r="C3038" s="4" t="s">
        <v>7673</v>
      </c>
    </row>
    <row r="3039" spans="1:3">
      <c r="A3039" s="4" t="s">
        <v>7676</v>
      </c>
      <c r="B3039" s="4" t="s">
        <v>7675</v>
      </c>
      <c r="C3039" s="4" t="s">
        <v>7675</v>
      </c>
    </row>
    <row r="3040" spans="1:3">
      <c r="A3040" s="4" t="s">
        <v>7678</v>
      </c>
      <c r="B3040" s="4" t="s">
        <v>7677</v>
      </c>
      <c r="C3040" s="4" t="s">
        <v>7677</v>
      </c>
    </row>
    <row r="3041" spans="1:3">
      <c r="A3041" s="4" t="s">
        <v>7680</v>
      </c>
      <c r="B3041" s="4" t="s">
        <v>7679</v>
      </c>
      <c r="C3041" s="4" t="s">
        <v>7679</v>
      </c>
    </row>
    <row r="3042" spans="1:3">
      <c r="A3042" s="4" t="s">
        <v>7682</v>
      </c>
      <c r="B3042" s="4" t="s">
        <v>7681</v>
      </c>
      <c r="C3042" s="4" t="s">
        <v>7681</v>
      </c>
    </row>
    <row r="3043" spans="1:3">
      <c r="A3043" s="4" t="s">
        <v>7684</v>
      </c>
      <c r="B3043" s="4" t="s">
        <v>7683</v>
      </c>
      <c r="C3043" s="4" t="s">
        <v>7683</v>
      </c>
    </row>
    <row r="3044" spans="1:3">
      <c r="A3044" s="4" t="s">
        <v>7686</v>
      </c>
      <c r="B3044" s="4" t="s">
        <v>7685</v>
      </c>
      <c r="C3044" s="4" t="s">
        <v>7685</v>
      </c>
    </row>
    <row r="3045" spans="1:3">
      <c r="A3045" s="4" t="s">
        <v>6383</v>
      </c>
      <c r="B3045" s="4" t="s">
        <v>7687</v>
      </c>
      <c r="C3045" s="4" t="s">
        <v>7687</v>
      </c>
    </row>
    <row r="3046" spans="1:3">
      <c r="A3046" s="4" t="s">
        <v>7689</v>
      </c>
      <c r="B3046" s="4" t="s">
        <v>7688</v>
      </c>
      <c r="C3046" s="4" t="s">
        <v>7688</v>
      </c>
    </row>
    <row r="3047" spans="1:3">
      <c r="A3047" s="4" t="s">
        <v>7691</v>
      </c>
      <c r="B3047" s="4" t="s">
        <v>7690</v>
      </c>
      <c r="C3047" s="4" t="s">
        <v>7690</v>
      </c>
    </row>
    <row r="3048" spans="1:3">
      <c r="A3048" s="4" t="s">
        <v>7634</v>
      </c>
      <c r="B3048" s="4" t="s">
        <v>7692</v>
      </c>
      <c r="C3048" s="4" t="s">
        <v>7692</v>
      </c>
    </row>
    <row r="3049" spans="1:3">
      <c r="A3049" s="4" t="s">
        <v>7694</v>
      </c>
      <c r="B3049" s="4" t="s">
        <v>7693</v>
      </c>
      <c r="C3049" s="4" t="s">
        <v>7693</v>
      </c>
    </row>
    <row r="3050" spans="1:3">
      <c r="A3050" s="4" t="s">
        <v>7626</v>
      </c>
      <c r="B3050" s="4" t="s">
        <v>7695</v>
      </c>
      <c r="C3050" s="4" t="s">
        <v>7695</v>
      </c>
    </row>
    <row r="3051" spans="1:3">
      <c r="A3051" s="4" t="s">
        <v>7666</v>
      </c>
      <c r="B3051" s="4" t="s">
        <v>7696</v>
      </c>
      <c r="C3051" s="4" t="s">
        <v>7696</v>
      </c>
    </row>
    <row r="3052" spans="1:3">
      <c r="A3052" s="4" t="s">
        <v>7698</v>
      </c>
      <c r="B3052" s="4" t="s">
        <v>7697</v>
      </c>
      <c r="C3052" s="4" t="s">
        <v>7697</v>
      </c>
    </row>
    <row r="3053" spans="1:3">
      <c r="A3053" s="4" t="s">
        <v>7700</v>
      </c>
      <c r="B3053" s="4" t="s">
        <v>7699</v>
      </c>
      <c r="C3053" s="4" t="s">
        <v>7699</v>
      </c>
    </row>
    <row r="3054" spans="1:3">
      <c r="A3054" s="4" t="s">
        <v>7702</v>
      </c>
      <c r="B3054" s="4" t="s">
        <v>7701</v>
      </c>
      <c r="C3054" s="4" t="s">
        <v>7701</v>
      </c>
    </row>
    <row r="3055" spans="1:3">
      <c r="A3055" s="4" t="s">
        <v>7668</v>
      </c>
      <c r="B3055" s="4" t="s">
        <v>7703</v>
      </c>
      <c r="C3055" s="4" t="s">
        <v>7703</v>
      </c>
    </row>
    <row r="3056" spans="1:3">
      <c r="A3056" s="4" t="s">
        <v>7670</v>
      </c>
      <c r="B3056" s="4" t="s">
        <v>7704</v>
      </c>
      <c r="C3056" s="4" t="s">
        <v>7704</v>
      </c>
    </row>
    <row r="3057" spans="1:3">
      <c r="A3057" s="4" t="s">
        <v>7672</v>
      </c>
      <c r="B3057" s="4" t="s">
        <v>7705</v>
      </c>
      <c r="C3057" s="4" t="s">
        <v>7705</v>
      </c>
    </row>
    <row r="3058" spans="1:3">
      <c r="A3058" s="4" t="s">
        <v>7707</v>
      </c>
      <c r="B3058" s="4" t="s">
        <v>7706</v>
      </c>
      <c r="C3058" s="4" t="s">
        <v>7706</v>
      </c>
    </row>
    <row r="3059" spans="1:3">
      <c r="A3059" s="4" t="s">
        <v>7709</v>
      </c>
      <c r="B3059" s="4" t="s">
        <v>7708</v>
      </c>
      <c r="C3059" s="4" t="s">
        <v>7708</v>
      </c>
    </row>
    <row r="3060" spans="1:3">
      <c r="A3060" s="4" t="s">
        <v>7711</v>
      </c>
      <c r="B3060" s="4" t="s">
        <v>7710</v>
      </c>
      <c r="C3060" s="4" t="s">
        <v>7710</v>
      </c>
    </row>
    <row r="3061" spans="1:3">
      <c r="A3061" s="4" t="s">
        <v>7648</v>
      </c>
      <c r="B3061" s="4" t="s">
        <v>7712</v>
      </c>
      <c r="C3061" s="4" t="s">
        <v>7712</v>
      </c>
    </row>
    <row r="3062" spans="1:3">
      <c r="A3062" s="4" t="s">
        <v>7650</v>
      </c>
      <c r="B3062" s="4" t="s">
        <v>7713</v>
      </c>
      <c r="C3062" s="4" t="s">
        <v>7713</v>
      </c>
    </row>
    <row r="3063" spans="1:3">
      <c r="A3063" s="4" t="s">
        <v>7715</v>
      </c>
      <c r="B3063" s="4" t="s">
        <v>7714</v>
      </c>
      <c r="C3063" s="4" t="s">
        <v>7714</v>
      </c>
    </row>
    <row r="3064" spans="1:3">
      <c r="A3064" s="4" t="s">
        <v>7717</v>
      </c>
      <c r="B3064" s="4" t="s">
        <v>7716</v>
      </c>
      <c r="C3064" s="4" t="s">
        <v>7716</v>
      </c>
    </row>
    <row r="3065" spans="1:3">
      <c r="A3065" s="4" t="s">
        <v>7719</v>
      </c>
      <c r="B3065" s="4" t="s">
        <v>7718</v>
      </c>
      <c r="C3065" s="4" t="s">
        <v>7718</v>
      </c>
    </row>
    <row r="3066" spans="1:3">
      <c r="A3066" s="4" t="s">
        <v>7721</v>
      </c>
      <c r="B3066" s="4" t="s">
        <v>7720</v>
      </c>
      <c r="C3066" s="4" t="s">
        <v>7720</v>
      </c>
    </row>
    <row r="3067" spans="1:3">
      <c r="A3067" s="4" t="s">
        <v>7723</v>
      </c>
      <c r="B3067" s="4" t="s">
        <v>7722</v>
      </c>
      <c r="C3067" s="4" t="s">
        <v>7722</v>
      </c>
    </row>
    <row r="3068" spans="1:3">
      <c r="A3068" s="4" t="s">
        <v>7725</v>
      </c>
      <c r="B3068" s="4" t="s">
        <v>7724</v>
      </c>
      <c r="C3068" s="4" t="s">
        <v>7724</v>
      </c>
    </row>
    <row r="3069" spans="1:3">
      <c r="A3069" s="4" t="s">
        <v>7727</v>
      </c>
      <c r="B3069" s="4" t="s">
        <v>7726</v>
      </c>
      <c r="C3069" s="4" t="s">
        <v>7726</v>
      </c>
    </row>
    <row r="3070" spans="1:3">
      <c r="A3070" s="4" t="s">
        <v>7729</v>
      </c>
      <c r="B3070" s="4" t="s">
        <v>7728</v>
      </c>
      <c r="C3070" s="4" t="s">
        <v>7728</v>
      </c>
    </row>
    <row r="3071" spans="1:3">
      <c r="A3071" s="4" t="s">
        <v>7731</v>
      </c>
      <c r="B3071" s="4" t="s">
        <v>7730</v>
      </c>
      <c r="C3071" s="4" t="s">
        <v>7730</v>
      </c>
    </row>
    <row r="3072" spans="1:3">
      <c r="A3072" s="4" t="s">
        <v>7733</v>
      </c>
      <c r="B3072" s="4" t="s">
        <v>7732</v>
      </c>
      <c r="C3072" s="4" t="s">
        <v>7732</v>
      </c>
    </row>
    <row r="3073" spans="1:3">
      <c r="A3073" s="4" t="s">
        <v>7735</v>
      </c>
      <c r="B3073" s="4" t="s">
        <v>7734</v>
      </c>
      <c r="C3073" s="4" t="s">
        <v>7734</v>
      </c>
    </row>
    <row r="3074" spans="1:3">
      <c r="A3074" s="4" t="s">
        <v>7737</v>
      </c>
      <c r="B3074" s="4" t="s">
        <v>7736</v>
      </c>
      <c r="C3074" s="4" t="s">
        <v>7736</v>
      </c>
    </row>
    <row r="3075" spans="1:3">
      <c r="A3075" s="4" t="s">
        <v>7739</v>
      </c>
      <c r="B3075" s="4" t="s">
        <v>7738</v>
      </c>
      <c r="C3075" s="4" t="s">
        <v>7738</v>
      </c>
    </row>
    <row r="3076" spans="1:3">
      <c r="A3076" s="4" t="s">
        <v>7620</v>
      </c>
      <c r="B3076" s="4" t="s">
        <v>7619</v>
      </c>
      <c r="C3076" s="4" t="s">
        <v>7619</v>
      </c>
    </row>
    <row r="3077" spans="1:3">
      <c r="A3077" s="4" t="s">
        <v>7741</v>
      </c>
      <c r="B3077" s="4" t="s">
        <v>7740</v>
      </c>
      <c r="C3077" s="4" t="s">
        <v>7740</v>
      </c>
    </row>
    <row r="3078" spans="1:3">
      <c r="A3078" s="4" t="s">
        <v>7743</v>
      </c>
      <c r="B3078" s="4" t="s">
        <v>7742</v>
      </c>
      <c r="C3078" s="4" t="s">
        <v>7742</v>
      </c>
    </row>
    <row r="3079" spans="1:3">
      <c r="A3079" s="4" t="s">
        <v>7745</v>
      </c>
      <c r="B3079" s="4" t="s">
        <v>7744</v>
      </c>
      <c r="C3079" s="4" t="s">
        <v>7744</v>
      </c>
    </row>
    <row r="3080" spans="1:3">
      <c r="A3080" s="4" t="s">
        <v>7501</v>
      </c>
      <c r="B3080" s="4" t="s">
        <v>7746</v>
      </c>
      <c r="C3080" s="4" t="s">
        <v>7746</v>
      </c>
    </row>
    <row r="3081" spans="1:3">
      <c r="A3081" s="4" t="s">
        <v>7748</v>
      </c>
      <c r="B3081" s="4" t="s">
        <v>7747</v>
      </c>
      <c r="C3081" s="4" t="s">
        <v>7747</v>
      </c>
    </row>
    <row r="3082" spans="1:3">
      <c r="A3082" s="4" t="s">
        <v>7750</v>
      </c>
      <c r="B3082" s="4" t="s">
        <v>7749</v>
      </c>
      <c r="C3082" s="4" t="s">
        <v>7749</v>
      </c>
    </row>
    <row r="3083" spans="1:3">
      <c r="A3083" s="4" t="s">
        <v>7592</v>
      </c>
      <c r="B3083" s="4" t="s">
        <v>7591</v>
      </c>
      <c r="C3083" s="4" t="s">
        <v>7591</v>
      </c>
    </row>
    <row r="3084" spans="1:3">
      <c r="A3084" s="4" t="s">
        <v>7752</v>
      </c>
      <c r="B3084" s="4" t="s">
        <v>7751</v>
      </c>
      <c r="C3084" s="4" t="s">
        <v>7751</v>
      </c>
    </row>
    <row r="3085" spans="1:3">
      <c r="A3085" s="4" t="s">
        <v>7721</v>
      </c>
      <c r="B3085" s="4" t="s">
        <v>7720</v>
      </c>
      <c r="C3085" s="4" t="s">
        <v>7720</v>
      </c>
    </row>
    <row r="3086" spans="1:3">
      <c r="A3086" s="4" t="s">
        <v>7753</v>
      </c>
      <c r="B3086" s="4" t="s">
        <v>7561</v>
      </c>
      <c r="C3086" s="4" t="s">
        <v>7561</v>
      </c>
    </row>
    <row r="3087" spans="1:3">
      <c r="A3087" s="4" t="s">
        <v>7755</v>
      </c>
      <c r="B3087" s="4" t="s">
        <v>7754</v>
      </c>
      <c r="C3087" s="4" t="s">
        <v>7754</v>
      </c>
    </row>
    <row r="3088" spans="1:3">
      <c r="A3088" s="4" t="s">
        <v>7756</v>
      </c>
      <c r="B3088" s="4" t="s">
        <v>6015</v>
      </c>
      <c r="C3088" s="4" t="s">
        <v>6015</v>
      </c>
    </row>
    <row r="3089" spans="1:3">
      <c r="A3089" s="4" t="s">
        <v>7758</v>
      </c>
      <c r="B3089" s="4" t="s">
        <v>7757</v>
      </c>
      <c r="C3089" s="4" t="s">
        <v>7757</v>
      </c>
    </row>
    <row r="3090" spans="1:3">
      <c r="A3090" s="4" t="s">
        <v>7760</v>
      </c>
      <c r="B3090" s="4" t="s">
        <v>7759</v>
      </c>
      <c r="C3090" s="4" t="s">
        <v>7759</v>
      </c>
    </row>
    <row r="3091" spans="1:3">
      <c r="A3091" s="4" t="s">
        <v>7762</v>
      </c>
      <c r="B3091" s="4" t="s">
        <v>7761</v>
      </c>
      <c r="C3091" s="4" t="s">
        <v>7761</v>
      </c>
    </row>
    <row r="3092" spans="1:3">
      <c r="A3092" s="4" t="s">
        <v>7764</v>
      </c>
      <c r="B3092" s="4" t="s">
        <v>7763</v>
      </c>
      <c r="C3092" s="4" t="s">
        <v>7763</v>
      </c>
    </row>
    <row r="3093" spans="1:3">
      <c r="A3093" s="4" t="s">
        <v>7766</v>
      </c>
      <c r="B3093" s="4" t="s">
        <v>7765</v>
      </c>
      <c r="C3093" s="4" t="s">
        <v>7765</v>
      </c>
    </row>
    <row r="3094" spans="1:3">
      <c r="A3094" s="4" t="s">
        <v>7768</v>
      </c>
      <c r="B3094" s="4" t="s">
        <v>7767</v>
      </c>
      <c r="C3094" s="4" t="s">
        <v>7767</v>
      </c>
    </row>
    <row r="3095" spans="1:3">
      <c r="A3095" s="4" t="s">
        <v>7770</v>
      </c>
      <c r="B3095" s="4" t="s">
        <v>7769</v>
      </c>
      <c r="C3095" s="4" t="s">
        <v>7769</v>
      </c>
    </row>
    <row r="3096" spans="1:3">
      <c r="A3096" s="4" t="s">
        <v>7772</v>
      </c>
      <c r="B3096" s="4" t="s">
        <v>7771</v>
      </c>
      <c r="C3096" s="4" t="s">
        <v>7771</v>
      </c>
    </row>
    <row r="3097" spans="1:3">
      <c r="A3097" s="4" t="s">
        <v>7774</v>
      </c>
      <c r="B3097" s="4" t="s">
        <v>7773</v>
      </c>
      <c r="C3097" s="4" t="s">
        <v>7773</v>
      </c>
    </row>
    <row r="3098" spans="1:3">
      <c r="A3098" s="4" t="s">
        <v>7776</v>
      </c>
      <c r="B3098" s="4" t="s">
        <v>7775</v>
      </c>
      <c r="C3098" s="4" t="s">
        <v>7775</v>
      </c>
    </row>
    <row r="3099" spans="1:3">
      <c r="A3099" s="4" t="s">
        <v>7778</v>
      </c>
      <c r="B3099" s="4" t="s">
        <v>7777</v>
      </c>
      <c r="C3099" s="4" t="s">
        <v>7777</v>
      </c>
    </row>
    <row r="3100" spans="1:3">
      <c r="A3100" s="4" t="s">
        <v>7485</v>
      </c>
      <c r="B3100" s="4" t="s">
        <v>7484</v>
      </c>
      <c r="C3100" s="4" t="s">
        <v>7484</v>
      </c>
    </row>
    <row r="3101" spans="1:3">
      <c r="A3101" s="4" t="s">
        <v>7780</v>
      </c>
      <c r="B3101" s="4" t="s">
        <v>7779</v>
      </c>
      <c r="C3101" s="4" t="s">
        <v>7779</v>
      </c>
    </row>
    <row r="3102" spans="1:3">
      <c r="A3102" s="4" t="s">
        <v>7782</v>
      </c>
      <c r="B3102" s="4" t="s">
        <v>7781</v>
      </c>
      <c r="C3102" s="4" t="s">
        <v>7781</v>
      </c>
    </row>
    <row r="3103" spans="1:3">
      <c r="A3103" s="4" t="s">
        <v>7784</v>
      </c>
      <c r="B3103" s="4" t="s">
        <v>7783</v>
      </c>
      <c r="C3103" s="4" t="s">
        <v>7783</v>
      </c>
    </row>
    <row r="3104" spans="1:3">
      <c r="A3104" s="4" t="s">
        <v>7786</v>
      </c>
      <c r="B3104" s="4" t="s">
        <v>7785</v>
      </c>
      <c r="C3104" s="4" t="s">
        <v>7785</v>
      </c>
    </row>
    <row r="3105" spans="1:3">
      <c r="A3105" s="4" t="s">
        <v>7788</v>
      </c>
      <c r="B3105" s="4" t="s">
        <v>7787</v>
      </c>
      <c r="C3105" s="4" t="s">
        <v>7787</v>
      </c>
    </row>
    <row r="3106" spans="1:3">
      <c r="A3106" s="4" t="s">
        <v>7790</v>
      </c>
      <c r="B3106" s="4" t="s">
        <v>7789</v>
      </c>
      <c r="C3106" s="4" t="s">
        <v>7789</v>
      </c>
    </row>
    <row r="3107" spans="1:3">
      <c r="A3107" s="4" t="s">
        <v>7792</v>
      </c>
      <c r="B3107" s="4" t="s">
        <v>7791</v>
      </c>
      <c r="C3107" s="4" t="s">
        <v>7791</v>
      </c>
    </row>
    <row r="3108" spans="1:3">
      <c r="A3108" s="4" t="s">
        <v>7794</v>
      </c>
      <c r="B3108" s="4" t="s">
        <v>7793</v>
      </c>
      <c r="C3108" s="4" t="s">
        <v>7793</v>
      </c>
    </row>
    <row r="3109" spans="1:3">
      <c r="A3109" s="4" t="s">
        <v>7796</v>
      </c>
      <c r="B3109" s="4" t="s">
        <v>7795</v>
      </c>
      <c r="C3109" s="4" t="s">
        <v>7795</v>
      </c>
    </row>
    <row r="3110" spans="1:3">
      <c r="A3110" s="4" t="s">
        <v>7798</v>
      </c>
      <c r="B3110" s="4" t="s">
        <v>7797</v>
      </c>
      <c r="C3110" s="4" t="s">
        <v>7797</v>
      </c>
    </row>
    <row r="3111" spans="1:3">
      <c r="A3111" s="4" t="s">
        <v>7800</v>
      </c>
      <c r="B3111" s="4" t="s">
        <v>7799</v>
      </c>
      <c r="C3111" s="4" t="s">
        <v>7799</v>
      </c>
    </row>
    <row r="3112" spans="1:3">
      <c r="A3112" s="4" t="s">
        <v>7802</v>
      </c>
      <c r="B3112" s="4" t="s">
        <v>7801</v>
      </c>
      <c r="C3112" s="4" t="s">
        <v>7801</v>
      </c>
    </row>
    <row r="3113" spans="1:3">
      <c r="A3113" s="4" t="s">
        <v>7804</v>
      </c>
      <c r="B3113" s="4" t="s">
        <v>7803</v>
      </c>
      <c r="C3113" s="4" t="s">
        <v>7803</v>
      </c>
    </row>
    <row r="3114" spans="1:3">
      <c r="A3114" s="4" t="s">
        <v>7806</v>
      </c>
      <c r="B3114" s="4" t="s">
        <v>7805</v>
      </c>
      <c r="C3114" s="4" t="s">
        <v>7805</v>
      </c>
    </row>
    <row r="3115" spans="1:3">
      <c r="A3115" s="4" t="s">
        <v>7792</v>
      </c>
      <c r="B3115" s="4" t="s">
        <v>7807</v>
      </c>
      <c r="C3115" s="4" t="s">
        <v>7807</v>
      </c>
    </row>
    <row r="3116" spans="1:3">
      <c r="A3116" s="4" t="s">
        <v>7809</v>
      </c>
      <c r="B3116" s="4" t="s">
        <v>7808</v>
      </c>
      <c r="C3116" s="4" t="s">
        <v>7808</v>
      </c>
    </row>
    <row r="3117" spans="1:3">
      <c r="A3117" s="4" t="s">
        <v>7811</v>
      </c>
      <c r="B3117" s="4" t="s">
        <v>7810</v>
      </c>
      <c r="C3117" s="4" t="s">
        <v>7810</v>
      </c>
    </row>
    <row r="3118" spans="1:3">
      <c r="A3118" s="4" t="s">
        <v>7813</v>
      </c>
      <c r="B3118" s="4" t="s">
        <v>7812</v>
      </c>
      <c r="C3118" s="4" t="s">
        <v>7812</v>
      </c>
    </row>
    <row r="3119" spans="1:3">
      <c r="A3119" s="4" t="s">
        <v>7815</v>
      </c>
      <c r="B3119" s="4" t="s">
        <v>7814</v>
      </c>
      <c r="C3119" s="4" t="s">
        <v>7814</v>
      </c>
    </row>
    <row r="3120" spans="1:3">
      <c r="A3120" s="4" t="s">
        <v>7817</v>
      </c>
      <c r="B3120" s="4" t="s">
        <v>7816</v>
      </c>
      <c r="C3120" s="4" t="s">
        <v>7816</v>
      </c>
    </row>
    <row r="3121" spans="1:3">
      <c r="A3121" s="4" t="s">
        <v>7819</v>
      </c>
      <c r="B3121" s="4" t="s">
        <v>7818</v>
      </c>
      <c r="C3121" s="4" t="s">
        <v>7818</v>
      </c>
    </row>
    <row r="3122" spans="1:3">
      <c r="A3122" s="4" t="s">
        <v>7821</v>
      </c>
      <c r="B3122" s="4" t="s">
        <v>7820</v>
      </c>
      <c r="C3122" s="4" t="s">
        <v>7820</v>
      </c>
    </row>
    <row r="3123" spans="1:3">
      <c r="A3123" s="4" t="s">
        <v>7823</v>
      </c>
      <c r="B3123" s="4" t="s">
        <v>7822</v>
      </c>
      <c r="C3123" s="4" t="s">
        <v>7822</v>
      </c>
    </row>
    <row r="3124" spans="1:3">
      <c r="A3124" s="4" t="s">
        <v>7825</v>
      </c>
      <c r="B3124" s="4" t="s">
        <v>7824</v>
      </c>
      <c r="C3124" s="4" t="s">
        <v>7824</v>
      </c>
    </row>
    <row r="3125" spans="1:3">
      <c r="A3125" s="4" t="s">
        <v>7827</v>
      </c>
      <c r="B3125" s="4" t="s">
        <v>7826</v>
      </c>
      <c r="C3125" s="4" t="s">
        <v>7826</v>
      </c>
    </row>
    <row r="3126" spans="1:3">
      <c r="A3126" s="4" t="s">
        <v>7745</v>
      </c>
      <c r="B3126" s="4" t="s">
        <v>7744</v>
      </c>
      <c r="C3126" s="4" t="s">
        <v>7744</v>
      </c>
    </row>
    <row r="3127" spans="1:3">
      <c r="A3127" s="4" t="s">
        <v>7527</v>
      </c>
      <c r="B3127" s="4" t="s">
        <v>6025</v>
      </c>
      <c r="C3127" s="4" t="s">
        <v>6025</v>
      </c>
    </row>
    <row r="3128" spans="1:3">
      <c r="A3128" s="4" t="s">
        <v>7501</v>
      </c>
      <c r="B3128" s="4" t="s">
        <v>7746</v>
      </c>
      <c r="C3128" s="4" t="s">
        <v>7746</v>
      </c>
    </row>
    <row r="3129" spans="1:3">
      <c r="A3129" s="4" t="s">
        <v>7829</v>
      </c>
      <c r="B3129" s="4" t="s">
        <v>7828</v>
      </c>
      <c r="C3129" s="4" t="s">
        <v>7828</v>
      </c>
    </row>
    <row r="3130" spans="1:3">
      <c r="A3130" s="4" t="s">
        <v>7831</v>
      </c>
      <c r="B3130" s="4" t="s">
        <v>7830</v>
      </c>
      <c r="C3130" s="4" t="s">
        <v>7830</v>
      </c>
    </row>
    <row r="3131" spans="1:3">
      <c r="A3131" s="4" t="s">
        <v>7833</v>
      </c>
      <c r="B3131" s="4" t="s">
        <v>7832</v>
      </c>
      <c r="C3131" s="4" t="s">
        <v>7832</v>
      </c>
    </row>
    <row r="3132" spans="1:3">
      <c r="A3132" s="4" t="s">
        <v>7835</v>
      </c>
      <c r="B3132" s="4" t="s">
        <v>7834</v>
      </c>
      <c r="C3132" s="4" t="s">
        <v>7834</v>
      </c>
    </row>
    <row r="3133" spans="1:3">
      <c r="A3133" s="4" t="s">
        <v>7813</v>
      </c>
      <c r="B3133" s="4" t="s">
        <v>7812</v>
      </c>
      <c r="C3133" s="4" t="s">
        <v>7812</v>
      </c>
    </row>
    <row r="3134" spans="1:3">
      <c r="A3134" s="4" t="s">
        <v>7837</v>
      </c>
      <c r="B3134" s="4" t="s">
        <v>7836</v>
      </c>
      <c r="C3134" s="4" t="s">
        <v>7836</v>
      </c>
    </row>
    <row r="3135" spans="1:3">
      <c r="A3135" s="4" t="s">
        <v>7839</v>
      </c>
      <c r="B3135" s="4" t="s">
        <v>7838</v>
      </c>
      <c r="C3135" s="4" t="s">
        <v>7838</v>
      </c>
    </row>
    <row r="3136" spans="1:3">
      <c r="A3136" s="4" t="s">
        <v>7394</v>
      </c>
      <c r="B3136" s="4" t="s">
        <v>7393</v>
      </c>
      <c r="C3136" s="4" t="s">
        <v>7393</v>
      </c>
    </row>
    <row r="3137" spans="1:3">
      <c r="A3137" s="4" t="s">
        <v>7841</v>
      </c>
      <c r="B3137" s="4" t="s">
        <v>7840</v>
      </c>
      <c r="C3137" s="4" t="s">
        <v>7840</v>
      </c>
    </row>
    <row r="3138" spans="1:3">
      <c r="A3138" s="4" t="s">
        <v>7843</v>
      </c>
      <c r="B3138" s="4" t="s">
        <v>7842</v>
      </c>
      <c r="C3138" s="4" t="s">
        <v>7842</v>
      </c>
    </row>
    <row r="3139" spans="1:3">
      <c r="A3139" s="4" t="s">
        <v>7845</v>
      </c>
      <c r="B3139" s="4" t="s">
        <v>7844</v>
      </c>
      <c r="C3139" s="4" t="s">
        <v>7844</v>
      </c>
    </row>
    <row r="3140" spans="1:3">
      <c r="A3140" s="4" t="s">
        <v>7829</v>
      </c>
      <c r="B3140" s="4" t="s">
        <v>7828</v>
      </c>
      <c r="C3140" s="4" t="s">
        <v>7828</v>
      </c>
    </row>
    <row r="3141" spans="1:3">
      <c r="A3141" s="4" t="s">
        <v>7847</v>
      </c>
      <c r="B3141" s="4" t="s">
        <v>7846</v>
      </c>
      <c r="C3141" s="4" t="s">
        <v>7846</v>
      </c>
    </row>
    <row r="3142" spans="1:3">
      <c r="A3142" s="4" t="s">
        <v>7849</v>
      </c>
      <c r="B3142" s="4" t="s">
        <v>7848</v>
      </c>
      <c r="C3142" s="4" t="s">
        <v>7848</v>
      </c>
    </row>
    <row r="3143" spans="1:3">
      <c r="A3143" s="4" t="s">
        <v>7815</v>
      </c>
      <c r="B3143" s="4" t="s">
        <v>7814</v>
      </c>
      <c r="C3143" s="4" t="s">
        <v>7814</v>
      </c>
    </row>
    <row r="3144" spans="1:3">
      <c r="A3144" s="4" t="s">
        <v>7833</v>
      </c>
      <c r="B3144" s="4" t="s">
        <v>7832</v>
      </c>
      <c r="C3144" s="4" t="s">
        <v>7832</v>
      </c>
    </row>
    <row r="3145" spans="1:3">
      <c r="A3145" s="4" t="s">
        <v>7851</v>
      </c>
      <c r="B3145" s="4" t="s">
        <v>7850</v>
      </c>
      <c r="C3145" s="4" t="s">
        <v>7850</v>
      </c>
    </row>
    <row r="3146" spans="1:3">
      <c r="A3146" s="4" t="s">
        <v>7853</v>
      </c>
      <c r="B3146" s="4" t="s">
        <v>7852</v>
      </c>
      <c r="C3146" s="4" t="s">
        <v>7852</v>
      </c>
    </row>
    <row r="3147" spans="1:3">
      <c r="A3147" s="4" t="s">
        <v>7642</v>
      </c>
      <c r="B3147" s="4" t="s">
        <v>7641</v>
      </c>
      <c r="C3147" s="4" t="s">
        <v>7641</v>
      </c>
    </row>
    <row r="3148" spans="1:3">
      <c r="A3148" s="4" t="s">
        <v>7854</v>
      </c>
      <c r="B3148" s="4" t="s">
        <v>7534</v>
      </c>
      <c r="C3148" s="4" t="s">
        <v>7534</v>
      </c>
    </row>
    <row r="3149" spans="1:3">
      <c r="A3149" s="4" t="s">
        <v>7856</v>
      </c>
      <c r="B3149" s="4" t="s">
        <v>7855</v>
      </c>
      <c r="C3149" s="4" t="s">
        <v>7855</v>
      </c>
    </row>
    <row r="3150" spans="1:3">
      <c r="A3150" s="4" t="s">
        <v>7858</v>
      </c>
      <c r="B3150" s="4" t="s">
        <v>7857</v>
      </c>
      <c r="C3150" s="4" t="s">
        <v>7857</v>
      </c>
    </row>
    <row r="3151" spans="1:3">
      <c r="A3151" s="4" t="s">
        <v>7860</v>
      </c>
      <c r="B3151" s="4" t="s">
        <v>7859</v>
      </c>
      <c r="C3151" s="4" t="s">
        <v>7859</v>
      </c>
    </row>
    <row r="3152" spans="1:3">
      <c r="A3152" s="4" t="s">
        <v>7861</v>
      </c>
      <c r="B3152" s="4" t="s">
        <v>5921</v>
      </c>
      <c r="C3152" s="4" t="s">
        <v>5921</v>
      </c>
    </row>
    <row r="3153" spans="1:3">
      <c r="A3153" s="4" t="s">
        <v>7863</v>
      </c>
      <c r="B3153" s="4" t="s">
        <v>7862</v>
      </c>
      <c r="C3153" s="4" t="s">
        <v>7862</v>
      </c>
    </row>
    <row r="3154" spans="1:3">
      <c r="A3154" s="4" t="s">
        <v>7865</v>
      </c>
      <c r="B3154" s="4" t="s">
        <v>7864</v>
      </c>
      <c r="C3154" s="4" t="s">
        <v>7864</v>
      </c>
    </row>
    <row r="3155" spans="1:3">
      <c r="A3155" s="4" t="s">
        <v>7867</v>
      </c>
      <c r="B3155" s="4" t="s">
        <v>7866</v>
      </c>
      <c r="C3155" s="4" t="s">
        <v>7866</v>
      </c>
    </row>
    <row r="3156" spans="1:3">
      <c r="A3156" s="4" t="s">
        <v>7869</v>
      </c>
      <c r="B3156" s="4" t="s">
        <v>7868</v>
      </c>
      <c r="C3156" s="4" t="s">
        <v>7868</v>
      </c>
    </row>
    <row r="3157" spans="1:3">
      <c r="A3157" s="4" t="s">
        <v>7869</v>
      </c>
      <c r="B3157" s="4" t="s">
        <v>7868</v>
      </c>
      <c r="C3157" s="4" t="s">
        <v>7868</v>
      </c>
    </row>
    <row r="3158" spans="1:3">
      <c r="A3158" s="4" t="s">
        <v>7430</v>
      </c>
      <c r="B3158" s="4" t="s">
        <v>7429</v>
      </c>
      <c r="C3158" s="4" t="s">
        <v>7429</v>
      </c>
    </row>
    <row r="3159" spans="1:3">
      <c r="A3159" s="4" t="s">
        <v>7871</v>
      </c>
      <c r="B3159" s="4" t="s">
        <v>7870</v>
      </c>
      <c r="C3159" s="4" t="s">
        <v>7870</v>
      </c>
    </row>
    <row r="3160" spans="1:3">
      <c r="A3160" s="4" t="s">
        <v>7871</v>
      </c>
      <c r="B3160" s="4" t="s">
        <v>7872</v>
      </c>
      <c r="C3160" s="4" t="s">
        <v>7872</v>
      </c>
    </row>
    <row r="3161" spans="1:3">
      <c r="A3161" s="4" t="s">
        <v>7874</v>
      </c>
      <c r="B3161" s="4" t="s">
        <v>7873</v>
      </c>
      <c r="C3161" s="4" t="s">
        <v>7873</v>
      </c>
    </row>
    <row r="3162" spans="1:3">
      <c r="A3162" s="4" t="s">
        <v>7876</v>
      </c>
      <c r="B3162" s="4" t="s">
        <v>7875</v>
      </c>
      <c r="C3162" s="4" t="s">
        <v>7875</v>
      </c>
    </row>
    <row r="3163" spans="1:3">
      <c r="A3163" s="4" t="s">
        <v>7878</v>
      </c>
      <c r="B3163" s="4" t="s">
        <v>7877</v>
      </c>
      <c r="C3163" s="4" t="s">
        <v>7877</v>
      </c>
    </row>
    <row r="3164" spans="1:3">
      <c r="A3164" s="4" t="s">
        <v>7880</v>
      </c>
      <c r="B3164" s="4" t="s">
        <v>7879</v>
      </c>
      <c r="C3164" s="4" t="s">
        <v>7879</v>
      </c>
    </row>
    <row r="3165" spans="1:3">
      <c r="A3165" s="4" t="s">
        <v>7584</v>
      </c>
      <c r="B3165" s="4" t="s">
        <v>7583</v>
      </c>
      <c r="C3165" s="4" t="s">
        <v>7583</v>
      </c>
    </row>
    <row r="3166" spans="1:3">
      <c r="A3166" s="4" t="s">
        <v>7748</v>
      </c>
      <c r="B3166" s="4" t="s">
        <v>7747</v>
      </c>
      <c r="C3166" s="4" t="s">
        <v>7747</v>
      </c>
    </row>
    <row r="3167" spans="1:3">
      <c r="A3167" s="4" t="s">
        <v>7741</v>
      </c>
      <c r="B3167" s="4" t="s">
        <v>7740</v>
      </c>
      <c r="C3167" s="4" t="s">
        <v>7740</v>
      </c>
    </row>
    <row r="3168" spans="1:3">
      <c r="A3168" s="4" t="s">
        <v>7882</v>
      </c>
      <c r="B3168" s="4" t="s">
        <v>7881</v>
      </c>
      <c r="C3168" s="4" t="s">
        <v>7881</v>
      </c>
    </row>
    <row r="3169" spans="1:3">
      <c r="A3169" s="4" t="s">
        <v>7586</v>
      </c>
      <c r="B3169" s="4" t="s">
        <v>7585</v>
      </c>
      <c r="C3169" s="4" t="s">
        <v>7585</v>
      </c>
    </row>
    <row r="3170" spans="1:3">
      <c r="A3170" s="4" t="s">
        <v>7884</v>
      </c>
      <c r="B3170" s="4" t="s">
        <v>7883</v>
      </c>
      <c r="C3170" s="4" t="s">
        <v>7883</v>
      </c>
    </row>
    <row r="3171" spans="1:3">
      <c r="A3171" s="4" t="s">
        <v>7886</v>
      </c>
      <c r="B3171" s="4" t="s">
        <v>7885</v>
      </c>
      <c r="C3171" s="4" t="s">
        <v>7885</v>
      </c>
    </row>
    <row r="3172" spans="1:3">
      <c r="A3172" s="4" t="s">
        <v>7888</v>
      </c>
      <c r="B3172" s="4" t="s">
        <v>7887</v>
      </c>
      <c r="C3172" s="4" t="s">
        <v>7887</v>
      </c>
    </row>
    <row r="3173" spans="1:3">
      <c r="A3173" s="4" t="s">
        <v>7890</v>
      </c>
      <c r="B3173" s="4" t="s">
        <v>7889</v>
      </c>
      <c r="C3173" s="4" t="s">
        <v>7889</v>
      </c>
    </row>
    <row r="3174" spans="1:3">
      <c r="A3174" s="4" t="s">
        <v>7891</v>
      </c>
      <c r="B3174" s="4" t="s">
        <v>7805</v>
      </c>
      <c r="C3174" s="4" t="s">
        <v>7805</v>
      </c>
    </row>
    <row r="3175" spans="1:3">
      <c r="A3175" s="4" t="s">
        <v>7893</v>
      </c>
      <c r="B3175" s="4" t="s">
        <v>7892</v>
      </c>
      <c r="C3175" s="4" t="s">
        <v>7892</v>
      </c>
    </row>
    <row r="3176" spans="1:3">
      <c r="A3176" s="4" t="s">
        <v>7895</v>
      </c>
      <c r="B3176" s="4" t="s">
        <v>7894</v>
      </c>
      <c r="C3176" s="4" t="s">
        <v>7894</v>
      </c>
    </row>
    <row r="3177" spans="1:3">
      <c r="A3177" s="4" t="s">
        <v>7897</v>
      </c>
      <c r="B3177" s="4" t="s">
        <v>7896</v>
      </c>
      <c r="C3177" s="4" t="s">
        <v>7896</v>
      </c>
    </row>
    <row r="3178" spans="1:3">
      <c r="A3178" s="4" t="s">
        <v>7897</v>
      </c>
      <c r="B3178" s="4" t="s">
        <v>7896</v>
      </c>
      <c r="C3178" s="4" t="s">
        <v>7896</v>
      </c>
    </row>
    <row r="3179" spans="1:3">
      <c r="A3179" s="4" t="s">
        <v>7899</v>
      </c>
      <c r="B3179" s="4" t="s">
        <v>7898</v>
      </c>
      <c r="C3179" s="4" t="s">
        <v>7898</v>
      </c>
    </row>
    <row r="3180" spans="1:3">
      <c r="A3180" s="4" t="s">
        <v>7901</v>
      </c>
      <c r="B3180" s="4" t="s">
        <v>7900</v>
      </c>
      <c r="C3180" s="4" t="s">
        <v>7900</v>
      </c>
    </row>
    <row r="3181" spans="1:3">
      <c r="A3181" s="4" t="s">
        <v>7526</v>
      </c>
      <c r="B3181" s="4" t="s">
        <v>7525</v>
      </c>
      <c r="C3181" s="4" t="s">
        <v>7525</v>
      </c>
    </row>
    <row r="3182" spans="1:3">
      <c r="A3182" s="4" t="s">
        <v>7899</v>
      </c>
      <c r="B3182" s="4" t="s">
        <v>7898</v>
      </c>
      <c r="C3182" s="4" t="s">
        <v>7898</v>
      </c>
    </row>
    <row r="3183" spans="1:3">
      <c r="A3183" s="4" t="s">
        <v>7901</v>
      </c>
      <c r="B3183" s="4" t="s">
        <v>7900</v>
      </c>
      <c r="C3183" s="4" t="s">
        <v>7900</v>
      </c>
    </row>
    <row r="3184" spans="1:3">
      <c r="A3184" s="4" t="s">
        <v>7853</v>
      </c>
      <c r="B3184" s="4" t="s">
        <v>7852</v>
      </c>
      <c r="C3184" s="4" t="s">
        <v>7852</v>
      </c>
    </row>
    <row r="3185" spans="1:3">
      <c r="A3185" s="4" t="s">
        <v>7903</v>
      </c>
      <c r="B3185" s="4" t="s">
        <v>7902</v>
      </c>
      <c r="C3185" s="4" t="s">
        <v>7902</v>
      </c>
    </row>
    <row r="3186" spans="1:3">
      <c r="A3186" s="4" t="s">
        <v>7901</v>
      </c>
      <c r="B3186" s="4" t="s">
        <v>7900</v>
      </c>
      <c r="C3186" s="4" t="s">
        <v>7900</v>
      </c>
    </row>
    <row r="3187" spans="1:3">
      <c r="A3187" s="4" t="s">
        <v>7905</v>
      </c>
      <c r="B3187" s="4" t="s">
        <v>7904</v>
      </c>
      <c r="C3187" s="4" t="s">
        <v>7904</v>
      </c>
    </row>
    <row r="3188" spans="1:3">
      <c r="A3188" s="4" t="s">
        <v>7907</v>
      </c>
      <c r="B3188" s="4" t="s">
        <v>7906</v>
      </c>
      <c r="C3188" s="4" t="s">
        <v>7906</v>
      </c>
    </row>
    <row r="3189" spans="1:3">
      <c r="A3189" s="4" t="s">
        <v>7909</v>
      </c>
      <c r="B3189" s="4" t="s">
        <v>7908</v>
      </c>
      <c r="C3189" s="4" t="s">
        <v>7908</v>
      </c>
    </row>
    <row r="3190" spans="1:3">
      <c r="A3190" s="4" t="s">
        <v>7911</v>
      </c>
      <c r="B3190" s="4" t="s">
        <v>7910</v>
      </c>
      <c r="C3190" s="4" t="s">
        <v>7910</v>
      </c>
    </row>
    <row r="3191" spans="1:3">
      <c r="A3191" s="4" t="s">
        <v>7913</v>
      </c>
      <c r="B3191" s="4" t="s">
        <v>7912</v>
      </c>
      <c r="C3191" s="4" t="s">
        <v>7912</v>
      </c>
    </row>
    <row r="3192" spans="1:3">
      <c r="A3192" s="4" t="s">
        <v>7907</v>
      </c>
      <c r="B3192" s="4" t="s">
        <v>7906</v>
      </c>
      <c r="C3192" s="4" t="s">
        <v>7906</v>
      </c>
    </row>
    <row r="3193" spans="1:3">
      <c r="A3193" s="4" t="s">
        <v>7909</v>
      </c>
      <c r="B3193" s="4" t="s">
        <v>7908</v>
      </c>
      <c r="C3193" s="4" t="s">
        <v>7908</v>
      </c>
    </row>
    <row r="3194" spans="1:3">
      <c r="A3194" s="4" t="s">
        <v>7913</v>
      </c>
      <c r="B3194" s="4" t="s">
        <v>7912</v>
      </c>
      <c r="C3194" s="4" t="s">
        <v>7912</v>
      </c>
    </row>
    <row r="3195" spans="1:3">
      <c r="A3195" s="4" t="s">
        <v>7907</v>
      </c>
      <c r="B3195" s="4" t="s">
        <v>7906</v>
      </c>
      <c r="C3195" s="4" t="s">
        <v>7906</v>
      </c>
    </row>
    <row r="3196" spans="1:3">
      <c r="A3196" s="4" t="s">
        <v>7909</v>
      </c>
      <c r="B3196" s="4" t="s">
        <v>7908</v>
      </c>
      <c r="C3196" s="4" t="s">
        <v>7908</v>
      </c>
    </row>
    <row r="3197" spans="1:3">
      <c r="A3197" s="4" t="s">
        <v>7911</v>
      </c>
      <c r="B3197" s="4" t="s">
        <v>7910</v>
      </c>
      <c r="C3197" s="4" t="s">
        <v>7910</v>
      </c>
    </row>
    <row r="3198" spans="1:3">
      <c r="A3198" s="4" t="s">
        <v>7915</v>
      </c>
      <c r="B3198" s="4" t="s">
        <v>7914</v>
      </c>
      <c r="C3198" s="4" t="s">
        <v>7914</v>
      </c>
    </row>
    <row r="3199" spans="1:3">
      <c r="A3199" s="4" t="s">
        <v>7917</v>
      </c>
      <c r="B3199" s="4" t="s">
        <v>7916</v>
      </c>
      <c r="C3199" s="4" t="s">
        <v>7916</v>
      </c>
    </row>
    <row r="3200" spans="1:3">
      <c r="A3200" s="4" t="s">
        <v>7919</v>
      </c>
      <c r="B3200" s="4" t="s">
        <v>7918</v>
      </c>
      <c r="C3200" s="4" t="s">
        <v>7918</v>
      </c>
    </row>
    <row r="3201" spans="1:3">
      <c r="A3201" s="4" t="s">
        <v>7921</v>
      </c>
      <c r="B3201" s="4" t="s">
        <v>7920</v>
      </c>
      <c r="C3201" s="4" t="s">
        <v>7920</v>
      </c>
    </row>
    <row r="3202" spans="1:3">
      <c r="A3202" s="4" t="s">
        <v>7923</v>
      </c>
      <c r="B3202" s="4" t="s">
        <v>7922</v>
      </c>
      <c r="C3202" s="4" t="s">
        <v>7922</v>
      </c>
    </row>
    <row r="3203" spans="1:3">
      <c r="A3203" s="4" t="s">
        <v>7925</v>
      </c>
      <c r="B3203" s="4" t="s">
        <v>7924</v>
      </c>
      <c r="C3203" s="4" t="s">
        <v>7924</v>
      </c>
    </row>
    <row r="3204" spans="1:3">
      <c r="A3204" s="4" t="s">
        <v>7915</v>
      </c>
      <c r="B3204" s="4" t="s">
        <v>7914</v>
      </c>
      <c r="C3204" s="4" t="s">
        <v>7914</v>
      </c>
    </row>
    <row r="3205" spans="1:3">
      <c r="A3205" s="4" t="s">
        <v>7917</v>
      </c>
      <c r="B3205" s="4" t="s">
        <v>7916</v>
      </c>
      <c r="C3205" s="4" t="s">
        <v>7916</v>
      </c>
    </row>
    <row r="3206" spans="1:3">
      <c r="A3206" s="4" t="s">
        <v>7927</v>
      </c>
      <c r="B3206" s="4" t="s">
        <v>7926</v>
      </c>
      <c r="C3206" s="4" t="s">
        <v>7926</v>
      </c>
    </row>
    <row r="3207" spans="1:3">
      <c r="A3207" s="4" t="s">
        <v>7919</v>
      </c>
      <c r="B3207" s="4" t="s">
        <v>7918</v>
      </c>
      <c r="C3207" s="4" t="s">
        <v>7918</v>
      </c>
    </row>
    <row r="3208" spans="1:3">
      <c r="A3208" s="4" t="s">
        <v>7921</v>
      </c>
      <c r="B3208" s="4" t="s">
        <v>7920</v>
      </c>
      <c r="C3208" s="4" t="s">
        <v>7920</v>
      </c>
    </row>
    <row r="3209" spans="1:3">
      <c r="A3209" s="4" t="s">
        <v>7923</v>
      </c>
      <c r="B3209" s="4" t="s">
        <v>7922</v>
      </c>
      <c r="C3209" s="4" t="s">
        <v>7922</v>
      </c>
    </row>
    <row r="3210" spans="1:3">
      <c r="A3210" s="4" t="s">
        <v>7925</v>
      </c>
      <c r="B3210" s="4" t="s">
        <v>7924</v>
      </c>
      <c r="C3210" s="4" t="s">
        <v>7924</v>
      </c>
    </row>
    <row r="3211" spans="1:3">
      <c r="A3211" s="4" t="s">
        <v>7915</v>
      </c>
      <c r="B3211" s="4" t="s">
        <v>7914</v>
      </c>
      <c r="C3211" s="4" t="s">
        <v>7914</v>
      </c>
    </row>
    <row r="3212" spans="1:3">
      <c r="A3212" s="4" t="s">
        <v>7917</v>
      </c>
      <c r="B3212" s="4" t="s">
        <v>7916</v>
      </c>
      <c r="C3212" s="4" t="s">
        <v>7916</v>
      </c>
    </row>
    <row r="3213" spans="1:3">
      <c r="A3213" s="4" t="s">
        <v>7927</v>
      </c>
      <c r="B3213" s="4" t="s">
        <v>7926</v>
      </c>
      <c r="C3213" s="4" t="s">
        <v>7926</v>
      </c>
    </row>
    <row r="3214" spans="1:3">
      <c r="A3214" s="4" t="s">
        <v>7929</v>
      </c>
      <c r="B3214" s="4" t="s">
        <v>7928</v>
      </c>
      <c r="C3214" s="4" t="s">
        <v>7928</v>
      </c>
    </row>
    <row r="3215" spans="1:3">
      <c r="A3215" s="4" t="s">
        <v>2382</v>
      </c>
      <c r="B3215" s="4" t="s">
        <v>7930</v>
      </c>
      <c r="C3215" s="4" t="s">
        <v>7930</v>
      </c>
    </row>
    <row r="3216" spans="1:3">
      <c r="A3216" s="4" t="s">
        <v>7932</v>
      </c>
      <c r="B3216" s="4" t="s">
        <v>7931</v>
      </c>
      <c r="C3216" s="4" t="s">
        <v>7931</v>
      </c>
    </row>
    <row r="3217" spans="1:3">
      <c r="A3217" s="4" t="s">
        <v>7934</v>
      </c>
      <c r="B3217" s="4" t="s">
        <v>7933</v>
      </c>
      <c r="C3217" s="4" t="s">
        <v>7933</v>
      </c>
    </row>
    <row r="3218" spans="1:3">
      <c r="A3218" s="4" t="s">
        <v>7936</v>
      </c>
      <c r="B3218" s="4" t="s">
        <v>7935</v>
      </c>
      <c r="C3218" s="4" t="s">
        <v>7935</v>
      </c>
    </row>
    <row r="3219" spans="1:3">
      <c r="A3219" s="4" t="s">
        <v>7929</v>
      </c>
      <c r="B3219" s="4" t="s">
        <v>7928</v>
      </c>
      <c r="C3219" s="4" t="s">
        <v>7928</v>
      </c>
    </row>
    <row r="3220" spans="1:3">
      <c r="A3220" s="4" t="s">
        <v>7934</v>
      </c>
      <c r="B3220" s="4" t="s">
        <v>7933</v>
      </c>
      <c r="C3220" s="4" t="s">
        <v>7933</v>
      </c>
    </row>
    <row r="3221" spans="1:3">
      <c r="A3221" s="4" t="s">
        <v>7936</v>
      </c>
      <c r="B3221" s="4" t="s">
        <v>7935</v>
      </c>
      <c r="C3221" s="4" t="s">
        <v>7935</v>
      </c>
    </row>
    <row r="3222" spans="1:3">
      <c r="A3222" s="4" t="s">
        <v>7934</v>
      </c>
      <c r="B3222" s="4" t="s">
        <v>7933</v>
      </c>
      <c r="C3222" s="4" t="s">
        <v>7933</v>
      </c>
    </row>
    <row r="3223" spans="1:3">
      <c r="A3223" s="4" t="s">
        <v>7936</v>
      </c>
      <c r="B3223" s="4" t="s">
        <v>7935</v>
      </c>
      <c r="C3223" s="4" t="s">
        <v>7935</v>
      </c>
    </row>
    <row r="3224" spans="1:3">
      <c r="A3224" s="4" t="s">
        <v>7938</v>
      </c>
      <c r="B3224" s="4" t="s">
        <v>7937</v>
      </c>
      <c r="C3224" s="4" t="s">
        <v>7937</v>
      </c>
    </row>
    <row r="3225" spans="1:3">
      <c r="A3225" s="4" t="s">
        <v>7938</v>
      </c>
      <c r="B3225" s="4" t="s">
        <v>7937</v>
      </c>
      <c r="C3225" s="4" t="s">
        <v>7937</v>
      </c>
    </row>
    <row r="3226" spans="1:3">
      <c r="A3226" s="4" t="s">
        <v>7940</v>
      </c>
      <c r="B3226" s="4" t="s">
        <v>7939</v>
      </c>
      <c r="C3226" s="4" t="s">
        <v>7939</v>
      </c>
    </row>
    <row r="3227" spans="1:3">
      <c r="A3227" s="4" t="s">
        <v>7940</v>
      </c>
      <c r="B3227" s="4" t="s">
        <v>7939</v>
      </c>
      <c r="C3227" s="4" t="s">
        <v>7939</v>
      </c>
    </row>
    <row r="3228" spans="1:3">
      <c r="A3228" s="4" t="s">
        <v>7942</v>
      </c>
      <c r="B3228" s="4" t="s">
        <v>7941</v>
      </c>
      <c r="C3228" s="4" t="s">
        <v>7941</v>
      </c>
    </row>
    <row r="3229" spans="1:3">
      <c r="A3229" s="4" t="s">
        <v>7942</v>
      </c>
      <c r="B3229" s="4" t="s">
        <v>7941</v>
      </c>
      <c r="C3229" s="4" t="s">
        <v>7941</v>
      </c>
    </row>
    <row r="3230" spans="1:3">
      <c r="A3230" s="4" t="s">
        <v>7943</v>
      </c>
      <c r="B3230" s="4" t="s">
        <v>5922</v>
      </c>
      <c r="C3230" s="4" t="s">
        <v>5922</v>
      </c>
    </row>
    <row r="3231" spans="1:3">
      <c r="A3231" s="4" t="s">
        <v>7943</v>
      </c>
      <c r="B3231" s="4" t="s">
        <v>5922</v>
      </c>
      <c r="C3231" s="4" t="s">
        <v>5922</v>
      </c>
    </row>
    <row r="3232" spans="1:3">
      <c r="A3232" s="4" t="s">
        <v>7945</v>
      </c>
      <c r="B3232" s="4" t="s">
        <v>7944</v>
      </c>
      <c r="C3232" s="4" t="s">
        <v>7944</v>
      </c>
    </row>
    <row r="3233" spans="1:3">
      <c r="A3233" s="4" t="s">
        <v>7945</v>
      </c>
      <c r="B3233" s="4" t="s">
        <v>7944</v>
      </c>
      <c r="C3233" s="4" t="s">
        <v>7944</v>
      </c>
    </row>
    <row r="3234" spans="1:3">
      <c r="A3234" s="4" t="s">
        <v>7947</v>
      </c>
      <c r="B3234" s="4" t="s">
        <v>7946</v>
      </c>
      <c r="C3234" s="4" t="s">
        <v>7946</v>
      </c>
    </row>
    <row r="3235" spans="1:3">
      <c r="A3235" s="4" t="s">
        <v>7947</v>
      </c>
      <c r="B3235" s="4" t="s">
        <v>7946</v>
      </c>
      <c r="C3235" s="4" t="s">
        <v>7946</v>
      </c>
    </row>
    <row r="3236" spans="1:3">
      <c r="A3236" s="4" t="s">
        <v>7949</v>
      </c>
      <c r="B3236" s="4" t="s">
        <v>7948</v>
      </c>
      <c r="C3236" s="4" t="s">
        <v>7948</v>
      </c>
    </row>
    <row r="3237" spans="1:3">
      <c r="A3237" s="4" t="s">
        <v>7951</v>
      </c>
      <c r="B3237" s="4" t="s">
        <v>7950</v>
      </c>
      <c r="C3237" s="4" t="s">
        <v>7950</v>
      </c>
    </row>
    <row r="3238" spans="1:3">
      <c r="A3238" s="4" t="s">
        <v>7953</v>
      </c>
      <c r="B3238" s="4" t="s">
        <v>7952</v>
      </c>
      <c r="C3238" s="4" t="s">
        <v>7952</v>
      </c>
    </row>
    <row r="3239" spans="1:3">
      <c r="A3239" s="4" t="s">
        <v>7955</v>
      </c>
      <c r="B3239" s="4" t="s">
        <v>7954</v>
      </c>
      <c r="C3239" s="4" t="s">
        <v>7954</v>
      </c>
    </row>
    <row r="3240" spans="1:3">
      <c r="A3240" s="4" t="s">
        <v>7949</v>
      </c>
      <c r="B3240" s="4" t="s">
        <v>7948</v>
      </c>
      <c r="C3240" s="4" t="s">
        <v>7948</v>
      </c>
    </row>
    <row r="3241" spans="1:3">
      <c r="A3241" s="4" t="s">
        <v>7955</v>
      </c>
      <c r="B3241" s="4" t="s">
        <v>7954</v>
      </c>
      <c r="C3241" s="4" t="s">
        <v>7954</v>
      </c>
    </row>
    <row r="3242" spans="1:3">
      <c r="A3242" s="4" t="s">
        <v>7949</v>
      </c>
      <c r="B3242" s="4" t="s">
        <v>7948</v>
      </c>
      <c r="C3242" s="4" t="s">
        <v>7948</v>
      </c>
    </row>
    <row r="3243" spans="1:3">
      <c r="A3243" s="4" t="s">
        <v>7953</v>
      </c>
      <c r="B3243" s="4" t="s">
        <v>7952</v>
      </c>
      <c r="C3243" s="4" t="s">
        <v>7952</v>
      </c>
    </row>
    <row r="3244" spans="1:3">
      <c r="A3244" s="4" t="s">
        <v>7955</v>
      </c>
      <c r="B3244" s="4" t="s">
        <v>7954</v>
      </c>
      <c r="C3244" s="4" t="s">
        <v>7954</v>
      </c>
    </row>
    <row r="3245" spans="1:3">
      <c r="A3245" s="4" t="s">
        <v>7938</v>
      </c>
      <c r="B3245" s="4" t="s">
        <v>7937</v>
      </c>
      <c r="C3245" s="4" t="s">
        <v>7937</v>
      </c>
    </row>
    <row r="3246" spans="1:3">
      <c r="A3246" s="4" t="s">
        <v>7940</v>
      </c>
      <c r="B3246" s="4" t="s">
        <v>7939</v>
      </c>
      <c r="C3246" s="4" t="s">
        <v>7939</v>
      </c>
    </row>
    <row r="3247" spans="1:3">
      <c r="A3247" s="4" t="s">
        <v>7943</v>
      </c>
      <c r="B3247" s="4" t="s">
        <v>5922</v>
      </c>
      <c r="C3247" s="4" t="s">
        <v>5922</v>
      </c>
    </row>
    <row r="3248" spans="1:3">
      <c r="A3248" s="4" t="s">
        <v>7945</v>
      </c>
      <c r="B3248" s="4" t="s">
        <v>7944</v>
      </c>
      <c r="C3248" s="4" t="s">
        <v>7944</v>
      </c>
    </row>
    <row r="3249" spans="1:3">
      <c r="A3249" s="4" t="s">
        <v>7957</v>
      </c>
      <c r="B3249" s="4" t="s">
        <v>7956</v>
      </c>
      <c r="C3249" s="4" t="s">
        <v>7956</v>
      </c>
    </row>
    <row r="3250" spans="1:3">
      <c r="A3250" s="4" t="s">
        <v>7958</v>
      </c>
      <c r="B3250" s="4" t="s">
        <v>5923</v>
      </c>
      <c r="C3250" s="4" t="s">
        <v>5923</v>
      </c>
    </row>
    <row r="3251" spans="1:3">
      <c r="A3251" s="4" t="s">
        <v>7959</v>
      </c>
      <c r="B3251" s="4" t="s">
        <v>5924</v>
      </c>
      <c r="C3251" s="4" t="s">
        <v>5924</v>
      </c>
    </row>
    <row r="3252" spans="1:3">
      <c r="A3252" s="4" t="s">
        <v>7958</v>
      </c>
      <c r="B3252" s="4" t="s">
        <v>5923</v>
      </c>
      <c r="C3252" s="4" t="s">
        <v>5923</v>
      </c>
    </row>
    <row r="3253" spans="1:3">
      <c r="A3253" s="4" t="s">
        <v>7959</v>
      </c>
      <c r="B3253" s="4" t="s">
        <v>5924</v>
      </c>
      <c r="C3253" s="4" t="s">
        <v>5924</v>
      </c>
    </row>
    <row r="3254" spans="1:3">
      <c r="A3254" s="4" t="s">
        <v>7960</v>
      </c>
      <c r="B3254" s="4" t="s">
        <v>7857</v>
      </c>
      <c r="C3254" s="4" t="s">
        <v>7857</v>
      </c>
    </row>
    <row r="3255" spans="1:3">
      <c r="A3255" s="4" t="s">
        <v>7960</v>
      </c>
      <c r="B3255" s="4" t="s">
        <v>7857</v>
      </c>
      <c r="C3255" s="4" t="s">
        <v>7857</v>
      </c>
    </row>
    <row r="3256" spans="1:3">
      <c r="A3256" s="4" t="s">
        <v>7962</v>
      </c>
      <c r="B3256" s="4" t="s">
        <v>7961</v>
      </c>
      <c r="C3256" s="4" t="s">
        <v>7961</v>
      </c>
    </row>
    <row r="3257" spans="1:3">
      <c r="A3257" s="4" t="s">
        <v>7962</v>
      </c>
      <c r="B3257" s="4" t="s">
        <v>7961</v>
      </c>
      <c r="C3257" s="4" t="s">
        <v>7961</v>
      </c>
    </row>
    <row r="3258" spans="1:3">
      <c r="A3258" s="4" t="s">
        <v>7964</v>
      </c>
      <c r="B3258" s="4" t="s">
        <v>7963</v>
      </c>
      <c r="C3258" s="4" t="s">
        <v>7963</v>
      </c>
    </row>
    <row r="3259" spans="1:3">
      <c r="A3259" s="4" t="s">
        <v>7966</v>
      </c>
      <c r="B3259" s="4" t="s">
        <v>7965</v>
      </c>
      <c r="C3259" s="4" t="s">
        <v>7965</v>
      </c>
    </row>
    <row r="3260" spans="1:3">
      <c r="A3260" s="4" t="s">
        <v>7968</v>
      </c>
      <c r="B3260" s="4" t="s">
        <v>7967</v>
      </c>
      <c r="C3260" s="4" t="s">
        <v>7967</v>
      </c>
    </row>
    <row r="3261" spans="1:3">
      <c r="A3261" s="4" t="s">
        <v>7970</v>
      </c>
      <c r="B3261" s="4" t="s">
        <v>7969</v>
      </c>
      <c r="C3261" s="4" t="s">
        <v>7969</v>
      </c>
    </row>
    <row r="3262" spans="1:3">
      <c r="A3262" s="4" t="s">
        <v>7964</v>
      </c>
      <c r="B3262" s="4" t="s">
        <v>7963</v>
      </c>
      <c r="C3262" s="4" t="s">
        <v>7963</v>
      </c>
    </row>
    <row r="3263" spans="1:3">
      <c r="A3263" s="4" t="s">
        <v>7966</v>
      </c>
      <c r="B3263" s="4" t="s">
        <v>7965</v>
      </c>
      <c r="C3263" s="4" t="s">
        <v>7965</v>
      </c>
    </row>
    <row r="3264" spans="1:3">
      <c r="A3264" s="4" t="s">
        <v>7968</v>
      </c>
      <c r="B3264" s="4" t="s">
        <v>7967</v>
      </c>
      <c r="C3264" s="4" t="s">
        <v>7967</v>
      </c>
    </row>
    <row r="3265" spans="1:3">
      <c r="A3265" s="4" t="s">
        <v>7970</v>
      </c>
      <c r="B3265" s="4" t="s">
        <v>7969</v>
      </c>
      <c r="C3265" s="4" t="s">
        <v>7969</v>
      </c>
    </row>
    <row r="3266" spans="1:3">
      <c r="A3266" s="4" t="s">
        <v>7972</v>
      </c>
      <c r="B3266" s="4" t="s">
        <v>7971</v>
      </c>
      <c r="C3266" s="4" t="s">
        <v>7971</v>
      </c>
    </row>
    <row r="3267" spans="1:3">
      <c r="A3267" s="4" t="s">
        <v>7974</v>
      </c>
      <c r="B3267" s="4" t="s">
        <v>7973</v>
      </c>
      <c r="C3267" s="4" t="s">
        <v>7973</v>
      </c>
    </row>
    <row r="3268" spans="1:3">
      <c r="A3268" s="4" t="s">
        <v>7976</v>
      </c>
      <c r="B3268" s="4" t="s">
        <v>7975</v>
      </c>
      <c r="C3268" s="4" t="s">
        <v>7975</v>
      </c>
    </row>
    <row r="3269" spans="1:3">
      <c r="A3269" s="4" t="s">
        <v>7978</v>
      </c>
      <c r="B3269" s="4" t="s">
        <v>7977</v>
      </c>
      <c r="C3269" s="4" t="s">
        <v>7977</v>
      </c>
    </row>
    <row r="3270" spans="1:3">
      <c r="A3270" s="4" t="s">
        <v>7980</v>
      </c>
      <c r="B3270" s="4" t="s">
        <v>7979</v>
      </c>
      <c r="C3270" s="4" t="s">
        <v>7979</v>
      </c>
    </row>
    <row r="3271" spans="1:3">
      <c r="A3271" s="4" t="s">
        <v>7982</v>
      </c>
      <c r="B3271" s="4" t="s">
        <v>7981</v>
      </c>
      <c r="C3271" s="4" t="s">
        <v>7981</v>
      </c>
    </row>
    <row r="3272" spans="1:3">
      <c r="A3272" s="4" t="s">
        <v>7984</v>
      </c>
      <c r="B3272" s="4" t="s">
        <v>7983</v>
      </c>
      <c r="C3272" s="4" t="s">
        <v>7983</v>
      </c>
    </row>
    <row r="3273" spans="1:3">
      <c r="A3273" s="4" t="s">
        <v>3316</v>
      </c>
      <c r="B3273" s="4" t="s">
        <v>7985</v>
      </c>
      <c r="C3273" s="4" t="s">
        <v>7985</v>
      </c>
    </row>
    <row r="3274" spans="1:3">
      <c r="A3274" s="4" t="s">
        <v>7987</v>
      </c>
      <c r="B3274" s="4" t="s">
        <v>7986</v>
      </c>
      <c r="C3274" s="4" t="s">
        <v>7986</v>
      </c>
    </row>
    <row r="3275" spans="1:3">
      <c r="A3275" s="4" t="s">
        <v>7989</v>
      </c>
      <c r="B3275" s="4" t="s">
        <v>7988</v>
      </c>
      <c r="C3275" s="4" t="s">
        <v>7988</v>
      </c>
    </row>
    <row r="3276" spans="1:3">
      <c r="A3276" s="4" t="s">
        <v>7991</v>
      </c>
      <c r="B3276" s="4" t="s">
        <v>7990</v>
      </c>
      <c r="C3276" s="4" t="s">
        <v>7990</v>
      </c>
    </row>
    <row r="3277" spans="1:3">
      <c r="A3277" s="4" t="s">
        <v>7993</v>
      </c>
      <c r="B3277" s="4" t="s">
        <v>7992</v>
      </c>
      <c r="C3277" s="4" t="s">
        <v>7992</v>
      </c>
    </row>
    <row r="3278" spans="1:3">
      <c r="A3278" s="4" t="s">
        <v>7995</v>
      </c>
      <c r="B3278" s="4" t="s">
        <v>7994</v>
      </c>
      <c r="C3278" s="4" t="s">
        <v>7994</v>
      </c>
    </row>
    <row r="3279" spans="1:3">
      <c r="A3279" s="4" t="s">
        <v>7997</v>
      </c>
      <c r="B3279" s="4" t="s">
        <v>7996</v>
      </c>
      <c r="C3279" s="4" t="s">
        <v>7996</v>
      </c>
    </row>
    <row r="3280" spans="1:3">
      <c r="A3280" s="4" t="s">
        <v>7999</v>
      </c>
      <c r="B3280" s="4" t="s">
        <v>7998</v>
      </c>
      <c r="C3280" s="4" t="s">
        <v>7998</v>
      </c>
    </row>
    <row r="3281" spans="1:3">
      <c r="A3281" s="4" t="s">
        <v>8001</v>
      </c>
      <c r="B3281" s="4" t="s">
        <v>8000</v>
      </c>
      <c r="C3281" s="4" t="s">
        <v>8000</v>
      </c>
    </row>
    <row r="3282" spans="1:3">
      <c r="A3282" s="4" t="s">
        <v>8003</v>
      </c>
      <c r="B3282" s="4" t="s">
        <v>8002</v>
      </c>
      <c r="C3282" s="4" t="s">
        <v>8002</v>
      </c>
    </row>
    <row r="3283" spans="1:3">
      <c r="A3283" s="4" t="s">
        <v>8005</v>
      </c>
      <c r="B3283" s="4" t="s">
        <v>8004</v>
      </c>
      <c r="C3283" s="4" t="s">
        <v>8004</v>
      </c>
    </row>
    <row r="3284" spans="1:3">
      <c r="A3284" s="4" t="s">
        <v>8007</v>
      </c>
      <c r="B3284" s="4" t="s">
        <v>8006</v>
      </c>
      <c r="C3284" s="4" t="s">
        <v>8006</v>
      </c>
    </row>
    <row r="3285" spans="1:3">
      <c r="A3285" s="4" t="s">
        <v>8009</v>
      </c>
      <c r="B3285" s="4" t="s">
        <v>8008</v>
      </c>
      <c r="C3285" s="4" t="s">
        <v>8008</v>
      </c>
    </row>
    <row r="3286" spans="1:3">
      <c r="A3286" s="4" t="s">
        <v>8011</v>
      </c>
      <c r="B3286" s="4" t="s">
        <v>8010</v>
      </c>
      <c r="C3286" s="4" t="s">
        <v>8010</v>
      </c>
    </row>
    <row r="3287" spans="1:3">
      <c r="A3287" s="4" t="s">
        <v>8013</v>
      </c>
      <c r="B3287" s="4" t="s">
        <v>8012</v>
      </c>
      <c r="C3287" s="4" t="s">
        <v>8012</v>
      </c>
    </row>
    <row r="3288" spans="1:3">
      <c r="A3288" s="4" t="s">
        <v>8015</v>
      </c>
      <c r="B3288" s="4" t="s">
        <v>8014</v>
      </c>
      <c r="C3288" s="4" t="s">
        <v>8014</v>
      </c>
    </row>
    <row r="3289" spans="1:3">
      <c r="A3289" s="4" t="s">
        <v>8017</v>
      </c>
      <c r="B3289" s="4" t="s">
        <v>8016</v>
      </c>
      <c r="C3289" s="4" t="s">
        <v>8016</v>
      </c>
    </row>
    <row r="3290" spans="1:3">
      <c r="A3290" s="4" t="s">
        <v>8019</v>
      </c>
      <c r="B3290" s="4" t="s">
        <v>8018</v>
      </c>
      <c r="C3290" s="4" t="s">
        <v>8018</v>
      </c>
    </row>
    <row r="3291" spans="1:3">
      <c r="A3291" s="4" t="s">
        <v>7136</v>
      </c>
      <c r="B3291" s="4" t="s">
        <v>8020</v>
      </c>
      <c r="C3291" s="4" t="s">
        <v>8020</v>
      </c>
    </row>
    <row r="3292" spans="1:3">
      <c r="A3292" s="4" t="s">
        <v>8022</v>
      </c>
      <c r="B3292" s="4" t="s">
        <v>8021</v>
      </c>
      <c r="C3292" s="4" t="s">
        <v>8021</v>
      </c>
    </row>
    <row r="3293" spans="1:3">
      <c r="A3293" s="4" t="s">
        <v>8024</v>
      </c>
      <c r="B3293" s="4" t="s">
        <v>8023</v>
      </c>
      <c r="C3293" s="4" t="s">
        <v>8023</v>
      </c>
    </row>
    <row r="3294" spans="1:3">
      <c r="A3294" s="4" t="s">
        <v>8026</v>
      </c>
      <c r="B3294" s="4" t="s">
        <v>8025</v>
      </c>
      <c r="C3294" s="4" t="s">
        <v>8025</v>
      </c>
    </row>
    <row r="3295" spans="1:3">
      <c r="A3295" s="4" t="s">
        <v>8028</v>
      </c>
      <c r="B3295" s="4" t="s">
        <v>8027</v>
      </c>
      <c r="C3295" s="4" t="s">
        <v>8027</v>
      </c>
    </row>
    <row r="3296" spans="1:3">
      <c r="A3296" s="4" t="s">
        <v>7995</v>
      </c>
      <c r="B3296" s="4" t="s">
        <v>7994</v>
      </c>
      <c r="C3296" s="4" t="s">
        <v>7994</v>
      </c>
    </row>
    <row r="3297" spans="1:3">
      <c r="A3297" s="4" t="s">
        <v>8030</v>
      </c>
      <c r="B3297" s="4" t="s">
        <v>8029</v>
      </c>
      <c r="C3297" s="4" t="s">
        <v>8029</v>
      </c>
    </row>
    <row r="3298" spans="1:3">
      <c r="A3298" s="4" t="s">
        <v>8015</v>
      </c>
      <c r="B3298" s="4" t="s">
        <v>8014</v>
      </c>
      <c r="C3298" s="4" t="s">
        <v>8014</v>
      </c>
    </row>
    <row r="3299" spans="1:3">
      <c r="A3299" s="4" t="s">
        <v>7548</v>
      </c>
      <c r="B3299" s="4" t="s">
        <v>7547</v>
      </c>
      <c r="C3299" s="4" t="s">
        <v>7547</v>
      </c>
    </row>
    <row r="3300" spans="1:3">
      <c r="A3300" s="4" t="s">
        <v>7972</v>
      </c>
      <c r="B3300" s="4" t="s">
        <v>7971</v>
      </c>
      <c r="C3300" s="4" t="s">
        <v>7971</v>
      </c>
    </row>
    <row r="3301" spans="1:3">
      <c r="A3301" s="4" t="s">
        <v>7974</v>
      </c>
      <c r="B3301" s="4" t="s">
        <v>7973</v>
      </c>
      <c r="C3301" s="4" t="s">
        <v>7973</v>
      </c>
    </row>
    <row r="3302" spans="1:3">
      <c r="A3302" s="4" t="s">
        <v>7976</v>
      </c>
      <c r="B3302" s="4" t="s">
        <v>7975</v>
      </c>
      <c r="C3302" s="4" t="s">
        <v>7975</v>
      </c>
    </row>
    <row r="3303" spans="1:3">
      <c r="A3303" s="4" t="s">
        <v>7978</v>
      </c>
      <c r="B3303" s="4" t="s">
        <v>7977</v>
      </c>
      <c r="C3303" s="4" t="s">
        <v>7977</v>
      </c>
    </row>
    <row r="3304" spans="1:3">
      <c r="A3304" s="4" t="s">
        <v>7980</v>
      </c>
      <c r="B3304" s="4" t="s">
        <v>7979</v>
      </c>
      <c r="C3304" s="4" t="s">
        <v>7979</v>
      </c>
    </row>
    <row r="3305" spans="1:3">
      <c r="A3305" s="4" t="s">
        <v>7982</v>
      </c>
      <c r="B3305" s="4" t="s">
        <v>7981</v>
      </c>
      <c r="C3305" s="4" t="s">
        <v>7981</v>
      </c>
    </row>
    <row r="3306" spans="1:3">
      <c r="A3306" s="4" t="s">
        <v>7984</v>
      </c>
      <c r="B3306" s="4" t="s">
        <v>7983</v>
      </c>
      <c r="C3306" s="4" t="s">
        <v>7983</v>
      </c>
    </row>
    <row r="3307" spans="1:3">
      <c r="A3307" s="4" t="s">
        <v>3316</v>
      </c>
      <c r="B3307" s="4" t="s">
        <v>7985</v>
      </c>
      <c r="C3307" s="4" t="s">
        <v>7985</v>
      </c>
    </row>
    <row r="3308" spans="1:3">
      <c r="A3308" s="4" t="s">
        <v>7987</v>
      </c>
      <c r="B3308" s="4" t="s">
        <v>7986</v>
      </c>
      <c r="C3308" s="4" t="s">
        <v>7986</v>
      </c>
    </row>
    <row r="3309" spans="1:3">
      <c r="A3309" s="4" t="s">
        <v>7989</v>
      </c>
      <c r="B3309" s="4" t="s">
        <v>7988</v>
      </c>
      <c r="C3309" s="4" t="s">
        <v>7988</v>
      </c>
    </row>
    <row r="3310" spans="1:3">
      <c r="A3310" s="4" t="s">
        <v>7991</v>
      </c>
      <c r="B3310" s="4" t="s">
        <v>7990</v>
      </c>
      <c r="C3310" s="4" t="s">
        <v>7990</v>
      </c>
    </row>
    <row r="3311" spans="1:3">
      <c r="A3311" s="4" t="s">
        <v>7993</v>
      </c>
      <c r="B3311" s="4" t="s">
        <v>7992</v>
      </c>
      <c r="C3311" s="4" t="s">
        <v>7992</v>
      </c>
    </row>
    <row r="3312" spans="1:3">
      <c r="A3312" s="4" t="s">
        <v>8028</v>
      </c>
      <c r="B3312" s="4" t="s">
        <v>8027</v>
      </c>
      <c r="C3312" s="4" t="s">
        <v>8027</v>
      </c>
    </row>
    <row r="3313" spans="1:3">
      <c r="A3313" s="4" t="s">
        <v>7995</v>
      </c>
      <c r="B3313" s="4" t="s">
        <v>7994</v>
      </c>
      <c r="C3313" s="4" t="s">
        <v>7994</v>
      </c>
    </row>
    <row r="3314" spans="1:3">
      <c r="A3314" s="4" t="s">
        <v>7997</v>
      </c>
      <c r="B3314" s="4" t="s">
        <v>7996</v>
      </c>
      <c r="C3314" s="4" t="s">
        <v>7996</v>
      </c>
    </row>
    <row r="3315" spans="1:3">
      <c r="A3315" s="4" t="s">
        <v>7999</v>
      </c>
      <c r="B3315" s="4" t="s">
        <v>7998</v>
      </c>
      <c r="C3315" s="4" t="s">
        <v>7998</v>
      </c>
    </row>
    <row r="3316" spans="1:3">
      <c r="A3316" s="4" t="s">
        <v>8001</v>
      </c>
      <c r="B3316" s="4" t="s">
        <v>8000</v>
      </c>
      <c r="C3316" s="4" t="s">
        <v>8000</v>
      </c>
    </row>
    <row r="3317" spans="1:3">
      <c r="A3317" s="4" t="s">
        <v>8003</v>
      </c>
      <c r="B3317" s="4" t="s">
        <v>8002</v>
      </c>
      <c r="C3317" s="4" t="s">
        <v>8002</v>
      </c>
    </row>
    <row r="3318" spans="1:3">
      <c r="A3318" s="4" t="s">
        <v>8005</v>
      </c>
      <c r="B3318" s="4" t="s">
        <v>8004</v>
      </c>
      <c r="C3318" s="4" t="s">
        <v>8004</v>
      </c>
    </row>
    <row r="3319" spans="1:3">
      <c r="A3319" s="4" t="s">
        <v>8007</v>
      </c>
      <c r="B3319" s="4" t="s">
        <v>8006</v>
      </c>
      <c r="C3319" s="4" t="s">
        <v>8006</v>
      </c>
    </row>
    <row r="3320" spans="1:3">
      <c r="A3320" s="4" t="s">
        <v>8009</v>
      </c>
      <c r="B3320" s="4" t="s">
        <v>8008</v>
      </c>
      <c r="C3320" s="4" t="s">
        <v>8008</v>
      </c>
    </row>
    <row r="3321" spans="1:3">
      <c r="A3321" s="4" t="s">
        <v>8011</v>
      </c>
      <c r="B3321" s="4" t="s">
        <v>8010</v>
      </c>
      <c r="C3321" s="4" t="s">
        <v>8010</v>
      </c>
    </row>
    <row r="3322" spans="1:3">
      <c r="A3322" s="4" t="s">
        <v>8015</v>
      </c>
      <c r="B3322" s="4" t="s">
        <v>8014</v>
      </c>
      <c r="C3322" s="4" t="s">
        <v>8014</v>
      </c>
    </row>
    <row r="3323" spans="1:3">
      <c r="A3323" s="4" t="s">
        <v>8032</v>
      </c>
      <c r="B3323" s="4" t="s">
        <v>8031</v>
      </c>
      <c r="C3323" s="4" t="s">
        <v>8031</v>
      </c>
    </row>
    <row r="3324" spans="1:3">
      <c r="A3324" s="4" t="s">
        <v>8034</v>
      </c>
      <c r="B3324" s="4" t="s">
        <v>8033</v>
      </c>
      <c r="C3324" s="4" t="s">
        <v>8033</v>
      </c>
    </row>
    <row r="3325" spans="1:3">
      <c r="A3325" s="4" t="s">
        <v>8036</v>
      </c>
      <c r="B3325" s="4" t="s">
        <v>8035</v>
      </c>
      <c r="C3325" s="4" t="s">
        <v>8035</v>
      </c>
    </row>
    <row r="3326" spans="1:3">
      <c r="A3326" s="4" t="s">
        <v>8024</v>
      </c>
      <c r="B3326" s="4" t="s">
        <v>8023</v>
      </c>
      <c r="C3326" s="4" t="s">
        <v>8023</v>
      </c>
    </row>
    <row r="3327" spans="1:3">
      <c r="A3327" s="4" t="s">
        <v>8005</v>
      </c>
      <c r="B3327" s="4" t="s">
        <v>8004</v>
      </c>
      <c r="C3327" s="4" t="s">
        <v>8004</v>
      </c>
    </row>
    <row r="3328" spans="1:3">
      <c r="A3328" s="4" t="s">
        <v>8038</v>
      </c>
      <c r="B3328" s="4" t="s">
        <v>8037</v>
      </c>
      <c r="C3328" s="4" t="s">
        <v>8037</v>
      </c>
    </row>
    <row r="3329" spans="1:3">
      <c r="A3329" s="4" t="s">
        <v>8038</v>
      </c>
      <c r="B3329" s="4" t="s">
        <v>8037</v>
      </c>
      <c r="C3329" s="4" t="s">
        <v>8037</v>
      </c>
    </row>
    <row r="3330" spans="1:3">
      <c r="A3330" s="4" t="s">
        <v>8040</v>
      </c>
      <c r="B3330" s="4" t="s">
        <v>8039</v>
      </c>
      <c r="C3330" s="4" t="s">
        <v>8039</v>
      </c>
    </row>
    <row r="3331" spans="1:3">
      <c r="A3331" s="4" t="s">
        <v>8040</v>
      </c>
      <c r="B3331" s="4" t="s">
        <v>8039</v>
      </c>
      <c r="C3331" s="4" t="s">
        <v>8039</v>
      </c>
    </row>
    <row r="3332" spans="1:3">
      <c r="A3332" s="4" t="s">
        <v>8042</v>
      </c>
      <c r="B3332" s="4" t="s">
        <v>8041</v>
      </c>
      <c r="C3332" s="4" t="s">
        <v>8041</v>
      </c>
    </row>
    <row r="3333" spans="1:3">
      <c r="A3333" s="4" t="s">
        <v>8044</v>
      </c>
      <c r="B3333" s="4" t="s">
        <v>8043</v>
      </c>
      <c r="C3333" s="4" t="s">
        <v>8043</v>
      </c>
    </row>
    <row r="3334" spans="1:3">
      <c r="A3334" s="4" t="s">
        <v>7617</v>
      </c>
      <c r="B3334" s="4" t="s">
        <v>8045</v>
      </c>
      <c r="C3334" s="4" t="s">
        <v>8045</v>
      </c>
    </row>
    <row r="3335" spans="1:3">
      <c r="A3335" s="4" t="s">
        <v>8047</v>
      </c>
      <c r="B3335" s="4" t="s">
        <v>8046</v>
      </c>
      <c r="C3335" s="4" t="s">
        <v>8046</v>
      </c>
    </row>
    <row r="3336" spans="1:3">
      <c r="A3336" s="4" t="s">
        <v>8049</v>
      </c>
      <c r="B3336" s="4" t="s">
        <v>8048</v>
      </c>
      <c r="C3336" s="4" t="s">
        <v>8048</v>
      </c>
    </row>
    <row r="3337" spans="1:3">
      <c r="A3337" s="4" t="s">
        <v>8051</v>
      </c>
      <c r="B3337" s="4" t="s">
        <v>8050</v>
      </c>
      <c r="C3337" s="4" t="s">
        <v>8050</v>
      </c>
    </row>
    <row r="3338" spans="1:3">
      <c r="A3338" s="4" t="s">
        <v>8053</v>
      </c>
      <c r="B3338" s="4" t="s">
        <v>8052</v>
      </c>
      <c r="C3338" s="4" t="s">
        <v>8052</v>
      </c>
    </row>
    <row r="3339" spans="1:3">
      <c r="A3339" s="4" t="s">
        <v>8054</v>
      </c>
      <c r="B3339" s="4" t="s">
        <v>6021</v>
      </c>
      <c r="C3339" s="4" t="s">
        <v>6021</v>
      </c>
    </row>
    <row r="3340" spans="1:3">
      <c r="A3340" s="4" t="s">
        <v>8056</v>
      </c>
      <c r="B3340" s="4" t="s">
        <v>8055</v>
      </c>
      <c r="C3340" s="4" t="s">
        <v>8055</v>
      </c>
    </row>
    <row r="3341" spans="1:3">
      <c r="A3341" s="4" t="s">
        <v>7756</v>
      </c>
      <c r="B3341" s="4" t="s">
        <v>6015</v>
      </c>
      <c r="C3341" s="4" t="s">
        <v>6015</v>
      </c>
    </row>
    <row r="3342" spans="1:3">
      <c r="A3342" s="4" t="s">
        <v>8058</v>
      </c>
      <c r="B3342" s="4" t="s">
        <v>8057</v>
      </c>
      <c r="C3342" s="4" t="s">
        <v>8057</v>
      </c>
    </row>
    <row r="3343" spans="1:3">
      <c r="A3343" s="4" t="s">
        <v>8059</v>
      </c>
      <c r="B3343" s="4" t="s">
        <v>6018</v>
      </c>
      <c r="C3343" s="4" t="s">
        <v>6018</v>
      </c>
    </row>
    <row r="3344" spans="1:3">
      <c r="A3344" s="4" t="s">
        <v>8060</v>
      </c>
      <c r="B3344" s="4" t="s">
        <v>6020</v>
      </c>
      <c r="C3344" s="4" t="s">
        <v>6020</v>
      </c>
    </row>
    <row r="3345" spans="1:3">
      <c r="A3345" s="4" t="s">
        <v>8061</v>
      </c>
      <c r="B3345" s="4" t="s">
        <v>6024</v>
      </c>
      <c r="C3345" s="4" t="s">
        <v>6024</v>
      </c>
    </row>
    <row r="3346" spans="1:3">
      <c r="A3346" s="4" t="s">
        <v>8062</v>
      </c>
      <c r="B3346" s="4" t="s">
        <v>6026</v>
      </c>
      <c r="C3346" s="4" t="s">
        <v>6026</v>
      </c>
    </row>
    <row r="3347" spans="1:3">
      <c r="A3347" s="4" t="s">
        <v>8063</v>
      </c>
      <c r="B3347" s="4" t="s">
        <v>6027</v>
      </c>
      <c r="C3347" s="4" t="s">
        <v>6027</v>
      </c>
    </row>
    <row r="3348" spans="1:3">
      <c r="A3348" s="4" t="s">
        <v>8065</v>
      </c>
      <c r="B3348" s="4" t="s">
        <v>8064</v>
      </c>
      <c r="C3348" s="4" t="s">
        <v>8064</v>
      </c>
    </row>
    <row r="3349" spans="1:3">
      <c r="A3349" s="4" t="s">
        <v>8056</v>
      </c>
      <c r="B3349" s="4" t="s">
        <v>8055</v>
      </c>
      <c r="C3349" s="4" t="s">
        <v>8055</v>
      </c>
    </row>
    <row r="3350" spans="1:3">
      <c r="A3350" s="4" t="s">
        <v>7756</v>
      </c>
      <c r="B3350" s="4" t="s">
        <v>6015</v>
      </c>
      <c r="C3350" s="4" t="s">
        <v>6015</v>
      </c>
    </row>
    <row r="3351" spans="1:3">
      <c r="A3351" s="4" t="s">
        <v>8058</v>
      </c>
      <c r="B3351" s="4" t="s">
        <v>8057</v>
      </c>
      <c r="C3351" s="4" t="s">
        <v>8057</v>
      </c>
    </row>
    <row r="3352" spans="1:3">
      <c r="A3352" s="4" t="s">
        <v>8059</v>
      </c>
      <c r="B3352" s="4" t="s">
        <v>6018</v>
      </c>
      <c r="C3352" s="4" t="s">
        <v>6018</v>
      </c>
    </row>
    <row r="3353" spans="1:3">
      <c r="A3353" s="4" t="s">
        <v>8060</v>
      </c>
      <c r="B3353" s="4" t="s">
        <v>6020</v>
      </c>
      <c r="C3353" s="4" t="s">
        <v>6020</v>
      </c>
    </row>
    <row r="3354" spans="1:3">
      <c r="A3354" s="4" t="s">
        <v>8061</v>
      </c>
      <c r="B3354" s="4" t="s">
        <v>6024</v>
      </c>
      <c r="C3354" s="4" t="s">
        <v>6024</v>
      </c>
    </row>
    <row r="3355" spans="1:3">
      <c r="A3355" s="4" t="s">
        <v>8062</v>
      </c>
      <c r="B3355" s="4" t="s">
        <v>6026</v>
      </c>
      <c r="C3355" s="4" t="s">
        <v>6026</v>
      </c>
    </row>
    <row r="3356" spans="1:3">
      <c r="A3356" s="4" t="s">
        <v>8063</v>
      </c>
      <c r="B3356" s="4" t="s">
        <v>6027</v>
      </c>
      <c r="C3356" s="4" t="s">
        <v>6027</v>
      </c>
    </row>
    <row r="3357" spans="1:3">
      <c r="A3357" s="4" t="s">
        <v>8066</v>
      </c>
      <c r="B3357" s="4" t="s">
        <v>7818</v>
      </c>
      <c r="C3357" s="4" t="s">
        <v>7818</v>
      </c>
    </row>
    <row r="3358" spans="1:3">
      <c r="A3358" s="4" t="s">
        <v>8065</v>
      </c>
      <c r="B3358" s="4" t="s">
        <v>8064</v>
      </c>
      <c r="C3358" s="4" t="s">
        <v>8064</v>
      </c>
    </row>
    <row r="3359" spans="1:3">
      <c r="A3359" s="4" t="s">
        <v>8068</v>
      </c>
      <c r="B3359" s="4" t="s">
        <v>8067</v>
      </c>
      <c r="C3359" s="4" t="s">
        <v>8067</v>
      </c>
    </row>
    <row r="3360" spans="1:3">
      <c r="A3360" s="4" t="s">
        <v>8070</v>
      </c>
      <c r="B3360" s="4" t="s">
        <v>8069</v>
      </c>
      <c r="C3360" s="4" t="s">
        <v>8069</v>
      </c>
    </row>
    <row r="3361" spans="1:3">
      <c r="A3361" s="4" t="s">
        <v>8072</v>
      </c>
      <c r="B3361" s="4" t="s">
        <v>8071</v>
      </c>
      <c r="C3361" s="4" t="s">
        <v>8071</v>
      </c>
    </row>
    <row r="3362" spans="1:3">
      <c r="A3362" s="4" t="s">
        <v>8074</v>
      </c>
      <c r="B3362" s="4" t="s">
        <v>8073</v>
      </c>
      <c r="C3362" s="4" t="s">
        <v>8073</v>
      </c>
    </row>
    <row r="3363" spans="1:3">
      <c r="A3363" s="4" t="s">
        <v>8076</v>
      </c>
      <c r="B3363" s="4" t="s">
        <v>8075</v>
      </c>
      <c r="C3363" s="4" t="s">
        <v>8075</v>
      </c>
    </row>
    <row r="3364" spans="1:3">
      <c r="A3364" s="4" t="s">
        <v>8078</v>
      </c>
      <c r="B3364" s="4" t="s">
        <v>8077</v>
      </c>
      <c r="C3364" s="4" t="s">
        <v>8077</v>
      </c>
    </row>
    <row r="3365" spans="1:3">
      <c r="A3365" s="4" t="s">
        <v>8080</v>
      </c>
      <c r="B3365" s="4" t="s">
        <v>8079</v>
      </c>
      <c r="C3365" s="4" t="s">
        <v>8079</v>
      </c>
    </row>
    <row r="3366" spans="1:3">
      <c r="A3366" s="4" t="s">
        <v>8082</v>
      </c>
      <c r="B3366" s="4" t="s">
        <v>8081</v>
      </c>
      <c r="C3366" s="4" t="s">
        <v>8081</v>
      </c>
    </row>
    <row r="3367" spans="1:3">
      <c r="A3367" s="4" t="s">
        <v>8082</v>
      </c>
      <c r="B3367" s="4" t="s">
        <v>8081</v>
      </c>
      <c r="C3367" s="4" t="s">
        <v>8081</v>
      </c>
    </row>
    <row r="3368" spans="1:3">
      <c r="A3368" s="4" t="s">
        <v>8084</v>
      </c>
      <c r="B3368" s="4" t="s">
        <v>8083</v>
      </c>
      <c r="C3368" s="4" t="s">
        <v>8083</v>
      </c>
    </row>
    <row r="3369" spans="1:3">
      <c r="A3369" s="4" t="s">
        <v>8086</v>
      </c>
      <c r="B3369" s="4" t="s">
        <v>8085</v>
      </c>
      <c r="C3369" s="4" t="s">
        <v>8085</v>
      </c>
    </row>
    <row r="3370" spans="1:3">
      <c r="A3370" s="4" t="s">
        <v>8088</v>
      </c>
      <c r="B3370" s="4" t="s">
        <v>8087</v>
      </c>
      <c r="C3370" s="4" t="s">
        <v>8087</v>
      </c>
    </row>
    <row r="3371" spans="1:3">
      <c r="A3371" s="4" t="s">
        <v>8090</v>
      </c>
      <c r="B3371" s="4" t="s">
        <v>8089</v>
      </c>
      <c r="C3371" s="4" t="s">
        <v>8089</v>
      </c>
    </row>
    <row r="3372" spans="1:3">
      <c r="A3372" s="4" t="s">
        <v>8092</v>
      </c>
      <c r="B3372" s="4" t="s">
        <v>8091</v>
      </c>
      <c r="C3372" s="4" t="s">
        <v>8091</v>
      </c>
    </row>
    <row r="3373" spans="1:3">
      <c r="A3373" s="4" t="s">
        <v>8092</v>
      </c>
      <c r="B3373" s="4" t="s">
        <v>8091</v>
      </c>
      <c r="C3373" s="4" t="s">
        <v>8091</v>
      </c>
    </row>
    <row r="3374" spans="1:3">
      <c r="A3374" s="4" t="s">
        <v>8094</v>
      </c>
      <c r="B3374" s="4" t="s">
        <v>8093</v>
      </c>
      <c r="C3374" s="4" t="s">
        <v>8093</v>
      </c>
    </row>
    <row r="3375" spans="1:3">
      <c r="A3375" s="4" t="s">
        <v>8096</v>
      </c>
      <c r="B3375" s="4" t="s">
        <v>8095</v>
      </c>
      <c r="C3375" s="4" t="s">
        <v>8095</v>
      </c>
    </row>
    <row r="3376" spans="1:3">
      <c r="A3376" s="4" t="s">
        <v>8096</v>
      </c>
      <c r="B3376" s="4" t="s">
        <v>8095</v>
      </c>
      <c r="C3376" s="4" t="s">
        <v>8095</v>
      </c>
    </row>
    <row r="3377" spans="1:3">
      <c r="A3377" s="4" t="s">
        <v>8098</v>
      </c>
      <c r="B3377" s="4" t="s">
        <v>8097</v>
      </c>
      <c r="C3377" s="4" t="s">
        <v>8097</v>
      </c>
    </row>
    <row r="3378" spans="1:3">
      <c r="A3378" s="4" t="s">
        <v>8100</v>
      </c>
      <c r="B3378" s="4" t="s">
        <v>8099</v>
      </c>
      <c r="C3378" s="4" t="s">
        <v>8099</v>
      </c>
    </row>
    <row r="3379" spans="1:3">
      <c r="A3379" s="4" t="s">
        <v>8100</v>
      </c>
      <c r="B3379" s="4" t="s">
        <v>8099</v>
      </c>
      <c r="C3379" s="4" t="s">
        <v>8099</v>
      </c>
    </row>
    <row r="3380" spans="1:3">
      <c r="A3380" s="4" t="s">
        <v>5956</v>
      </c>
      <c r="B3380" s="4" t="s">
        <v>8101</v>
      </c>
      <c r="C3380" s="4" t="s">
        <v>8101</v>
      </c>
    </row>
    <row r="3381" spans="1:3">
      <c r="A3381" s="4" t="s">
        <v>8103</v>
      </c>
      <c r="B3381" s="4" t="s">
        <v>8102</v>
      </c>
      <c r="C3381" s="4" t="s">
        <v>8102</v>
      </c>
    </row>
    <row r="3382" spans="1:3">
      <c r="A3382" s="4" t="s">
        <v>8105</v>
      </c>
      <c r="B3382" s="4" t="s">
        <v>8104</v>
      </c>
      <c r="C3382" s="4" t="s">
        <v>8104</v>
      </c>
    </row>
    <row r="3383" spans="1:3">
      <c r="A3383" s="4" t="s">
        <v>8107</v>
      </c>
      <c r="B3383" s="4" t="s">
        <v>8106</v>
      </c>
      <c r="C3383" s="4" t="s">
        <v>8106</v>
      </c>
    </row>
    <row r="3384" spans="1:3">
      <c r="A3384" s="4" t="s">
        <v>5955</v>
      </c>
      <c r="B3384" s="4" t="s">
        <v>8108</v>
      </c>
      <c r="C3384" s="4" t="s">
        <v>8108</v>
      </c>
    </row>
    <row r="3385" spans="1:3">
      <c r="A3385" s="4" t="s">
        <v>8100</v>
      </c>
      <c r="B3385" s="4" t="s">
        <v>8099</v>
      </c>
      <c r="C3385" s="4" t="s">
        <v>8099</v>
      </c>
    </row>
    <row r="3386" spans="1:3">
      <c r="A3386" s="4" t="s">
        <v>8110</v>
      </c>
      <c r="B3386" s="4" t="s">
        <v>8109</v>
      </c>
      <c r="C3386" s="4" t="s">
        <v>8109</v>
      </c>
    </row>
    <row r="3387" spans="1:3">
      <c r="A3387" s="4" t="s">
        <v>8105</v>
      </c>
      <c r="B3387" s="4" t="s">
        <v>8104</v>
      </c>
      <c r="C3387" s="4" t="s">
        <v>8104</v>
      </c>
    </row>
    <row r="3388" spans="1:3">
      <c r="A3388" s="4" t="s">
        <v>8112</v>
      </c>
      <c r="B3388" s="4" t="s">
        <v>8111</v>
      </c>
      <c r="C3388" s="4" t="s">
        <v>8111</v>
      </c>
    </row>
    <row r="3389" spans="1:3">
      <c r="A3389" s="4" t="s">
        <v>7735</v>
      </c>
      <c r="B3389" s="4" t="s">
        <v>7734</v>
      </c>
      <c r="C3389" s="4" t="s">
        <v>7734</v>
      </c>
    </row>
    <row r="3390" spans="1:3">
      <c r="A3390" s="4" t="s">
        <v>8114</v>
      </c>
      <c r="B3390" s="4" t="s">
        <v>8113</v>
      </c>
      <c r="C3390" s="4" t="s">
        <v>8113</v>
      </c>
    </row>
    <row r="3391" spans="1:3">
      <c r="A3391" s="4" t="s">
        <v>8116</v>
      </c>
      <c r="B3391" s="4" t="s">
        <v>8115</v>
      </c>
      <c r="C3391" s="4" t="s">
        <v>8115</v>
      </c>
    </row>
    <row r="3392" spans="1:3">
      <c r="A3392" s="4" t="s">
        <v>8118</v>
      </c>
      <c r="B3392" s="4" t="s">
        <v>8117</v>
      </c>
      <c r="C3392" s="4" t="s">
        <v>8117</v>
      </c>
    </row>
    <row r="3393" spans="1:3">
      <c r="A3393" s="4" t="s">
        <v>8120</v>
      </c>
      <c r="B3393" s="4" t="s">
        <v>8119</v>
      </c>
      <c r="C3393" s="4" t="s">
        <v>8119</v>
      </c>
    </row>
    <row r="3394" spans="1:3">
      <c r="A3394" s="4" t="s">
        <v>5911</v>
      </c>
      <c r="B3394" s="4" t="s">
        <v>8121</v>
      </c>
      <c r="C3394" s="4" t="s">
        <v>8121</v>
      </c>
    </row>
    <row r="3395" spans="1:3">
      <c r="A3395" s="4" t="s">
        <v>8123</v>
      </c>
      <c r="B3395" s="4" t="s">
        <v>8122</v>
      </c>
      <c r="C3395" s="4" t="s">
        <v>8122</v>
      </c>
    </row>
    <row r="3396" spans="1:3">
      <c r="A3396" s="4" t="s">
        <v>8125</v>
      </c>
      <c r="B3396" s="4" t="s">
        <v>8124</v>
      </c>
      <c r="C3396" s="4" t="s">
        <v>8124</v>
      </c>
    </row>
    <row r="3397" spans="1:3">
      <c r="A3397" s="4" t="s">
        <v>8127</v>
      </c>
      <c r="B3397" s="4" t="s">
        <v>8126</v>
      </c>
      <c r="C3397" s="4" t="s">
        <v>8126</v>
      </c>
    </row>
    <row r="3398" spans="1:3">
      <c r="A3398" s="4" t="s">
        <v>8129</v>
      </c>
      <c r="B3398" s="4" t="s">
        <v>8128</v>
      </c>
      <c r="C3398" s="4" t="s">
        <v>8128</v>
      </c>
    </row>
    <row r="3399" spans="1:3">
      <c r="A3399" s="4" t="s">
        <v>8131</v>
      </c>
      <c r="B3399" s="4" t="s">
        <v>8130</v>
      </c>
      <c r="C3399" s="4" t="s">
        <v>8130</v>
      </c>
    </row>
    <row r="3400" spans="1:3">
      <c r="A3400" s="4" t="s">
        <v>8133</v>
      </c>
      <c r="B3400" s="4" t="s">
        <v>8132</v>
      </c>
      <c r="C3400" s="4" t="s">
        <v>8132</v>
      </c>
    </row>
    <row r="3401" spans="1:3">
      <c r="A3401" s="4" t="s">
        <v>8125</v>
      </c>
      <c r="B3401" s="4" t="s">
        <v>8134</v>
      </c>
      <c r="C3401" s="4" t="s">
        <v>8134</v>
      </c>
    </row>
    <row r="3402" spans="1:3">
      <c r="A3402" s="4" t="s">
        <v>8125</v>
      </c>
      <c r="B3402" s="4" t="s">
        <v>8135</v>
      </c>
      <c r="C3402" s="4" t="s">
        <v>8135</v>
      </c>
    </row>
    <row r="3403" spans="1:3">
      <c r="A3403" s="4" t="s">
        <v>8125</v>
      </c>
      <c r="B3403" s="4" t="s">
        <v>8134</v>
      </c>
      <c r="C3403" s="4" t="s">
        <v>8134</v>
      </c>
    </row>
    <row r="3404" spans="1:3">
      <c r="A3404" s="4" t="s">
        <v>8137</v>
      </c>
      <c r="B3404" s="4" t="s">
        <v>8136</v>
      </c>
      <c r="C3404" s="4" t="s">
        <v>8136</v>
      </c>
    </row>
    <row r="3405" spans="1:3">
      <c r="A3405" s="4" t="s">
        <v>8138</v>
      </c>
      <c r="B3405" s="4" t="s">
        <v>7708</v>
      </c>
      <c r="C3405" s="4" t="s">
        <v>7708</v>
      </c>
    </row>
    <row r="3406" spans="1:3">
      <c r="A3406" s="4" t="s">
        <v>8125</v>
      </c>
      <c r="B3406" s="4" t="s">
        <v>8139</v>
      </c>
      <c r="C3406" s="4" t="s">
        <v>8139</v>
      </c>
    </row>
    <row r="3407" spans="1:3">
      <c r="A3407" s="4" t="s">
        <v>7953</v>
      </c>
      <c r="B3407" s="4" t="s">
        <v>7952</v>
      </c>
      <c r="C3407" s="4" t="s">
        <v>7952</v>
      </c>
    </row>
    <row r="3408" spans="1:3">
      <c r="A3408" s="4" t="s">
        <v>8125</v>
      </c>
      <c r="B3408" s="4" t="s">
        <v>8140</v>
      </c>
      <c r="C3408" s="4" t="s">
        <v>8140</v>
      </c>
    </row>
    <row r="3409" spans="1:3">
      <c r="A3409" s="4" t="s">
        <v>7943</v>
      </c>
      <c r="B3409" s="4" t="s">
        <v>5922</v>
      </c>
      <c r="C3409" s="4" t="s">
        <v>5922</v>
      </c>
    </row>
    <row r="3410" spans="1:3">
      <c r="A3410" s="4" t="s">
        <v>7617</v>
      </c>
      <c r="B3410" s="4" t="s">
        <v>7616</v>
      </c>
      <c r="C3410" s="4" t="s">
        <v>7616</v>
      </c>
    </row>
    <row r="3411" spans="1:3">
      <c r="A3411" s="4" t="s">
        <v>8142</v>
      </c>
      <c r="B3411" s="4" t="s">
        <v>8141</v>
      </c>
      <c r="C3411" s="4" t="s">
        <v>8141</v>
      </c>
    </row>
    <row r="3412" spans="1:3">
      <c r="A3412" s="4" t="s">
        <v>7743</v>
      </c>
      <c r="B3412" s="4" t="s">
        <v>7742</v>
      </c>
      <c r="C3412" s="4" t="s">
        <v>7742</v>
      </c>
    </row>
    <row r="3413" spans="1:3">
      <c r="A3413" s="4" t="s">
        <v>8125</v>
      </c>
      <c r="B3413" s="4" t="s">
        <v>8139</v>
      </c>
      <c r="C3413" s="4" t="s">
        <v>8139</v>
      </c>
    </row>
    <row r="3414" spans="1:3">
      <c r="A3414" s="4" t="s">
        <v>8125</v>
      </c>
      <c r="B3414" s="4" t="s">
        <v>8135</v>
      </c>
      <c r="C3414" s="4" t="s">
        <v>8135</v>
      </c>
    </row>
    <row r="3415" spans="1:3">
      <c r="A3415" s="4" t="s">
        <v>7741</v>
      </c>
      <c r="B3415" s="4" t="s">
        <v>7740</v>
      </c>
      <c r="C3415" s="4" t="s">
        <v>7740</v>
      </c>
    </row>
    <row r="3416" spans="1:3">
      <c r="A3416" s="4" t="s">
        <v>7745</v>
      </c>
      <c r="B3416" s="4" t="s">
        <v>7744</v>
      </c>
      <c r="C3416" s="4" t="s">
        <v>7744</v>
      </c>
    </row>
    <row r="3417" spans="1:3">
      <c r="A3417" s="4" t="s">
        <v>8125</v>
      </c>
      <c r="B3417" s="4" t="s">
        <v>8140</v>
      </c>
      <c r="C3417" s="4" t="s">
        <v>8140</v>
      </c>
    </row>
    <row r="3418" spans="1:3">
      <c r="A3418" s="4" t="s">
        <v>8125</v>
      </c>
      <c r="B3418" s="4" t="s">
        <v>8124</v>
      </c>
      <c r="C3418" s="4" t="s">
        <v>8124</v>
      </c>
    </row>
    <row r="3419" spans="1:3">
      <c r="A3419" s="4" t="s">
        <v>7501</v>
      </c>
      <c r="B3419" s="4" t="s">
        <v>7746</v>
      </c>
      <c r="C3419" s="4" t="s">
        <v>7746</v>
      </c>
    </row>
    <row r="3420" spans="1:3">
      <c r="A3420" s="4" t="s">
        <v>7748</v>
      </c>
      <c r="B3420" s="4" t="s">
        <v>7747</v>
      </c>
      <c r="C3420" s="4" t="s">
        <v>7747</v>
      </c>
    </row>
    <row r="3421" spans="1:3">
      <c r="A3421" s="4" t="s">
        <v>8125</v>
      </c>
      <c r="B3421" s="4" t="s">
        <v>8143</v>
      </c>
      <c r="C3421" s="4" t="s">
        <v>8143</v>
      </c>
    </row>
    <row r="3422" spans="1:3">
      <c r="A3422" s="4" t="s">
        <v>8125</v>
      </c>
      <c r="B3422" s="4" t="s">
        <v>8143</v>
      </c>
      <c r="C3422" s="4" t="s">
        <v>8143</v>
      </c>
    </row>
    <row r="3423" spans="1:3">
      <c r="A3423" s="4" t="s">
        <v>7750</v>
      </c>
      <c r="B3423" s="4" t="s">
        <v>7749</v>
      </c>
      <c r="C3423" s="4" t="s">
        <v>7749</v>
      </c>
    </row>
    <row r="3424" spans="1:3">
      <c r="A3424" s="4" t="s">
        <v>7592</v>
      </c>
      <c r="B3424" s="4" t="s">
        <v>7591</v>
      </c>
      <c r="C3424" s="4" t="s">
        <v>7591</v>
      </c>
    </row>
    <row r="3425" spans="1:4">
      <c r="A3425" s="4" t="s">
        <v>7537</v>
      </c>
      <c r="B3425" s="4" t="s">
        <v>7536</v>
      </c>
      <c r="C3425" s="4" t="s">
        <v>7536</v>
      </c>
    </row>
    <row r="3426" spans="1:4">
      <c r="A3426" s="4" t="s">
        <v>8145</v>
      </c>
      <c r="B3426" s="4" t="s">
        <v>8144</v>
      </c>
      <c r="C3426" s="4" t="s">
        <v>8144</v>
      </c>
    </row>
    <row r="3427" spans="1:4">
      <c r="A3427" s="4" t="s">
        <v>8147</v>
      </c>
      <c r="B3427" s="4" t="s">
        <v>8146</v>
      </c>
      <c r="C3427" s="4" t="s">
        <v>8146</v>
      </c>
    </row>
    <row r="3428" spans="1:4">
      <c r="A3428" s="4" t="s">
        <v>8149</v>
      </c>
      <c r="B3428" s="4" t="s">
        <v>8148</v>
      </c>
      <c r="C3428" s="4" t="s">
        <v>8148</v>
      </c>
    </row>
    <row r="3429" spans="1:4">
      <c r="A3429" s="4" t="s">
        <v>8152</v>
      </c>
      <c r="B3429" s="4" t="s">
        <v>8152</v>
      </c>
      <c r="C3429" s="4" t="s">
        <v>8152</v>
      </c>
    </row>
    <row r="3430" spans="1:4">
      <c r="A3430" s="4" t="s">
        <v>8823</v>
      </c>
      <c r="B3430" s="4" t="s">
        <v>8822</v>
      </c>
      <c r="C3430" s="4" t="s">
        <v>8822</v>
      </c>
    </row>
    <row r="3431" spans="1:4">
      <c r="A3431" s="324" t="s">
        <v>9880</v>
      </c>
      <c r="B3431" s="324" t="s">
        <v>9881</v>
      </c>
      <c r="C3431" s="323" t="s">
        <v>9882</v>
      </c>
      <c r="D3431" s="325" t="s">
        <v>9883</v>
      </c>
    </row>
    <row r="3432" spans="1:4">
      <c r="A3432" s="324" t="s">
        <v>9884</v>
      </c>
      <c r="B3432" s="324" t="s">
        <v>9885</v>
      </c>
      <c r="C3432" s="323" t="s">
        <v>9886</v>
      </c>
      <c r="D3432" s="326" t="s">
        <v>9887</v>
      </c>
    </row>
    <row r="3433" spans="1:4">
      <c r="A3433" s="324" t="s">
        <v>9888</v>
      </c>
      <c r="B3433" s="324" t="s">
        <v>9889</v>
      </c>
      <c r="C3433" s="323" t="s">
        <v>9890</v>
      </c>
      <c r="D3433" s="326" t="s">
        <v>9891</v>
      </c>
    </row>
    <row r="3434" spans="1:4">
      <c r="A3434" s="324" t="s">
        <v>9892</v>
      </c>
      <c r="B3434" s="324" t="s">
        <v>9893</v>
      </c>
      <c r="C3434" s="323" t="s">
        <v>9894</v>
      </c>
      <c r="D3434" s="326" t="s">
        <v>9895</v>
      </c>
    </row>
    <row r="3435" spans="1:4">
      <c r="A3435" s="324" t="s">
        <v>9896</v>
      </c>
      <c r="B3435" s="324" t="s">
        <v>9897</v>
      </c>
      <c r="C3435" s="323" t="s">
        <v>9894</v>
      </c>
      <c r="D3435" s="326" t="s">
        <v>9898</v>
      </c>
    </row>
    <row r="3436" spans="1:4">
      <c r="A3436" s="324" t="s">
        <v>9899</v>
      </c>
      <c r="B3436" s="324" t="s">
        <v>9900</v>
      </c>
      <c r="C3436" s="323" t="s">
        <v>9901</v>
      </c>
      <c r="D3436" s="326" t="s">
        <v>9902</v>
      </c>
    </row>
    <row r="3437" spans="1:4">
      <c r="A3437" s="324" t="s">
        <v>9903</v>
      </c>
      <c r="B3437" s="324" t="s">
        <v>9904</v>
      </c>
      <c r="C3437" s="323" t="s">
        <v>9905</v>
      </c>
      <c r="D3437" s="326" t="s">
        <v>9906</v>
      </c>
    </row>
    <row r="3438" spans="1:4">
      <c r="A3438" s="324" t="s">
        <v>9907</v>
      </c>
      <c r="B3438" s="324" t="s">
        <v>9908</v>
      </c>
      <c r="C3438" s="323" t="s">
        <v>9909</v>
      </c>
      <c r="D3438" s="326" t="s">
        <v>9910</v>
      </c>
    </row>
    <row r="3439" spans="1:4">
      <c r="A3439" s="324" t="s">
        <v>9911</v>
      </c>
      <c r="B3439" s="324" t="s">
        <v>9912</v>
      </c>
      <c r="C3439" s="323" t="s">
        <v>9913</v>
      </c>
      <c r="D3439" s="326" t="s">
        <v>9914</v>
      </c>
    </row>
    <row r="3440" spans="1:4">
      <c r="A3440" s="324" t="s">
        <v>7001</v>
      </c>
      <c r="B3440" s="324" t="s">
        <v>6999</v>
      </c>
      <c r="C3440" s="323" t="s">
        <v>9915</v>
      </c>
      <c r="D3440" s="326" t="s">
        <v>9916</v>
      </c>
    </row>
    <row r="3441" spans="1:4">
      <c r="A3441" s="324" t="s">
        <v>9917</v>
      </c>
      <c r="B3441" s="324" t="s">
        <v>9918</v>
      </c>
      <c r="C3441" s="323" t="s">
        <v>9919</v>
      </c>
      <c r="D3441" s="325" t="s">
        <v>9920</v>
      </c>
    </row>
    <row r="3442" spans="1:4">
      <c r="A3442" s="324" t="s">
        <v>9921</v>
      </c>
      <c r="B3442" s="324" t="s">
        <v>9922</v>
      </c>
      <c r="C3442" s="323" t="s">
        <v>9923</v>
      </c>
      <c r="D3442" s="326" t="s">
        <v>9924</v>
      </c>
    </row>
    <row r="3443" spans="1:4">
      <c r="A3443" s="324" t="s">
        <v>9925</v>
      </c>
      <c r="B3443" s="324" t="s">
        <v>9926</v>
      </c>
      <c r="C3443" s="323" t="s">
        <v>9927</v>
      </c>
      <c r="D3443" s="326" t="s">
        <v>9928</v>
      </c>
    </row>
    <row r="3444" spans="1:4">
      <c r="A3444" s="324" t="s">
        <v>9929</v>
      </c>
      <c r="B3444" s="324" t="s">
        <v>9930</v>
      </c>
      <c r="C3444" s="323" t="s">
        <v>9931</v>
      </c>
      <c r="D3444" s="326" t="s">
        <v>9932</v>
      </c>
    </row>
    <row r="3445" spans="1:4">
      <c r="A3445" s="324" t="s">
        <v>9933</v>
      </c>
      <c r="B3445" s="324" t="s">
        <v>9934</v>
      </c>
      <c r="C3445" s="323" t="s">
        <v>9935</v>
      </c>
      <c r="D3445" s="326" t="s">
        <v>9936</v>
      </c>
    </row>
    <row r="3446" spans="1:4">
      <c r="A3446" s="324" t="s">
        <v>9937</v>
      </c>
      <c r="B3446" s="324" t="s">
        <v>9938</v>
      </c>
      <c r="C3446" s="323" t="s">
        <v>9939</v>
      </c>
      <c r="D3446" s="326" t="s">
        <v>9940</v>
      </c>
    </row>
    <row r="3447" spans="1:4">
      <c r="A3447" s="324" t="s">
        <v>9941</v>
      </c>
      <c r="B3447" s="324" t="s">
        <v>9938</v>
      </c>
      <c r="C3447" s="323" t="s">
        <v>9939</v>
      </c>
      <c r="D3447" s="326" t="s">
        <v>9942</v>
      </c>
    </row>
    <row r="3448" spans="1:4">
      <c r="A3448" s="324" t="s">
        <v>9943</v>
      </c>
      <c r="B3448" s="324" t="s">
        <v>9944</v>
      </c>
      <c r="C3448" s="323" t="s">
        <v>9945</v>
      </c>
      <c r="D3448" s="326" t="s">
        <v>9946</v>
      </c>
    </row>
    <row r="3449" spans="1:4">
      <c r="A3449" s="324" t="s">
        <v>9947</v>
      </c>
      <c r="B3449" s="324" t="s">
        <v>9948</v>
      </c>
      <c r="C3449" s="323" t="s">
        <v>9949</v>
      </c>
      <c r="D3449" s="326" t="s">
        <v>9950</v>
      </c>
    </row>
    <row r="3450" spans="1:4">
      <c r="A3450" s="324" t="s">
        <v>6493</v>
      </c>
      <c r="B3450" s="324" t="s">
        <v>9951</v>
      </c>
      <c r="C3450" s="323" t="s">
        <v>9952</v>
      </c>
      <c r="D3450" s="326" t="s">
        <v>9953</v>
      </c>
    </row>
    <row r="3451" spans="1:4">
      <c r="A3451" s="324" t="s">
        <v>9954</v>
      </c>
      <c r="B3451" s="324" t="s">
        <v>9955</v>
      </c>
      <c r="C3451" s="323" t="s">
        <v>9956</v>
      </c>
      <c r="D3451" s="326" t="s">
        <v>9957</v>
      </c>
    </row>
    <row r="3452" spans="1:4">
      <c r="A3452" s="324" t="s">
        <v>98</v>
      </c>
      <c r="B3452" s="324" t="s">
        <v>99</v>
      </c>
      <c r="C3452" s="323" t="s">
        <v>9958</v>
      </c>
      <c r="D3452" s="326" t="s">
        <v>9959</v>
      </c>
    </row>
    <row r="3453" spans="1:4">
      <c r="A3453" s="324" t="s">
        <v>9960</v>
      </c>
      <c r="B3453" s="324" t="s">
        <v>9961</v>
      </c>
      <c r="C3453" s="323" t="s">
        <v>9962</v>
      </c>
      <c r="D3453" s="326" t="s">
        <v>9963</v>
      </c>
    </row>
    <row r="3454" spans="1:4">
      <c r="A3454" s="324" t="s">
        <v>9964</v>
      </c>
      <c r="B3454" s="324" t="s">
        <v>9965</v>
      </c>
      <c r="C3454" s="323" t="s">
        <v>9966</v>
      </c>
      <c r="D3454" s="326" t="s">
        <v>9964</v>
      </c>
    </row>
    <row r="3455" spans="1:4">
      <c r="A3455" s="324" t="s">
        <v>8297</v>
      </c>
      <c r="B3455" s="324" t="s">
        <v>8296</v>
      </c>
      <c r="C3455" s="323" t="s">
        <v>9967</v>
      </c>
      <c r="D3455" s="326" t="s">
        <v>9968</v>
      </c>
    </row>
    <row r="3456" spans="1:4">
      <c r="A3456" s="324" t="s">
        <v>9969</v>
      </c>
      <c r="B3456" s="324" t="s">
        <v>9970</v>
      </c>
      <c r="C3456" s="323" t="s">
        <v>9971</v>
      </c>
      <c r="D3456" s="326" t="s">
        <v>9972</v>
      </c>
    </row>
    <row r="3457" spans="1:4">
      <c r="A3457" s="324" t="s">
        <v>9973</v>
      </c>
      <c r="B3457" s="324" t="s">
        <v>9974</v>
      </c>
      <c r="C3457" s="323" t="s">
        <v>9975</v>
      </c>
      <c r="D3457" s="325" t="s">
        <v>9976</v>
      </c>
    </row>
    <row r="3458" spans="1:4">
      <c r="A3458" s="324" t="s">
        <v>8219</v>
      </c>
      <c r="B3458" s="324" t="s">
        <v>8218</v>
      </c>
      <c r="C3458" s="323" t="s">
        <v>9977</v>
      </c>
      <c r="D3458" s="325" t="s">
        <v>9978</v>
      </c>
    </row>
    <row r="3459" spans="1:4">
      <c r="A3459" s="324" t="s">
        <v>8221</v>
      </c>
      <c r="B3459" s="324" t="s">
        <v>8220</v>
      </c>
      <c r="C3459" s="323" t="s">
        <v>9979</v>
      </c>
      <c r="D3459" s="325" t="s">
        <v>9980</v>
      </c>
    </row>
    <row r="3460" spans="1:4">
      <c r="A3460" s="324" t="s">
        <v>9981</v>
      </c>
      <c r="B3460" s="324" t="s">
        <v>9982</v>
      </c>
      <c r="C3460" s="323" t="s">
        <v>9983</v>
      </c>
      <c r="D3460" s="325" t="s">
        <v>9984</v>
      </c>
    </row>
    <row r="3461" spans="1:4">
      <c r="A3461" s="324" t="s">
        <v>9985</v>
      </c>
      <c r="B3461" s="324" t="s">
        <v>9986</v>
      </c>
      <c r="C3461" s="323" t="s">
        <v>9987</v>
      </c>
      <c r="D3461" s="326" t="s">
        <v>9988</v>
      </c>
    </row>
    <row r="3462" spans="1:4">
      <c r="A3462" s="324" t="s">
        <v>9989</v>
      </c>
      <c r="B3462" s="324" t="s">
        <v>9990</v>
      </c>
      <c r="C3462" s="323" t="s">
        <v>9991</v>
      </c>
      <c r="D3462" s="326" t="s">
        <v>9992</v>
      </c>
    </row>
    <row r="3463" spans="1:4">
      <c r="A3463" s="324" t="s">
        <v>138</v>
      </c>
      <c r="B3463" s="324" t="s">
        <v>139</v>
      </c>
      <c r="C3463" s="323" t="s">
        <v>9993</v>
      </c>
      <c r="D3463" s="326" t="s">
        <v>138</v>
      </c>
    </row>
    <row r="3464" spans="1:4">
      <c r="A3464" s="324" t="s">
        <v>6241</v>
      </c>
      <c r="B3464" s="324" t="s">
        <v>9994</v>
      </c>
      <c r="C3464" s="323" t="s">
        <v>9995</v>
      </c>
      <c r="D3464" s="326" t="s">
        <v>9996</v>
      </c>
    </row>
    <row r="3465" spans="1:4">
      <c r="A3465" s="324" t="s">
        <v>605</v>
      </c>
      <c r="B3465" s="324" t="s">
        <v>9997</v>
      </c>
      <c r="C3465" s="323" t="s">
        <v>9998</v>
      </c>
      <c r="D3465" s="326" t="s">
        <v>9999</v>
      </c>
    </row>
    <row r="3466" spans="1:4">
      <c r="A3466" s="324" t="s">
        <v>10000</v>
      </c>
      <c r="B3466" s="324" t="s">
        <v>10001</v>
      </c>
      <c r="C3466" s="323" t="s">
        <v>10002</v>
      </c>
      <c r="D3466" s="326" t="s">
        <v>10003</v>
      </c>
    </row>
    <row r="3467" spans="1:4">
      <c r="A3467" s="324" t="s">
        <v>10004</v>
      </c>
      <c r="B3467" s="324" t="s">
        <v>10005</v>
      </c>
      <c r="C3467" s="323" t="s">
        <v>10006</v>
      </c>
      <c r="D3467" s="326" t="s">
        <v>10007</v>
      </c>
    </row>
    <row r="3468" spans="1:4">
      <c r="A3468" s="324" t="s">
        <v>10008</v>
      </c>
      <c r="B3468" s="324" t="s">
        <v>10009</v>
      </c>
      <c r="C3468" s="323" t="s">
        <v>10010</v>
      </c>
      <c r="D3468" s="326" t="s">
        <v>10011</v>
      </c>
    </row>
    <row r="3469" spans="1:4">
      <c r="A3469" s="324" t="s">
        <v>10012</v>
      </c>
      <c r="B3469" s="324" t="s">
        <v>10013</v>
      </c>
      <c r="C3469" s="323" t="s">
        <v>10014</v>
      </c>
      <c r="D3469" s="326" t="s">
        <v>10015</v>
      </c>
    </row>
    <row r="3470" spans="1:4">
      <c r="A3470" s="324" t="s">
        <v>8308</v>
      </c>
      <c r="B3470" s="324" t="s">
        <v>8307</v>
      </c>
      <c r="C3470" s="323" t="s">
        <v>10016</v>
      </c>
      <c r="D3470" s="326" t="s">
        <v>10017</v>
      </c>
    </row>
    <row r="3471" spans="1:4">
      <c r="A3471" s="324" t="s">
        <v>10018</v>
      </c>
      <c r="B3471" s="324" t="s">
        <v>10019</v>
      </c>
      <c r="C3471" s="323" t="s">
        <v>10020</v>
      </c>
      <c r="D3471" s="325" t="s">
        <v>10021</v>
      </c>
    </row>
    <row r="3472" spans="1:4">
      <c r="A3472" s="324" t="s">
        <v>10022</v>
      </c>
      <c r="B3472" s="324" t="s">
        <v>10023</v>
      </c>
      <c r="C3472" s="323" t="s">
        <v>10024</v>
      </c>
      <c r="D3472" s="325" t="s">
        <v>10025</v>
      </c>
    </row>
    <row r="3473" spans="1:4">
      <c r="A3473" s="324" t="s">
        <v>207</v>
      </c>
      <c r="B3473" s="324" t="s">
        <v>205</v>
      </c>
      <c r="C3473" s="323" t="s">
        <v>10026</v>
      </c>
      <c r="D3473" s="325" t="s">
        <v>10027</v>
      </c>
    </row>
    <row r="3474" spans="1:4">
      <c r="A3474" s="324" t="s">
        <v>10028</v>
      </c>
      <c r="B3474" s="324" t="s">
        <v>205</v>
      </c>
      <c r="C3474" s="323" t="s">
        <v>10026</v>
      </c>
      <c r="D3474" s="325" t="s">
        <v>10029</v>
      </c>
    </row>
    <row r="3475" spans="1:4">
      <c r="A3475" s="324" t="s">
        <v>10030</v>
      </c>
      <c r="B3475" s="324" t="s">
        <v>205</v>
      </c>
      <c r="C3475" s="323" t="s">
        <v>10026</v>
      </c>
      <c r="D3475" s="325" t="s">
        <v>10031</v>
      </c>
    </row>
    <row r="3476" spans="1:4">
      <c r="A3476" s="324" t="s">
        <v>10032</v>
      </c>
      <c r="B3476" s="324" t="s">
        <v>7292</v>
      </c>
      <c r="C3476" s="323" t="s">
        <v>10033</v>
      </c>
      <c r="D3476" s="325" t="s">
        <v>10034</v>
      </c>
    </row>
    <row r="3477" spans="1:4">
      <c r="A3477" s="324" t="s">
        <v>10035</v>
      </c>
      <c r="B3477" s="324" t="s">
        <v>10036</v>
      </c>
      <c r="C3477" s="323" t="s">
        <v>10037</v>
      </c>
      <c r="D3477" s="325" t="s">
        <v>10038</v>
      </c>
    </row>
    <row r="3478" spans="1:4">
      <c r="A3478" s="324" t="s">
        <v>10039</v>
      </c>
      <c r="B3478" s="324" t="s">
        <v>10040</v>
      </c>
      <c r="C3478" s="323" t="s">
        <v>10041</v>
      </c>
      <c r="D3478" s="325" t="s">
        <v>10042</v>
      </c>
    </row>
    <row r="3479" spans="1:4">
      <c r="A3479" s="324" t="s">
        <v>10043</v>
      </c>
      <c r="B3479" s="324" t="s">
        <v>10044</v>
      </c>
      <c r="C3479" s="323" t="s">
        <v>10045</v>
      </c>
      <c r="D3479" s="325" t="s">
        <v>10046</v>
      </c>
    </row>
    <row r="3480" spans="1:4">
      <c r="A3480" s="324" t="s">
        <v>6711</v>
      </c>
      <c r="B3480" s="324" t="s">
        <v>6709</v>
      </c>
      <c r="C3480" s="323" t="s">
        <v>10047</v>
      </c>
      <c r="D3480" s="325" t="s">
        <v>10048</v>
      </c>
    </row>
    <row r="3481" spans="1:4">
      <c r="A3481" s="324" t="s">
        <v>6714</v>
      </c>
      <c r="B3481" s="324" t="s">
        <v>6712</v>
      </c>
      <c r="C3481" s="323" t="s">
        <v>10049</v>
      </c>
      <c r="D3481" s="325" t="s">
        <v>10050</v>
      </c>
    </row>
    <row r="3482" spans="1:4">
      <c r="A3482" s="324" t="s">
        <v>10051</v>
      </c>
      <c r="B3482" s="324" t="s">
        <v>10052</v>
      </c>
      <c r="C3482" s="323" t="s">
        <v>10053</v>
      </c>
      <c r="D3482" s="325" t="s">
        <v>10054</v>
      </c>
    </row>
    <row r="3483" spans="1:4">
      <c r="A3483" s="324" t="s">
        <v>10055</v>
      </c>
      <c r="B3483" s="324" t="s">
        <v>10056</v>
      </c>
      <c r="C3483" s="323" t="s">
        <v>10057</v>
      </c>
      <c r="D3483" s="325" t="s">
        <v>10058</v>
      </c>
    </row>
    <row r="3484" spans="1:4">
      <c r="A3484" s="324" t="s">
        <v>10059</v>
      </c>
      <c r="B3484" s="324" t="s">
        <v>10060</v>
      </c>
      <c r="C3484" s="323" t="s">
        <v>10061</v>
      </c>
      <c r="D3484" s="325" t="s">
        <v>10062</v>
      </c>
    </row>
    <row r="3485" spans="1:4">
      <c r="A3485" s="324" t="s">
        <v>10063</v>
      </c>
      <c r="B3485" s="324" t="s">
        <v>10064</v>
      </c>
      <c r="C3485" s="323" t="s">
        <v>10065</v>
      </c>
      <c r="D3485" s="325" t="s">
        <v>10066</v>
      </c>
    </row>
    <row r="3486" spans="1:4">
      <c r="A3486" s="324" t="s">
        <v>10067</v>
      </c>
      <c r="B3486" s="324" t="s">
        <v>10068</v>
      </c>
      <c r="C3486" s="323" t="s">
        <v>10069</v>
      </c>
      <c r="D3486" s="325" t="s">
        <v>10070</v>
      </c>
    </row>
    <row r="3487" spans="1:4">
      <c r="A3487" s="324" t="s">
        <v>10071</v>
      </c>
      <c r="B3487" s="324" t="s">
        <v>10072</v>
      </c>
      <c r="C3487" s="323" t="s">
        <v>10073</v>
      </c>
      <c r="D3487" s="325" t="s">
        <v>10074</v>
      </c>
    </row>
    <row r="3488" spans="1:4">
      <c r="A3488" s="324" t="s">
        <v>10075</v>
      </c>
      <c r="B3488" s="324" t="s">
        <v>10076</v>
      </c>
      <c r="C3488" s="323" t="s">
        <v>10077</v>
      </c>
      <c r="D3488" s="325" t="s">
        <v>10078</v>
      </c>
    </row>
    <row r="3489" spans="1:4">
      <c r="A3489" s="324" t="s">
        <v>8571</v>
      </c>
      <c r="B3489" s="324" t="s">
        <v>10079</v>
      </c>
      <c r="C3489" s="323" t="s">
        <v>10080</v>
      </c>
      <c r="D3489" s="326" t="s">
        <v>10081</v>
      </c>
    </row>
    <row r="3490" spans="1:4">
      <c r="A3490" s="324" t="s">
        <v>8514</v>
      </c>
      <c r="B3490" s="324" t="s">
        <v>8512</v>
      </c>
      <c r="C3490" s="323" t="s">
        <v>9894</v>
      </c>
      <c r="D3490" s="326" t="s">
        <v>10082</v>
      </c>
    </row>
    <row r="3491" spans="1:4">
      <c r="A3491" s="324" t="s">
        <v>10083</v>
      </c>
      <c r="B3491" s="324" t="s">
        <v>10084</v>
      </c>
      <c r="C3491" s="323" t="s">
        <v>10085</v>
      </c>
      <c r="D3491" s="326" t="s">
        <v>10086</v>
      </c>
    </row>
    <row r="3492" spans="1:4">
      <c r="A3492" s="324" t="s">
        <v>10087</v>
      </c>
      <c r="B3492" s="324" t="s">
        <v>10088</v>
      </c>
      <c r="C3492" s="323" t="s">
        <v>9894</v>
      </c>
      <c r="D3492" s="326" t="s">
        <v>10089</v>
      </c>
    </row>
    <row r="3493" spans="1:4">
      <c r="A3493" s="324" t="s">
        <v>10090</v>
      </c>
      <c r="B3493" s="324" t="s">
        <v>10091</v>
      </c>
      <c r="C3493" s="323" t="s">
        <v>10092</v>
      </c>
      <c r="D3493" s="326" t="s">
        <v>10093</v>
      </c>
    </row>
    <row r="3494" spans="1:4">
      <c r="A3494" s="324" t="s">
        <v>10094</v>
      </c>
      <c r="B3494" s="324" t="s">
        <v>10095</v>
      </c>
      <c r="C3494" s="323" t="s">
        <v>10096</v>
      </c>
      <c r="D3494" s="326" t="s">
        <v>10097</v>
      </c>
    </row>
    <row r="3495" spans="1:4">
      <c r="A3495" s="324" t="s">
        <v>10098</v>
      </c>
      <c r="B3495" s="324" t="s">
        <v>10099</v>
      </c>
      <c r="C3495" s="323" t="s">
        <v>10100</v>
      </c>
      <c r="D3495" s="326" t="s">
        <v>10101</v>
      </c>
    </row>
    <row r="3496" spans="1:4">
      <c r="A3496" s="324" t="s">
        <v>10102</v>
      </c>
      <c r="B3496" s="324" t="s">
        <v>10103</v>
      </c>
      <c r="C3496" s="323" t="s">
        <v>10104</v>
      </c>
      <c r="D3496" s="326" t="s">
        <v>10105</v>
      </c>
    </row>
    <row r="3497" spans="1:4">
      <c r="A3497" s="324" t="s">
        <v>10106</v>
      </c>
      <c r="B3497" s="324" t="s">
        <v>10107</v>
      </c>
      <c r="C3497" s="323" t="s">
        <v>10108</v>
      </c>
      <c r="D3497" s="326" t="s">
        <v>10106</v>
      </c>
    </row>
    <row r="3498" spans="1:4">
      <c r="A3498" s="324" t="s">
        <v>10109</v>
      </c>
      <c r="B3498" s="324" t="s">
        <v>10110</v>
      </c>
      <c r="C3498" s="323" t="s">
        <v>9894</v>
      </c>
      <c r="D3498" s="326" t="s">
        <v>10109</v>
      </c>
    </row>
    <row r="3499" spans="1:4">
      <c r="A3499" s="324" t="s">
        <v>10111</v>
      </c>
      <c r="B3499" s="324" t="s">
        <v>10112</v>
      </c>
      <c r="C3499" s="323" t="s">
        <v>10113</v>
      </c>
      <c r="D3499" s="326" t="s">
        <v>10114</v>
      </c>
    </row>
    <row r="3500" spans="1:4">
      <c r="A3500" s="324" t="s">
        <v>6046</v>
      </c>
      <c r="B3500" s="324" t="s">
        <v>10115</v>
      </c>
      <c r="C3500" s="323" t="s">
        <v>10116</v>
      </c>
      <c r="D3500" s="326" t="s">
        <v>10117</v>
      </c>
    </row>
    <row r="3501" spans="1:4">
      <c r="A3501" s="324" t="s">
        <v>10118</v>
      </c>
      <c r="B3501" s="324" t="s">
        <v>10119</v>
      </c>
      <c r="C3501" s="323" t="s">
        <v>10120</v>
      </c>
      <c r="D3501" s="326" t="s">
        <v>10121</v>
      </c>
    </row>
    <row r="3502" spans="1:4">
      <c r="A3502" s="324" t="s">
        <v>10122</v>
      </c>
      <c r="B3502" s="324" t="s">
        <v>10123</v>
      </c>
      <c r="C3502" s="323" t="s">
        <v>10124</v>
      </c>
      <c r="D3502" s="326" t="s">
        <v>10125</v>
      </c>
    </row>
    <row r="3503" spans="1:4">
      <c r="A3503" s="324" t="s">
        <v>10126</v>
      </c>
      <c r="B3503" s="324" t="s">
        <v>10127</v>
      </c>
      <c r="C3503" s="323" t="s">
        <v>10128</v>
      </c>
      <c r="D3503" s="326" t="s">
        <v>10129</v>
      </c>
    </row>
    <row r="3504" spans="1:4">
      <c r="A3504" s="324" t="s">
        <v>10130</v>
      </c>
      <c r="B3504" s="324" t="s">
        <v>10131</v>
      </c>
      <c r="C3504" s="323" t="s">
        <v>10132</v>
      </c>
      <c r="D3504" s="326" t="s">
        <v>10133</v>
      </c>
    </row>
    <row r="3505" spans="1:4">
      <c r="A3505" s="324" t="s">
        <v>10134</v>
      </c>
      <c r="B3505" s="324" t="s">
        <v>10135</v>
      </c>
      <c r="C3505" s="323" t="s">
        <v>10136</v>
      </c>
      <c r="D3505" s="326" t="s">
        <v>10137</v>
      </c>
    </row>
    <row r="3506" spans="1:4">
      <c r="A3506" s="324" t="s">
        <v>10138</v>
      </c>
      <c r="B3506" s="324" t="s">
        <v>10139</v>
      </c>
      <c r="C3506" s="323" t="s">
        <v>10140</v>
      </c>
      <c r="D3506" s="326" t="s">
        <v>10141</v>
      </c>
    </row>
    <row r="3507" spans="1:4">
      <c r="A3507" s="324" t="s">
        <v>10142</v>
      </c>
      <c r="B3507" s="324" t="s">
        <v>10143</v>
      </c>
      <c r="C3507" s="323" t="s">
        <v>10144</v>
      </c>
      <c r="D3507" s="326" t="s">
        <v>10145</v>
      </c>
    </row>
    <row r="3508" spans="1:4">
      <c r="A3508" s="324" t="s">
        <v>10146</v>
      </c>
      <c r="B3508" s="324" t="s">
        <v>10147</v>
      </c>
      <c r="C3508" s="323" t="s">
        <v>10148</v>
      </c>
      <c r="D3508" s="326" t="s">
        <v>10149</v>
      </c>
    </row>
    <row r="3509" spans="1:4">
      <c r="A3509" s="324" t="s">
        <v>298</v>
      </c>
      <c r="B3509" s="324" t="s">
        <v>297</v>
      </c>
      <c r="C3509" s="323" t="s">
        <v>10150</v>
      </c>
      <c r="D3509" s="326" t="s">
        <v>10151</v>
      </c>
    </row>
    <row r="3510" spans="1:4">
      <c r="A3510" s="324" t="s">
        <v>7031</v>
      </c>
      <c r="B3510" s="324" t="s">
        <v>7030</v>
      </c>
      <c r="C3510" s="323" t="s">
        <v>10152</v>
      </c>
      <c r="D3510" s="326" t="s">
        <v>7031</v>
      </c>
    </row>
    <row r="3511" spans="1:4">
      <c r="A3511" s="324" t="s">
        <v>10153</v>
      </c>
      <c r="B3511" s="324" t="s">
        <v>10154</v>
      </c>
      <c r="C3511" s="323" t="s">
        <v>10155</v>
      </c>
      <c r="D3511" s="326" t="s">
        <v>10151</v>
      </c>
    </row>
    <row r="3512" spans="1:4">
      <c r="A3512" s="324" t="s">
        <v>10156</v>
      </c>
      <c r="B3512" s="324" t="s">
        <v>10157</v>
      </c>
      <c r="C3512" s="323" t="s">
        <v>10158</v>
      </c>
      <c r="D3512" s="326" t="s">
        <v>10151</v>
      </c>
    </row>
    <row r="3513" spans="1:4">
      <c r="A3513" s="324" t="s">
        <v>10159</v>
      </c>
      <c r="B3513" s="324" t="s">
        <v>10160</v>
      </c>
      <c r="C3513" s="323" t="s">
        <v>10161</v>
      </c>
      <c r="D3513" s="325" t="s">
        <v>10162</v>
      </c>
    </row>
    <row r="3514" spans="1:4">
      <c r="A3514" s="324" t="s">
        <v>10163</v>
      </c>
      <c r="B3514" s="324" t="s">
        <v>10164</v>
      </c>
      <c r="C3514" s="323" t="s">
        <v>10165</v>
      </c>
      <c r="D3514" s="325" t="s">
        <v>10166</v>
      </c>
    </row>
    <row r="3515" spans="1:4">
      <c r="A3515" s="324" t="s">
        <v>10167</v>
      </c>
      <c r="B3515" s="324" t="s">
        <v>10168</v>
      </c>
      <c r="C3515" s="323" t="s">
        <v>10169</v>
      </c>
      <c r="D3515" s="325" t="s">
        <v>10170</v>
      </c>
    </row>
    <row r="3516" spans="1:4">
      <c r="A3516" s="324" t="s">
        <v>10171</v>
      </c>
      <c r="B3516" s="324" t="s">
        <v>10172</v>
      </c>
      <c r="C3516" s="323" t="s">
        <v>10173</v>
      </c>
      <c r="D3516" s="325" t="s">
        <v>10174</v>
      </c>
    </row>
    <row r="3517" spans="1:4">
      <c r="A3517" s="324" t="s">
        <v>10175</v>
      </c>
      <c r="B3517" s="324" t="s">
        <v>10176</v>
      </c>
      <c r="C3517" s="323" t="s">
        <v>10177</v>
      </c>
      <c r="D3517" s="325" t="s">
        <v>10178</v>
      </c>
    </row>
    <row r="3518" spans="1:4">
      <c r="A3518" s="324" t="s">
        <v>10179</v>
      </c>
      <c r="B3518" s="324" t="s">
        <v>10180</v>
      </c>
      <c r="C3518" s="323" t="s">
        <v>10181</v>
      </c>
      <c r="D3518" s="326" t="s">
        <v>10182</v>
      </c>
    </row>
    <row r="3519" spans="1:4">
      <c r="A3519" s="324" t="s">
        <v>10183</v>
      </c>
      <c r="B3519" s="324" t="s">
        <v>10184</v>
      </c>
      <c r="C3519" s="323" t="s">
        <v>10185</v>
      </c>
      <c r="D3519" s="325" t="s">
        <v>10186</v>
      </c>
    </row>
    <row r="3520" spans="1:4">
      <c r="A3520" s="324" t="s">
        <v>10187</v>
      </c>
      <c r="B3520" s="324" t="s">
        <v>10188</v>
      </c>
      <c r="C3520" s="323" t="s">
        <v>10189</v>
      </c>
      <c r="D3520" s="326" t="s">
        <v>10187</v>
      </c>
    </row>
    <row r="3521" spans="1:4">
      <c r="A3521" s="324" t="s">
        <v>10190</v>
      </c>
      <c r="B3521" s="324" t="s">
        <v>10191</v>
      </c>
      <c r="C3521" s="323" t="s">
        <v>10192</v>
      </c>
      <c r="D3521" s="325" t="s">
        <v>10193</v>
      </c>
    </row>
    <row r="3522" spans="1:4">
      <c r="A3522" s="324" t="s">
        <v>10194</v>
      </c>
      <c r="B3522" s="324" t="s">
        <v>10195</v>
      </c>
      <c r="C3522" s="323" t="s">
        <v>10196</v>
      </c>
      <c r="D3522" s="325" t="s">
        <v>10197</v>
      </c>
    </row>
    <row r="3523" spans="1:4">
      <c r="A3523" s="324" t="s">
        <v>10198</v>
      </c>
      <c r="B3523" s="324" t="s">
        <v>10199</v>
      </c>
      <c r="C3523" s="323" t="s">
        <v>10200</v>
      </c>
      <c r="D3523" s="326" t="s">
        <v>10198</v>
      </c>
    </row>
    <row r="3524" spans="1:4">
      <c r="A3524" s="324" t="s">
        <v>6073</v>
      </c>
      <c r="B3524" s="324" t="s">
        <v>10201</v>
      </c>
      <c r="C3524" s="323" t="s">
        <v>10202</v>
      </c>
      <c r="D3524" s="326" t="s">
        <v>10203</v>
      </c>
    </row>
    <row r="3525" spans="1:4">
      <c r="A3525" s="324" t="s">
        <v>10204</v>
      </c>
      <c r="B3525" s="324" t="s">
        <v>10205</v>
      </c>
      <c r="C3525" s="323" t="s">
        <v>10206</v>
      </c>
      <c r="D3525" s="326" t="s">
        <v>10207</v>
      </c>
    </row>
    <row r="3526" spans="1:4">
      <c r="A3526" s="324" t="s">
        <v>10208</v>
      </c>
      <c r="B3526" s="324" t="s">
        <v>10209</v>
      </c>
      <c r="C3526" s="323" t="s">
        <v>10210</v>
      </c>
      <c r="D3526" s="326" t="s">
        <v>10211</v>
      </c>
    </row>
    <row r="3527" spans="1:4">
      <c r="A3527" s="324" t="s">
        <v>6061</v>
      </c>
      <c r="B3527" s="324" t="s">
        <v>10212</v>
      </c>
      <c r="C3527" s="323" t="s">
        <v>10213</v>
      </c>
      <c r="D3527" s="326" t="s">
        <v>10214</v>
      </c>
    </row>
    <row r="3528" spans="1:4">
      <c r="A3528" s="324" t="s">
        <v>10215</v>
      </c>
      <c r="B3528" s="324" t="s">
        <v>10216</v>
      </c>
      <c r="C3528" s="323" t="s">
        <v>10217</v>
      </c>
      <c r="D3528" s="326" t="s">
        <v>10218</v>
      </c>
    </row>
    <row r="3529" spans="1:4">
      <c r="A3529" s="324" t="s">
        <v>10219</v>
      </c>
      <c r="B3529" s="324" t="s">
        <v>346</v>
      </c>
      <c r="C3529" s="323" t="s">
        <v>10220</v>
      </c>
      <c r="D3529" s="325" t="s">
        <v>10221</v>
      </c>
    </row>
    <row r="3530" spans="1:4">
      <c r="A3530" s="324" t="s">
        <v>10222</v>
      </c>
      <c r="B3530" s="324" t="s">
        <v>10223</v>
      </c>
      <c r="C3530" s="323" t="s">
        <v>10224</v>
      </c>
      <c r="D3530" s="326" t="s">
        <v>10225</v>
      </c>
    </row>
    <row r="3531" spans="1:4">
      <c r="A3531" s="324" t="s">
        <v>10226</v>
      </c>
      <c r="B3531" s="324" t="s">
        <v>10227</v>
      </c>
      <c r="C3531" s="323" t="s">
        <v>10228</v>
      </c>
      <c r="D3531" s="326" t="s">
        <v>10226</v>
      </c>
    </row>
    <row r="3532" spans="1:4">
      <c r="A3532" s="324" t="s">
        <v>10229</v>
      </c>
      <c r="B3532" s="324" t="s">
        <v>10230</v>
      </c>
      <c r="C3532" s="323" t="s">
        <v>10231</v>
      </c>
      <c r="D3532" s="326" t="s">
        <v>10232</v>
      </c>
    </row>
    <row r="3533" spans="1:4">
      <c r="A3533" s="324" t="s">
        <v>10233</v>
      </c>
      <c r="B3533" s="324" t="s">
        <v>10234</v>
      </c>
      <c r="C3533" s="323" t="s">
        <v>10235</v>
      </c>
      <c r="D3533" s="326" t="s">
        <v>10236</v>
      </c>
    </row>
    <row r="3534" spans="1:4">
      <c r="A3534" s="324" t="s">
        <v>10237</v>
      </c>
      <c r="B3534" s="324" t="s">
        <v>10238</v>
      </c>
      <c r="C3534" s="323" t="s">
        <v>10239</v>
      </c>
      <c r="D3534" s="326" t="s">
        <v>10237</v>
      </c>
    </row>
    <row r="3535" spans="1:4">
      <c r="A3535" s="324" t="s">
        <v>8255</v>
      </c>
      <c r="B3535" s="324" t="s">
        <v>8254</v>
      </c>
      <c r="C3535" s="323" t="s">
        <v>10240</v>
      </c>
      <c r="D3535" s="326" t="s">
        <v>8255</v>
      </c>
    </row>
    <row r="3536" spans="1:4">
      <c r="A3536" s="324" t="s">
        <v>10241</v>
      </c>
      <c r="B3536" s="324" t="s">
        <v>10242</v>
      </c>
      <c r="C3536" s="323" t="s">
        <v>10243</v>
      </c>
      <c r="D3536" s="326" t="s">
        <v>10241</v>
      </c>
    </row>
    <row r="3537" spans="1:4">
      <c r="A3537" s="324" t="s">
        <v>10244</v>
      </c>
      <c r="B3537" s="324" t="s">
        <v>10245</v>
      </c>
      <c r="C3537" s="323" t="s">
        <v>10246</v>
      </c>
      <c r="D3537" s="326" t="s">
        <v>10247</v>
      </c>
    </row>
    <row r="3538" spans="1:4">
      <c r="A3538" s="324" t="s">
        <v>10248</v>
      </c>
      <c r="B3538" s="324" t="s">
        <v>10249</v>
      </c>
      <c r="C3538" s="323" t="s">
        <v>10250</v>
      </c>
      <c r="D3538" s="326" t="s">
        <v>10251</v>
      </c>
    </row>
    <row r="3539" spans="1:4">
      <c r="A3539" s="324" t="s">
        <v>10252</v>
      </c>
      <c r="B3539" s="324" t="s">
        <v>10253</v>
      </c>
      <c r="C3539" s="323" t="s">
        <v>10254</v>
      </c>
      <c r="D3539" s="326" t="s">
        <v>10255</v>
      </c>
    </row>
    <row r="3540" spans="1:4">
      <c r="A3540" s="324" t="s">
        <v>10256</v>
      </c>
      <c r="B3540" s="324" t="s">
        <v>10257</v>
      </c>
      <c r="C3540" s="323" t="s">
        <v>10258</v>
      </c>
      <c r="D3540" s="326" t="s">
        <v>10259</v>
      </c>
    </row>
    <row r="3541" spans="1:4">
      <c r="A3541" s="324" t="s">
        <v>10260</v>
      </c>
      <c r="B3541" s="324" t="s">
        <v>10261</v>
      </c>
      <c r="C3541" s="323" t="s">
        <v>10262</v>
      </c>
      <c r="D3541" s="326" t="s">
        <v>10263</v>
      </c>
    </row>
    <row r="3542" spans="1:4">
      <c r="A3542" s="324" t="s">
        <v>10264</v>
      </c>
      <c r="B3542" s="324" t="s">
        <v>10265</v>
      </c>
      <c r="C3542" s="323" t="s">
        <v>10266</v>
      </c>
      <c r="D3542" s="326" t="s">
        <v>10267</v>
      </c>
    </row>
    <row r="3543" spans="1:4">
      <c r="A3543" s="324" t="s">
        <v>10268</v>
      </c>
      <c r="B3543" s="324" t="s">
        <v>10269</v>
      </c>
      <c r="C3543" s="323" t="s">
        <v>10270</v>
      </c>
      <c r="D3543" s="326" t="s">
        <v>10271</v>
      </c>
    </row>
    <row r="3544" spans="1:4">
      <c r="A3544" s="324" t="s">
        <v>10215</v>
      </c>
      <c r="B3544" s="324" t="s">
        <v>10272</v>
      </c>
      <c r="C3544" s="323" t="s">
        <v>10273</v>
      </c>
      <c r="D3544" s="326" t="s">
        <v>10274</v>
      </c>
    </row>
    <row r="3545" spans="1:4">
      <c r="A3545" s="324" t="s">
        <v>10275</v>
      </c>
      <c r="B3545" s="324" t="s">
        <v>10276</v>
      </c>
      <c r="C3545" s="323" t="s">
        <v>10277</v>
      </c>
      <c r="D3545" s="326" t="s">
        <v>10275</v>
      </c>
    </row>
    <row r="3546" spans="1:4">
      <c r="A3546" s="324" t="s">
        <v>10278</v>
      </c>
      <c r="B3546" s="324" t="s">
        <v>10279</v>
      </c>
      <c r="C3546" s="323" t="s">
        <v>10280</v>
      </c>
      <c r="D3546" s="326" t="s">
        <v>10281</v>
      </c>
    </row>
    <row r="3547" spans="1:4">
      <c r="A3547" s="324" t="s">
        <v>10282</v>
      </c>
      <c r="B3547" s="324" t="s">
        <v>10283</v>
      </c>
      <c r="C3547" s="323" t="s">
        <v>10284</v>
      </c>
      <c r="D3547" s="326" t="s">
        <v>10285</v>
      </c>
    </row>
    <row r="3548" spans="1:4">
      <c r="A3548" s="324" t="s">
        <v>10286</v>
      </c>
      <c r="B3548" s="324" t="s">
        <v>10287</v>
      </c>
      <c r="C3548" s="323" t="s">
        <v>10288</v>
      </c>
      <c r="D3548" s="326" t="s">
        <v>10289</v>
      </c>
    </row>
    <row r="3549" spans="1:4">
      <c r="A3549" s="324" t="s">
        <v>6117</v>
      </c>
      <c r="B3549" s="324" t="s">
        <v>10290</v>
      </c>
      <c r="C3549" s="323" t="s">
        <v>10291</v>
      </c>
      <c r="D3549" s="326" t="s">
        <v>10292</v>
      </c>
    </row>
    <row r="3550" spans="1:4">
      <c r="A3550" s="324" t="s">
        <v>10293</v>
      </c>
      <c r="B3550" s="324" t="s">
        <v>10294</v>
      </c>
      <c r="C3550" s="323" t="s">
        <v>10295</v>
      </c>
      <c r="D3550" s="326" t="s">
        <v>10296</v>
      </c>
    </row>
    <row r="3551" spans="1:4">
      <c r="A3551" s="324" t="s">
        <v>10297</v>
      </c>
      <c r="B3551" s="324" t="s">
        <v>10298</v>
      </c>
      <c r="C3551" s="323" t="s">
        <v>10299</v>
      </c>
      <c r="D3551" s="326" t="s">
        <v>10300</v>
      </c>
    </row>
    <row r="3552" spans="1:4">
      <c r="A3552" s="324" t="s">
        <v>10301</v>
      </c>
      <c r="B3552" s="324" t="s">
        <v>10302</v>
      </c>
      <c r="C3552" s="323" t="s">
        <v>10303</v>
      </c>
      <c r="D3552" s="326" t="s">
        <v>10304</v>
      </c>
    </row>
    <row r="3553" spans="1:4">
      <c r="A3553" s="324" t="s">
        <v>10305</v>
      </c>
      <c r="B3553" s="324" t="s">
        <v>10306</v>
      </c>
      <c r="C3553" s="323" t="s">
        <v>10307</v>
      </c>
      <c r="D3553" s="326" t="s">
        <v>10308</v>
      </c>
    </row>
    <row r="3554" spans="1:4">
      <c r="A3554" s="324" t="s">
        <v>10309</v>
      </c>
      <c r="B3554" s="324" t="s">
        <v>10310</v>
      </c>
      <c r="C3554" s="323" t="s">
        <v>10311</v>
      </c>
      <c r="D3554" s="326" t="s">
        <v>10309</v>
      </c>
    </row>
    <row r="3555" spans="1:4">
      <c r="A3555" s="324" t="s">
        <v>10312</v>
      </c>
      <c r="B3555" s="324" t="s">
        <v>10313</v>
      </c>
      <c r="C3555" s="323" t="s">
        <v>10314</v>
      </c>
      <c r="D3555" s="326" t="s">
        <v>10312</v>
      </c>
    </row>
    <row r="3556" spans="1:4">
      <c r="A3556" s="324" t="s">
        <v>10315</v>
      </c>
      <c r="B3556" s="324" t="s">
        <v>10316</v>
      </c>
      <c r="C3556" s="323" t="s">
        <v>10317</v>
      </c>
      <c r="D3556" s="326" t="s">
        <v>10315</v>
      </c>
    </row>
    <row r="3557" spans="1:4">
      <c r="A3557" s="324" t="s">
        <v>10318</v>
      </c>
      <c r="B3557" s="324" t="s">
        <v>10319</v>
      </c>
      <c r="C3557" s="323" t="s">
        <v>10320</v>
      </c>
      <c r="D3557" s="326" t="s">
        <v>10318</v>
      </c>
    </row>
    <row r="3558" spans="1:4">
      <c r="A3558" s="324" t="s">
        <v>10321</v>
      </c>
      <c r="B3558" s="324" t="s">
        <v>10322</v>
      </c>
      <c r="C3558" s="323" t="s">
        <v>10323</v>
      </c>
      <c r="D3558" s="326" t="s">
        <v>10321</v>
      </c>
    </row>
    <row r="3559" spans="1:4">
      <c r="A3559" s="324" t="s">
        <v>10324</v>
      </c>
      <c r="B3559" s="324" t="s">
        <v>10325</v>
      </c>
      <c r="C3559" s="323" t="s">
        <v>10326</v>
      </c>
      <c r="D3559" s="326" t="s">
        <v>10324</v>
      </c>
    </row>
    <row r="3560" spans="1:4">
      <c r="A3560" s="324" t="s">
        <v>10327</v>
      </c>
      <c r="B3560" s="324" t="s">
        <v>10328</v>
      </c>
      <c r="C3560" s="323" t="s">
        <v>10329</v>
      </c>
      <c r="D3560" s="326" t="s">
        <v>10330</v>
      </c>
    </row>
    <row r="3561" spans="1:4">
      <c r="A3561" s="324" t="s">
        <v>10331</v>
      </c>
      <c r="B3561" s="324" t="s">
        <v>10332</v>
      </c>
      <c r="C3561" s="323" t="s">
        <v>10333</v>
      </c>
      <c r="D3561" s="326" t="s">
        <v>10331</v>
      </c>
    </row>
    <row r="3562" spans="1:4">
      <c r="A3562" s="324" t="s">
        <v>10334</v>
      </c>
      <c r="B3562" s="324" t="s">
        <v>10335</v>
      </c>
      <c r="C3562" s="323" t="s">
        <v>10336</v>
      </c>
      <c r="D3562" s="326" t="s">
        <v>10334</v>
      </c>
    </row>
    <row r="3563" spans="1:4">
      <c r="A3563" s="324" t="s">
        <v>10337</v>
      </c>
      <c r="B3563" s="324" t="s">
        <v>10338</v>
      </c>
      <c r="C3563" s="323" t="s">
        <v>10339</v>
      </c>
      <c r="D3563" s="326" t="s">
        <v>10337</v>
      </c>
    </row>
    <row r="3564" spans="1:4">
      <c r="A3564" s="324" t="s">
        <v>10340</v>
      </c>
      <c r="B3564" s="324" t="s">
        <v>10341</v>
      </c>
      <c r="C3564" s="323" t="s">
        <v>10342</v>
      </c>
      <c r="D3564" s="326" t="s">
        <v>10340</v>
      </c>
    </row>
    <row r="3565" spans="1:4">
      <c r="A3565" s="324" t="s">
        <v>3773</v>
      </c>
      <c r="B3565" s="324" t="s">
        <v>10343</v>
      </c>
      <c r="C3565" s="323" t="s">
        <v>10344</v>
      </c>
      <c r="D3565" s="326" t="s">
        <v>3773</v>
      </c>
    </row>
    <row r="3566" spans="1:4">
      <c r="A3566" s="324" t="s">
        <v>10345</v>
      </c>
      <c r="B3566" s="324" t="s">
        <v>10346</v>
      </c>
      <c r="C3566" s="323" t="s">
        <v>10347</v>
      </c>
      <c r="D3566" s="326" t="s">
        <v>10345</v>
      </c>
    </row>
    <row r="3567" spans="1:4">
      <c r="A3567" s="324" t="s">
        <v>10348</v>
      </c>
      <c r="B3567" s="324" t="s">
        <v>10349</v>
      </c>
      <c r="C3567" s="323" t="s">
        <v>10350</v>
      </c>
      <c r="D3567" s="326" t="s">
        <v>10348</v>
      </c>
    </row>
    <row r="3568" spans="1:4">
      <c r="A3568" s="324" t="s">
        <v>10351</v>
      </c>
      <c r="B3568" s="324" t="s">
        <v>10352</v>
      </c>
      <c r="C3568" s="323" t="s">
        <v>10353</v>
      </c>
      <c r="D3568" s="326" t="s">
        <v>10351</v>
      </c>
    </row>
    <row r="3569" spans="1:4">
      <c r="A3569" s="324" t="s">
        <v>10354</v>
      </c>
      <c r="B3569" s="324" t="s">
        <v>10355</v>
      </c>
      <c r="C3569" s="323" t="s">
        <v>10356</v>
      </c>
      <c r="D3569" s="326" t="s">
        <v>10354</v>
      </c>
    </row>
    <row r="3570" spans="1:4">
      <c r="A3570" s="324" t="s">
        <v>420</v>
      </c>
      <c r="B3570" s="324" t="s">
        <v>421</v>
      </c>
      <c r="C3570" s="323" t="s">
        <v>10357</v>
      </c>
      <c r="D3570" s="326" t="s">
        <v>420</v>
      </c>
    </row>
    <row r="3571" spans="1:4">
      <c r="A3571" s="324" t="s">
        <v>10358</v>
      </c>
      <c r="B3571" s="324" t="s">
        <v>421</v>
      </c>
      <c r="C3571" s="323" t="s">
        <v>10359</v>
      </c>
      <c r="D3571" s="326" t="s">
        <v>10358</v>
      </c>
    </row>
    <row r="3572" spans="1:4">
      <c r="A3572" s="324" t="s">
        <v>10360</v>
      </c>
      <c r="B3572" s="324" t="s">
        <v>10361</v>
      </c>
      <c r="C3572" s="323" t="s">
        <v>10362</v>
      </c>
      <c r="D3572" s="326" t="s">
        <v>10363</v>
      </c>
    </row>
    <row r="3573" spans="1:4">
      <c r="A3573" s="324" t="s">
        <v>6724</v>
      </c>
      <c r="B3573" s="324" t="s">
        <v>6722</v>
      </c>
      <c r="C3573" s="323" t="s">
        <v>10364</v>
      </c>
      <c r="D3573" s="326" t="s">
        <v>6724</v>
      </c>
    </row>
    <row r="3574" spans="1:4">
      <c r="A3574" s="324" t="s">
        <v>10365</v>
      </c>
      <c r="B3574" s="324" t="s">
        <v>10366</v>
      </c>
      <c r="C3574" s="323" t="s">
        <v>10367</v>
      </c>
      <c r="D3574" s="326" t="s">
        <v>10365</v>
      </c>
    </row>
    <row r="3575" spans="1:4">
      <c r="A3575" s="324" t="s">
        <v>10368</v>
      </c>
      <c r="B3575" s="324" t="s">
        <v>10369</v>
      </c>
      <c r="C3575" s="323" t="s">
        <v>10370</v>
      </c>
      <c r="D3575" s="326" t="s">
        <v>10368</v>
      </c>
    </row>
    <row r="3576" spans="1:4">
      <c r="A3576" s="324" t="s">
        <v>10371</v>
      </c>
      <c r="B3576" s="324" t="s">
        <v>10372</v>
      </c>
      <c r="C3576" s="323" t="s">
        <v>10373</v>
      </c>
      <c r="D3576" s="326" t="s">
        <v>10371</v>
      </c>
    </row>
    <row r="3577" spans="1:4">
      <c r="A3577" s="324" t="s">
        <v>457</v>
      </c>
      <c r="B3577" s="324" t="s">
        <v>458</v>
      </c>
      <c r="C3577" s="323" t="s">
        <v>459</v>
      </c>
      <c r="D3577" s="326" t="s">
        <v>457</v>
      </c>
    </row>
    <row r="3578" spans="1:4">
      <c r="A3578" s="324" t="s">
        <v>10374</v>
      </c>
      <c r="B3578" s="324" t="s">
        <v>8159</v>
      </c>
      <c r="C3578" s="323" t="s">
        <v>10375</v>
      </c>
      <c r="D3578" s="326" t="s">
        <v>10376</v>
      </c>
    </row>
    <row r="3579" spans="1:4">
      <c r="A3579" s="324" t="s">
        <v>10377</v>
      </c>
      <c r="B3579" s="324" t="s">
        <v>10378</v>
      </c>
      <c r="C3579" s="323" t="s">
        <v>10379</v>
      </c>
      <c r="D3579" s="326" t="s">
        <v>10377</v>
      </c>
    </row>
    <row r="3580" spans="1:4">
      <c r="A3580" s="324" t="s">
        <v>10380</v>
      </c>
      <c r="B3580" s="324" t="s">
        <v>10381</v>
      </c>
      <c r="C3580" s="323" t="s">
        <v>10382</v>
      </c>
      <c r="D3580" s="326" t="s">
        <v>10380</v>
      </c>
    </row>
    <row r="3581" spans="1:4">
      <c r="A3581" s="324" t="s">
        <v>10383</v>
      </c>
      <c r="B3581" s="324" t="s">
        <v>10384</v>
      </c>
      <c r="C3581" s="323" t="s">
        <v>10385</v>
      </c>
      <c r="D3581" s="326" t="s">
        <v>10383</v>
      </c>
    </row>
    <row r="3582" spans="1:4">
      <c r="A3582" s="324" t="s">
        <v>10386</v>
      </c>
      <c r="B3582" s="324" t="s">
        <v>10387</v>
      </c>
      <c r="C3582" s="323" t="s">
        <v>10388</v>
      </c>
      <c r="D3582" s="326" t="s">
        <v>10386</v>
      </c>
    </row>
    <row r="3583" spans="1:4">
      <c r="A3583" s="324" t="s">
        <v>10389</v>
      </c>
      <c r="B3583" s="324" t="s">
        <v>10390</v>
      </c>
      <c r="C3583" s="323" t="s">
        <v>10391</v>
      </c>
      <c r="D3583" s="326" t="s">
        <v>10389</v>
      </c>
    </row>
    <row r="3584" spans="1:4">
      <c r="A3584" s="324" t="s">
        <v>7368</v>
      </c>
      <c r="B3584" s="324" t="s">
        <v>7381</v>
      </c>
      <c r="C3584" s="323" t="s">
        <v>10392</v>
      </c>
      <c r="D3584" s="326" t="s">
        <v>7368</v>
      </c>
    </row>
    <row r="3585" spans="1:4">
      <c r="A3585" s="324" t="s">
        <v>10393</v>
      </c>
      <c r="B3585" s="324" t="s">
        <v>10394</v>
      </c>
      <c r="C3585" s="323" t="s">
        <v>10395</v>
      </c>
      <c r="D3585" s="326" t="s">
        <v>10393</v>
      </c>
    </row>
    <row r="3586" spans="1:4">
      <c r="A3586" s="324" t="s">
        <v>10396</v>
      </c>
      <c r="B3586" s="324" t="s">
        <v>10397</v>
      </c>
      <c r="C3586" s="323" t="s">
        <v>10398</v>
      </c>
      <c r="D3586" s="326" t="s">
        <v>10396</v>
      </c>
    </row>
    <row r="3587" spans="1:4">
      <c r="A3587" s="324" t="s">
        <v>7369</v>
      </c>
      <c r="B3587" s="324" t="s">
        <v>7382</v>
      </c>
      <c r="C3587" s="323" t="s">
        <v>10399</v>
      </c>
      <c r="D3587" s="326" t="s">
        <v>7369</v>
      </c>
    </row>
    <row r="3588" spans="1:4">
      <c r="A3588" s="324" t="s">
        <v>10400</v>
      </c>
      <c r="B3588" s="324" t="s">
        <v>10401</v>
      </c>
      <c r="C3588" s="323" t="s">
        <v>10402</v>
      </c>
      <c r="D3588" s="326" t="s">
        <v>10400</v>
      </c>
    </row>
    <row r="3589" spans="1:4">
      <c r="A3589" s="324" t="s">
        <v>10403</v>
      </c>
      <c r="B3589" s="324" t="s">
        <v>10404</v>
      </c>
      <c r="C3589" s="323" t="s">
        <v>10405</v>
      </c>
      <c r="D3589" s="326" t="s">
        <v>10403</v>
      </c>
    </row>
    <row r="3590" spans="1:4">
      <c r="A3590" s="324" t="s">
        <v>7373</v>
      </c>
      <c r="B3590" s="324" t="s">
        <v>7386</v>
      </c>
      <c r="C3590" s="323" t="s">
        <v>10406</v>
      </c>
      <c r="D3590" s="326" t="s">
        <v>7373</v>
      </c>
    </row>
    <row r="3591" spans="1:4">
      <c r="A3591" s="324" t="s">
        <v>7367</v>
      </c>
      <c r="B3591" s="324" t="s">
        <v>7380</v>
      </c>
      <c r="C3591" s="323" t="s">
        <v>10407</v>
      </c>
      <c r="D3591" s="326" t="s">
        <v>7367</v>
      </c>
    </row>
    <row r="3592" spans="1:4">
      <c r="A3592" s="324" t="s">
        <v>7372</v>
      </c>
      <c r="B3592" s="324" t="s">
        <v>7385</v>
      </c>
      <c r="C3592" s="323" t="s">
        <v>10408</v>
      </c>
      <c r="D3592" s="326" t="s">
        <v>7372</v>
      </c>
    </row>
    <row r="3593" spans="1:4">
      <c r="A3593" s="324" t="s">
        <v>7371</v>
      </c>
      <c r="B3593" s="324" t="s">
        <v>7384</v>
      </c>
      <c r="C3593" s="323" t="s">
        <v>10409</v>
      </c>
      <c r="D3593" s="326" t="s">
        <v>7371</v>
      </c>
    </row>
    <row r="3594" spans="1:4">
      <c r="A3594" s="324" t="s">
        <v>10410</v>
      </c>
      <c r="B3594" s="324" t="s">
        <v>10411</v>
      </c>
      <c r="C3594" s="323" t="s">
        <v>10412</v>
      </c>
      <c r="D3594" s="326" t="s">
        <v>10410</v>
      </c>
    </row>
    <row r="3595" spans="1:4">
      <c r="A3595" s="324" t="s">
        <v>10413</v>
      </c>
      <c r="B3595" s="324" t="s">
        <v>10414</v>
      </c>
      <c r="C3595" s="323" t="s">
        <v>10415</v>
      </c>
      <c r="D3595" s="326" t="s">
        <v>10413</v>
      </c>
    </row>
    <row r="3596" spans="1:4">
      <c r="A3596" s="324" t="s">
        <v>10416</v>
      </c>
      <c r="B3596" s="324" t="s">
        <v>8846</v>
      </c>
      <c r="C3596" s="323" t="s">
        <v>10417</v>
      </c>
      <c r="D3596" s="326" t="s">
        <v>10416</v>
      </c>
    </row>
    <row r="3597" spans="1:4">
      <c r="A3597" s="324" t="s">
        <v>457</v>
      </c>
      <c r="B3597" s="324" t="s">
        <v>10418</v>
      </c>
      <c r="C3597" s="323" t="s">
        <v>459</v>
      </c>
      <c r="D3597" s="326" t="s">
        <v>457</v>
      </c>
    </row>
    <row r="3598" spans="1:4">
      <c r="A3598" s="324" t="s">
        <v>6127</v>
      </c>
      <c r="B3598" s="324" t="s">
        <v>10419</v>
      </c>
      <c r="C3598" s="323" t="s">
        <v>10420</v>
      </c>
      <c r="D3598" s="326" t="s">
        <v>6127</v>
      </c>
    </row>
    <row r="3599" spans="1:4">
      <c r="A3599" s="324" t="s">
        <v>519</v>
      </c>
      <c r="B3599" s="324" t="s">
        <v>10421</v>
      </c>
      <c r="C3599" s="323" t="s">
        <v>10422</v>
      </c>
      <c r="D3599" s="326" t="s">
        <v>519</v>
      </c>
    </row>
    <row r="3600" spans="1:4">
      <c r="A3600" s="324" t="s">
        <v>10423</v>
      </c>
      <c r="B3600" s="324" t="s">
        <v>10424</v>
      </c>
      <c r="C3600" s="323" t="s">
        <v>10425</v>
      </c>
      <c r="D3600" s="326" t="s">
        <v>10423</v>
      </c>
    </row>
    <row r="3601" spans="1:4">
      <c r="A3601" s="324" t="s">
        <v>10426</v>
      </c>
      <c r="B3601" s="324" t="s">
        <v>10427</v>
      </c>
      <c r="C3601" s="323" t="s">
        <v>10428</v>
      </c>
      <c r="D3601" s="326" t="s">
        <v>10426</v>
      </c>
    </row>
    <row r="3602" spans="1:4">
      <c r="A3602" s="324" t="s">
        <v>6079</v>
      </c>
      <c r="B3602" s="324" t="s">
        <v>10429</v>
      </c>
      <c r="C3602" s="323" t="s">
        <v>10430</v>
      </c>
      <c r="D3602" s="326" t="s">
        <v>6079</v>
      </c>
    </row>
    <row r="3603" spans="1:4">
      <c r="A3603" s="324" t="s">
        <v>10431</v>
      </c>
      <c r="B3603" s="324" t="s">
        <v>10432</v>
      </c>
      <c r="C3603" s="323" t="s">
        <v>10433</v>
      </c>
      <c r="D3603" s="326" t="s">
        <v>10431</v>
      </c>
    </row>
    <row r="3604" spans="1:4">
      <c r="A3604" s="324" t="s">
        <v>10434</v>
      </c>
      <c r="B3604" s="324" t="s">
        <v>10435</v>
      </c>
      <c r="C3604" s="323" t="s">
        <v>10436</v>
      </c>
      <c r="D3604" s="326" t="s">
        <v>10434</v>
      </c>
    </row>
    <row r="3605" spans="1:4">
      <c r="A3605" s="324" t="s">
        <v>10437</v>
      </c>
      <c r="B3605" s="324" t="s">
        <v>10438</v>
      </c>
      <c r="C3605" s="323" t="s">
        <v>10439</v>
      </c>
      <c r="D3605" s="326" t="s">
        <v>10437</v>
      </c>
    </row>
    <row r="3606" spans="1:4">
      <c r="A3606" s="324" t="s">
        <v>10440</v>
      </c>
      <c r="B3606" s="324" t="s">
        <v>10441</v>
      </c>
      <c r="C3606" s="323" t="s">
        <v>10442</v>
      </c>
      <c r="D3606" s="325" t="s">
        <v>10443</v>
      </c>
    </row>
    <row r="3607" spans="1:4">
      <c r="A3607" s="324" t="s">
        <v>10444</v>
      </c>
      <c r="B3607" s="324" t="s">
        <v>10445</v>
      </c>
      <c r="C3607" s="323" t="s">
        <v>10446</v>
      </c>
      <c r="D3607" s="326" t="s">
        <v>10444</v>
      </c>
    </row>
    <row r="3608" spans="1:4">
      <c r="A3608" s="324" t="s">
        <v>10447</v>
      </c>
      <c r="B3608" s="324" t="s">
        <v>10448</v>
      </c>
      <c r="C3608" s="323" t="s">
        <v>10449</v>
      </c>
      <c r="D3608" s="326" t="s">
        <v>10447</v>
      </c>
    </row>
    <row r="3609" spans="1:4">
      <c r="A3609" s="324" t="s">
        <v>564</v>
      </c>
      <c r="B3609" s="324" t="s">
        <v>10450</v>
      </c>
      <c r="C3609" s="323" t="s">
        <v>10353</v>
      </c>
      <c r="D3609" s="326" t="s">
        <v>564</v>
      </c>
    </row>
    <row r="3610" spans="1:4">
      <c r="A3610" s="324" t="s">
        <v>4667</v>
      </c>
      <c r="B3610" s="324" t="s">
        <v>10451</v>
      </c>
      <c r="C3610" s="323" t="s">
        <v>10452</v>
      </c>
      <c r="D3610" s="326" t="s">
        <v>4667</v>
      </c>
    </row>
    <row r="3611" spans="1:4">
      <c r="A3611" s="324" t="s">
        <v>10453</v>
      </c>
      <c r="B3611" s="324" t="s">
        <v>10454</v>
      </c>
      <c r="C3611" s="323" t="s">
        <v>10455</v>
      </c>
      <c r="D3611" s="326" t="s">
        <v>10453</v>
      </c>
    </row>
    <row r="3612" spans="1:4">
      <c r="A3612" s="324" t="s">
        <v>10456</v>
      </c>
      <c r="B3612" s="324" t="s">
        <v>10457</v>
      </c>
      <c r="C3612" s="323" t="s">
        <v>10458</v>
      </c>
      <c r="D3612" s="326" t="s">
        <v>10456</v>
      </c>
    </row>
    <row r="3613" spans="1:4">
      <c r="A3613" s="324" t="s">
        <v>10459</v>
      </c>
      <c r="B3613" s="324" t="s">
        <v>10460</v>
      </c>
      <c r="C3613" s="323" t="s">
        <v>10461</v>
      </c>
      <c r="D3613" s="326" t="s">
        <v>10459</v>
      </c>
    </row>
    <row r="3614" spans="1:4">
      <c r="A3614" s="324" t="s">
        <v>8163</v>
      </c>
      <c r="B3614" s="324" t="s">
        <v>8162</v>
      </c>
      <c r="C3614" s="323" t="s">
        <v>10462</v>
      </c>
      <c r="D3614" s="326" t="s">
        <v>8163</v>
      </c>
    </row>
    <row r="3615" spans="1:4">
      <c r="A3615" s="324" t="s">
        <v>7345</v>
      </c>
      <c r="B3615" s="324" t="s">
        <v>7344</v>
      </c>
      <c r="C3615" s="323" t="s">
        <v>10463</v>
      </c>
      <c r="D3615" s="326" t="s">
        <v>7345</v>
      </c>
    </row>
    <row r="3616" spans="1:4">
      <c r="A3616" s="324" t="s">
        <v>10464</v>
      </c>
      <c r="B3616" s="324" t="s">
        <v>10465</v>
      </c>
      <c r="C3616" s="323" t="s">
        <v>10466</v>
      </c>
      <c r="D3616" s="326" t="s">
        <v>10464</v>
      </c>
    </row>
    <row r="3617" spans="1:4">
      <c r="A3617" s="324" t="s">
        <v>10467</v>
      </c>
      <c r="B3617" s="324" t="s">
        <v>10468</v>
      </c>
      <c r="C3617" s="323" t="s">
        <v>10469</v>
      </c>
      <c r="D3617" s="326" t="s">
        <v>10467</v>
      </c>
    </row>
    <row r="3618" spans="1:4">
      <c r="A3618" s="324" t="s">
        <v>10470</v>
      </c>
      <c r="B3618" s="324" t="s">
        <v>10471</v>
      </c>
      <c r="C3618" s="323" t="s">
        <v>10472</v>
      </c>
      <c r="D3618" s="326" t="s">
        <v>10470</v>
      </c>
    </row>
    <row r="3619" spans="1:4">
      <c r="A3619" s="324" t="s">
        <v>10473</v>
      </c>
      <c r="B3619" s="324" t="s">
        <v>10474</v>
      </c>
      <c r="C3619" s="323" t="s">
        <v>10475</v>
      </c>
      <c r="D3619" s="326" t="s">
        <v>10473</v>
      </c>
    </row>
    <row r="3620" spans="1:4">
      <c r="A3620" s="324" t="s">
        <v>10476</v>
      </c>
      <c r="B3620" s="324" t="s">
        <v>10477</v>
      </c>
      <c r="C3620" s="323" t="s">
        <v>10478</v>
      </c>
      <c r="D3620" s="326" t="s">
        <v>10476</v>
      </c>
    </row>
    <row r="3621" spans="1:4">
      <c r="A3621" s="324" t="s">
        <v>6953</v>
      </c>
      <c r="B3621" s="324" t="s">
        <v>6952</v>
      </c>
      <c r="C3621" s="323" t="s">
        <v>10479</v>
      </c>
      <c r="D3621" s="326" t="s">
        <v>6953</v>
      </c>
    </row>
    <row r="3622" spans="1:4">
      <c r="A3622" s="324" t="s">
        <v>10480</v>
      </c>
      <c r="B3622" s="324" t="s">
        <v>10481</v>
      </c>
      <c r="C3622" s="323" t="s">
        <v>10482</v>
      </c>
      <c r="D3622" s="326" t="s">
        <v>10480</v>
      </c>
    </row>
    <row r="3623" spans="1:4">
      <c r="A3623" s="324" t="s">
        <v>10483</v>
      </c>
      <c r="B3623" s="324" t="s">
        <v>10484</v>
      </c>
      <c r="C3623" s="323" t="s">
        <v>10485</v>
      </c>
      <c r="D3623" s="326" t="s">
        <v>10486</v>
      </c>
    </row>
    <row r="3624" spans="1:4">
      <c r="A3624" s="324" t="s">
        <v>10487</v>
      </c>
      <c r="B3624" s="324" t="s">
        <v>10488</v>
      </c>
      <c r="C3624" s="323" t="s">
        <v>10489</v>
      </c>
      <c r="D3624" s="326" t="s">
        <v>10487</v>
      </c>
    </row>
    <row r="3625" spans="1:4">
      <c r="A3625" s="324" t="s">
        <v>10490</v>
      </c>
      <c r="B3625" s="324" t="s">
        <v>10491</v>
      </c>
      <c r="C3625" s="323" t="s">
        <v>10489</v>
      </c>
      <c r="D3625" s="326" t="s">
        <v>10490</v>
      </c>
    </row>
    <row r="3626" spans="1:4">
      <c r="A3626" s="324" t="s">
        <v>10492</v>
      </c>
      <c r="B3626" s="324" t="s">
        <v>10493</v>
      </c>
      <c r="C3626" s="323" t="s">
        <v>10489</v>
      </c>
      <c r="D3626" s="326" t="s">
        <v>10492</v>
      </c>
    </row>
    <row r="3627" spans="1:4">
      <c r="A3627" s="324" t="s">
        <v>10494</v>
      </c>
      <c r="B3627" s="324" t="s">
        <v>10495</v>
      </c>
      <c r="C3627" s="323" t="s">
        <v>10489</v>
      </c>
      <c r="D3627" s="326" t="s">
        <v>10494</v>
      </c>
    </row>
    <row r="3628" spans="1:4">
      <c r="A3628" s="324" t="s">
        <v>9888</v>
      </c>
      <c r="B3628" s="324" t="s">
        <v>10496</v>
      </c>
      <c r="C3628" s="323" t="s">
        <v>10497</v>
      </c>
      <c r="D3628" s="326" t="s">
        <v>9888</v>
      </c>
    </row>
    <row r="3629" spans="1:4">
      <c r="A3629" s="324" t="s">
        <v>10498</v>
      </c>
      <c r="B3629" s="324" t="s">
        <v>10499</v>
      </c>
      <c r="C3629" s="323" t="s">
        <v>10500</v>
      </c>
      <c r="D3629" s="326" t="s">
        <v>10501</v>
      </c>
    </row>
    <row r="3630" spans="1:4">
      <c r="A3630" s="324" t="s">
        <v>10502</v>
      </c>
      <c r="B3630" s="324" t="s">
        <v>8413</v>
      </c>
      <c r="C3630" s="323" t="s">
        <v>10442</v>
      </c>
      <c r="D3630" s="326" t="s">
        <v>10502</v>
      </c>
    </row>
    <row r="3631" spans="1:4">
      <c r="A3631" s="324" t="s">
        <v>8301</v>
      </c>
      <c r="B3631" s="324" t="s">
        <v>8300</v>
      </c>
      <c r="C3631" s="323" t="s">
        <v>10503</v>
      </c>
      <c r="D3631" s="326" t="s">
        <v>8301</v>
      </c>
    </row>
    <row r="3632" spans="1:4">
      <c r="A3632" s="324" t="s">
        <v>10504</v>
      </c>
      <c r="B3632" s="324" t="s">
        <v>10505</v>
      </c>
      <c r="C3632" s="323" t="s">
        <v>10506</v>
      </c>
      <c r="D3632" s="326" t="s">
        <v>10504</v>
      </c>
    </row>
    <row r="3633" spans="1:4">
      <c r="A3633" s="324" t="s">
        <v>6984</v>
      </c>
      <c r="B3633" s="324" t="s">
        <v>6983</v>
      </c>
      <c r="C3633" s="323" t="s">
        <v>10507</v>
      </c>
      <c r="D3633" s="326" t="s">
        <v>6984</v>
      </c>
    </row>
    <row r="3634" spans="1:4">
      <c r="A3634" s="324" t="s">
        <v>10508</v>
      </c>
      <c r="B3634" s="324" t="s">
        <v>10509</v>
      </c>
      <c r="C3634" s="323" t="s">
        <v>10510</v>
      </c>
      <c r="D3634" s="325" t="s">
        <v>10511</v>
      </c>
    </row>
    <row r="3635" spans="1:4">
      <c r="A3635" s="324" t="s">
        <v>10512</v>
      </c>
      <c r="B3635" s="324" t="s">
        <v>10513</v>
      </c>
      <c r="C3635" s="323" t="s">
        <v>10514</v>
      </c>
      <c r="D3635" s="326" t="s">
        <v>10512</v>
      </c>
    </row>
    <row r="3636" spans="1:4">
      <c r="A3636" s="324" t="s">
        <v>6139</v>
      </c>
      <c r="B3636" s="324" t="s">
        <v>10515</v>
      </c>
      <c r="C3636" s="323" t="s">
        <v>10516</v>
      </c>
      <c r="D3636" s="326" t="s">
        <v>6139</v>
      </c>
    </row>
    <row r="3637" spans="1:4">
      <c r="A3637" s="324" t="s">
        <v>10517</v>
      </c>
      <c r="B3637" s="324" t="s">
        <v>10518</v>
      </c>
      <c r="C3637" s="323" t="s">
        <v>10519</v>
      </c>
      <c r="D3637" s="326" t="s">
        <v>10517</v>
      </c>
    </row>
    <row r="3638" spans="1:4">
      <c r="A3638" s="324" t="s">
        <v>10520</v>
      </c>
      <c r="B3638" s="324" t="s">
        <v>10521</v>
      </c>
      <c r="C3638" s="323" t="s">
        <v>10522</v>
      </c>
      <c r="D3638" s="326" t="s">
        <v>10520</v>
      </c>
    </row>
    <row r="3639" spans="1:4">
      <c r="A3639" s="324" t="s">
        <v>10523</v>
      </c>
      <c r="B3639" s="324" t="s">
        <v>10524</v>
      </c>
      <c r="C3639" s="323" t="s">
        <v>10525</v>
      </c>
      <c r="D3639" s="326" t="s">
        <v>10526</v>
      </c>
    </row>
    <row r="3640" spans="1:4">
      <c r="A3640" s="324" t="s">
        <v>10527</v>
      </c>
      <c r="B3640" s="324" t="s">
        <v>10528</v>
      </c>
      <c r="C3640" s="323" t="s">
        <v>10525</v>
      </c>
      <c r="D3640" s="326" t="s">
        <v>10529</v>
      </c>
    </row>
    <row r="3641" spans="1:4">
      <c r="A3641" s="324" t="s">
        <v>10530</v>
      </c>
      <c r="B3641" s="324" t="s">
        <v>10531</v>
      </c>
      <c r="C3641" s="323" t="s">
        <v>10532</v>
      </c>
      <c r="D3641" s="326" t="s">
        <v>10533</v>
      </c>
    </row>
    <row r="3642" spans="1:4">
      <c r="A3642" s="324" t="s">
        <v>10534</v>
      </c>
      <c r="B3642" s="324" t="s">
        <v>10535</v>
      </c>
      <c r="C3642" s="323" t="s">
        <v>10536</v>
      </c>
      <c r="D3642" s="326" t="s">
        <v>10537</v>
      </c>
    </row>
    <row r="3643" spans="1:4">
      <c r="A3643" s="324" t="s">
        <v>10538</v>
      </c>
      <c r="B3643" s="324" t="s">
        <v>10539</v>
      </c>
      <c r="C3643" s="323" t="s">
        <v>10284</v>
      </c>
      <c r="D3643" s="326" t="s">
        <v>10538</v>
      </c>
    </row>
    <row r="3644" spans="1:4">
      <c r="A3644" s="324" t="s">
        <v>10365</v>
      </c>
      <c r="B3644" s="324" t="s">
        <v>10540</v>
      </c>
      <c r="C3644" s="323" t="s">
        <v>10541</v>
      </c>
      <c r="D3644" s="326" t="s">
        <v>10365</v>
      </c>
    </row>
    <row r="3645" spans="1:4">
      <c r="A3645" s="324" t="s">
        <v>10542</v>
      </c>
      <c r="B3645" s="324" t="s">
        <v>10543</v>
      </c>
      <c r="C3645" s="323" t="s">
        <v>10544</v>
      </c>
      <c r="D3645" s="326" t="s">
        <v>10542</v>
      </c>
    </row>
    <row r="3646" spans="1:4">
      <c r="A3646" s="324" t="s">
        <v>10545</v>
      </c>
      <c r="B3646" s="324" t="s">
        <v>10546</v>
      </c>
      <c r="C3646" s="323" t="s">
        <v>10547</v>
      </c>
      <c r="D3646" s="326" t="s">
        <v>10545</v>
      </c>
    </row>
    <row r="3647" spans="1:4">
      <c r="A3647" s="324" t="s">
        <v>8578</v>
      </c>
      <c r="B3647" s="324" t="s">
        <v>8577</v>
      </c>
      <c r="C3647" s="323" t="s">
        <v>10548</v>
      </c>
      <c r="D3647" s="326" t="s">
        <v>10549</v>
      </c>
    </row>
    <row r="3648" spans="1:4">
      <c r="A3648" s="324" t="s">
        <v>10550</v>
      </c>
      <c r="B3648" s="324" t="s">
        <v>10551</v>
      </c>
      <c r="C3648" s="323" t="s">
        <v>10552</v>
      </c>
      <c r="D3648" s="326" t="s">
        <v>10550</v>
      </c>
    </row>
    <row r="3649" spans="1:4">
      <c r="A3649" s="324" t="s">
        <v>10553</v>
      </c>
      <c r="B3649" s="324" t="s">
        <v>10554</v>
      </c>
      <c r="C3649" s="323" t="s">
        <v>10555</v>
      </c>
      <c r="D3649" s="326" t="s">
        <v>10553</v>
      </c>
    </row>
    <row r="3650" spans="1:4">
      <c r="A3650" s="324" t="s">
        <v>10556</v>
      </c>
      <c r="B3650" s="324" t="s">
        <v>10557</v>
      </c>
      <c r="C3650" s="323" t="s">
        <v>10558</v>
      </c>
      <c r="D3650" s="326" t="s">
        <v>10556</v>
      </c>
    </row>
    <row r="3651" spans="1:4">
      <c r="A3651" s="324" t="s">
        <v>672</v>
      </c>
      <c r="B3651" s="324" t="s">
        <v>10559</v>
      </c>
      <c r="C3651" s="323" t="s">
        <v>10560</v>
      </c>
      <c r="D3651" s="326" t="s">
        <v>672</v>
      </c>
    </row>
    <row r="3652" spans="1:4">
      <c r="A3652" s="324" t="s">
        <v>8203</v>
      </c>
      <c r="B3652" s="324" t="s">
        <v>8202</v>
      </c>
      <c r="C3652" s="323" t="s">
        <v>10561</v>
      </c>
      <c r="D3652" s="326" t="s">
        <v>8203</v>
      </c>
    </row>
    <row r="3653" spans="1:4">
      <c r="A3653" s="324" t="s">
        <v>8205</v>
      </c>
      <c r="B3653" s="324" t="s">
        <v>8204</v>
      </c>
      <c r="C3653" s="323" t="s">
        <v>10562</v>
      </c>
      <c r="D3653" s="326" t="s">
        <v>8205</v>
      </c>
    </row>
    <row r="3654" spans="1:4">
      <c r="A3654" s="324" t="s">
        <v>10563</v>
      </c>
      <c r="B3654" s="324" t="s">
        <v>10564</v>
      </c>
      <c r="C3654" s="323" t="s">
        <v>10565</v>
      </c>
      <c r="D3654" s="326" t="s">
        <v>10563</v>
      </c>
    </row>
    <row r="3655" spans="1:4">
      <c r="A3655" s="324" t="s">
        <v>10566</v>
      </c>
      <c r="B3655" s="324" t="s">
        <v>10567</v>
      </c>
      <c r="C3655" s="323" t="s">
        <v>10568</v>
      </c>
      <c r="D3655" s="326" t="s">
        <v>10566</v>
      </c>
    </row>
    <row r="3656" spans="1:4">
      <c r="A3656" s="324" t="s">
        <v>10569</v>
      </c>
      <c r="B3656" s="324" t="s">
        <v>10570</v>
      </c>
      <c r="C3656" s="323" t="s">
        <v>10571</v>
      </c>
      <c r="D3656" s="326" t="s">
        <v>10569</v>
      </c>
    </row>
    <row r="3657" spans="1:4">
      <c r="A3657" s="324" t="s">
        <v>10572</v>
      </c>
      <c r="B3657" s="324" t="s">
        <v>10573</v>
      </c>
      <c r="C3657" s="323" t="s">
        <v>10574</v>
      </c>
      <c r="D3657" s="326" t="s">
        <v>10572</v>
      </c>
    </row>
    <row r="3658" spans="1:4">
      <c r="A3658" s="324" t="s">
        <v>10575</v>
      </c>
      <c r="B3658" s="324" t="s">
        <v>10576</v>
      </c>
      <c r="C3658" s="323" t="s">
        <v>10577</v>
      </c>
      <c r="D3658" s="326" t="s">
        <v>10578</v>
      </c>
    </row>
    <row r="3659" spans="1:4">
      <c r="A3659" s="324" t="s">
        <v>10579</v>
      </c>
      <c r="B3659" s="324" t="s">
        <v>10580</v>
      </c>
      <c r="C3659" s="323" t="s">
        <v>10581</v>
      </c>
      <c r="D3659" s="326" t="s">
        <v>10582</v>
      </c>
    </row>
    <row r="3660" spans="1:4">
      <c r="A3660" s="324" t="s">
        <v>10583</v>
      </c>
      <c r="B3660" s="324" t="s">
        <v>10584</v>
      </c>
      <c r="C3660" s="323" t="s">
        <v>10585</v>
      </c>
      <c r="D3660" s="326" t="s">
        <v>10586</v>
      </c>
    </row>
    <row r="3661" spans="1:4">
      <c r="A3661" s="324" t="s">
        <v>10587</v>
      </c>
      <c r="B3661" s="324" t="s">
        <v>10588</v>
      </c>
      <c r="C3661" s="323" t="s">
        <v>10589</v>
      </c>
      <c r="D3661" s="326" t="s">
        <v>10587</v>
      </c>
    </row>
    <row r="3662" spans="1:4">
      <c r="A3662" s="324" t="s">
        <v>10590</v>
      </c>
      <c r="B3662" s="324" t="s">
        <v>10591</v>
      </c>
      <c r="C3662" s="323" t="s">
        <v>10592</v>
      </c>
      <c r="D3662" s="326" t="s">
        <v>10590</v>
      </c>
    </row>
    <row r="3663" spans="1:4">
      <c r="A3663" s="324" t="s">
        <v>10593</v>
      </c>
      <c r="B3663" s="324" t="s">
        <v>10594</v>
      </c>
      <c r="C3663" s="323" t="s">
        <v>10595</v>
      </c>
      <c r="D3663" s="326" t="s">
        <v>10593</v>
      </c>
    </row>
    <row r="3664" spans="1:4">
      <c r="A3664" s="324" t="s">
        <v>10596</v>
      </c>
      <c r="B3664" s="324" t="s">
        <v>10597</v>
      </c>
      <c r="C3664" s="323" t="s">
        <v>10598</v>
      </c>
      <c r="D3664" s="326" t="s">
        <v>10599</v>
      </c>
    </row>
    <row r="3665" spans="1:4">
      <c r="A3665" s="324" t="s">
        <v>10600</v>
      </c>
      <c r="B3665" s="324" t="s">
        <v>10601</v>
      </c>
      <c r="C3665" s="323" t="s">
        <v>10602</v>
      </c>
      <c r="D3665" s="326" t="s">
        <v>10600</v>
      </c>
    </row>
    <row r="3666" spans="1:4">
      <c r="A3666" s="324" t="s">
        <v>10603</v>
      </c>
      <c r="B3666" s="324" t="s">
        <v>10604</v>
      </c>
      <c r="C3666" s="323" t="s">
        <v>10605</v>
      </c>
      <c r="D3666" s="326" t="s">
        <v>10603</v>
      </c>
    </row>
    <row r="3667" spans="1:4">
      <c r="A3667" s="324" t="s">
        <v>10606</v>
      </c>
      <c r="B3667" s="324" t="s">
        <v>10607</v>
      </c>
      <c r="C3667" s="323" t="s">
        <v>10608</v>
      </c>
      <c r="D3667" s="326" t="s">
        <v>10606</v>
      </c>
    </row>
    <row r="3668" spans="1:4">
      <c r="A3668" s="324" t="s">
        <v>10609</v>
      </c>
      <c r="B3668" s="324" t="s">
        <v>10610</v>
      </c>
      <c r="C3668" s="323" t="s">
        <v>10611</v>
      </c>
      <c r="D3668" s="326" t="s">
        <v>10609</v>
      </c>
    </row>
    <row r="3669" spans="1:4">
      <c r="A3669" s="324" t="s">
        <v>10612</v>
      </c>
      <c r="B3669" s="324" t="s">
        <v>10613</v>
      </c>
      <c r="C3669" s="323" t="s">
        <v>10614</v>
      </c>
      <c r="D3669" s="326" t="s">
        <v>10615</v>
      </c>
    </row>
    <row r="3670" spans="1:4">
      <c r="A3670" s="324" t="s">
        <v>10616</v>
      </c>
      <c r="B3670" s="324" t="s">
        <v>10617</v>
      </c>
      <c r="C3670" s="323" t="s">
        <v>10618</v>
      </c>
      <c r="D3670" s="326" t="s">
        <v>10616</v>
      </c>
    </row>
    <row r="3671" spans="1:4">
      <c r="A3671" s="324" t="s">
        <v>10619</v>
      </c>
      <c r="B3671" s="324" t="s">
        <v>10620</v>
      </c>
      <c r="C3671" s="323" t="s">
        <v>10621</v>
      </c>
      <c r="D3671" s="326" t="s">
        <v>10622</v>
      </c>
    </row>
    <row r="3672" spans="1:4">
      <c r="A3672" s="324" t="s">
        <v>10623</v>
      </c>
      <c r="B3672" s="324" t="s">
        <v>10624</v>
      </c>
      <c r="C3672" s="323" t="s">
        <v>10625</v>
      </c>
      <c r="D3672" s="326" t="s">
        <v>10626</v>
      </c>
    </row>
    <row r="3673" spans="1:4">
      <c r="A3673" s="324" t="s">
        <v>10627</v>
      </c>
      <c r="B3673" s="324" t="s">
        <v>10628</v>
      </c>
      <c r="C3673" s="323" t="s">
        <v>10629</v>
      </c>
      <c r="D3673" s="326" t="s">
        <v>10630</v>
      </c>
    </row>
    <row r="3674" spans="1:4">
      <c r="A3674" s="324" t="s">
        <v>10631</v>
      </c>
      <c r="B3674" s="324" t="s">
        <v>10632</v>
      </c>
      <c r="C3674" s="323" t="s">
        <v>10633</v>
      </c>
      <c r="D3674" s="326" t="s">
        <v>10634</v>
      </c>
    </row>
    <row r="3675" spans="1:4">
      <c r="A3675" s="324" t="s">
        <v>10635</v>
      </c>
      <c r="B3675" s="324" t="s">
        <v>10636</v>
      </c>
      <c r="C3675" s="323" t="s">
        <v>10637</v>
      </c>
      <c r="D3675" s="326" t="s">
        <v>10635</v>
      </c>
    </row>
    <row r="3676" spans="1:4">
      <c r="A3676" s="324" t="s">
        <v>10638</v>
      </c>
      <c r="B3676" s="324" t="s">
        <v>10639</v>
      </c>
      <c r="C3676" s="323" t="s">
        <v>10640</v>
      </c>
      <c r="D3676" s="326" t="s">
        <v>10638</v>
      </c>
    </row>
    <row r="3677" spans="1:4">
      <c r="A3677" s="324" t="s">
        <v>10641</v>
      </c>
      <c r="B3677" s="324" t="s">
        <v>10642</v>
      </c>
      <c r="C3677" s="323" t="s">
        <v>10643</v>
      </c>
      <c r="D3677" s="326" t="s">
        <v>10641</v>
      </c>
    </row>
    <row r="3678" spans="1:4">
      <c r="A3678" s="324" t="s">
        <v>10644</v>
      </c>
      <c r="B3678" s="324" t="s">
        <v>10645</v>
      </c>
      <c r="C3678" s="323" t="s">
        <v>10646</v>
      </c>
      <c r="D3678" s="326" t="s">
        <v>10647</v>
      </c>
    </row>
    <row r="3679" spans="1:4">
      <c r="A3679" s="324" t="s">
        <v>10648</v>
      </c>
      <c r="B3679" s="324" t="s">
        <v>10649</v>
      </c>
      <c r="C3679" s="323" t="s">
        <v>10650</v>
      </c>
      <c r="D3679" s="326" t="s">
        <v>10648</v>
      </c>
    </row>
    <row r="3680" spans="1:4">
      <c r="A3680" s="324" t="s">
        <v>10651</v>
      </c>
      <c r="B3680" s="324" t="s">
        <v>10652</v>
      </c>
      <c r="C3680" s="323" t="s">
        <v>10653</v>
      </c>
      <c r="D3680" s="326" t="s">
        <v>10651</v>
      </c>
    </row>
    <row r="3681" spans="1:4">
      <c r="A3681" s="324" t="s">
        <v>10654</v>
      </c>
      <c r="B3681" s="324" t="s">
        <v>10655</v>
      </c>
      <c r="C3681" s="323" t="s">
        <v>9923</v>
      </c>
      <c r="D3681" s="326" t="s">
        <v>10654</v>
      </c>
    </row>
    <row r="3682" spans="1:4">
      <c r="A3682" s="324" t="s">
        <v>10656</v>
      </c>
      <c r="B3682" s="324" t="s">
        <v>725</v>
      </c>
      <c r="C3682" s="323" t="s">
        <v>10657</v>
      </c>
      <c r="D3682" s="326" t="s">
        <v>10656</v>
      </c>
    </row>
    <row r="3683" spans="1:4">
      <c r="A3683" s="324" t="s">
        <v>10658</v>
      </c>
      <c r="B3683" s="324" t="s">
        <v>10659</v>
      </c>
      <c r="C3683" s="323" t="s">
        <v>10660</v>
      </c>
      <c r="D3683" s="326" t="s">
        <v>10658</v>
      </c>
    </row>
    <row r="3684" spans="1:4">
      <c r="A3684" s="324" t="s">
        <v>10661</v>
      </c>
      <c r="B3684" s="324" t="s">
        <v>10662</v>
      </c>
      <c r="C3684" s="323" t="s">
        <v>10663</v>
      </c>
      <c r="D3684" s="326" t="s">
        <v>10661</v>
      </c>
    </row>
    <row r="3685" spans="1:4">
      <c r="A3685" s="324" t="s">
        <v>10664</v>
      </c>
      <c r="B3685" s="324" t="s">
        <v>10665</v>
      </c>
      <c r="C3685" s="323" t="s">
        <v>10666</v>
      </c>
      <c r="D3685" s="326" t="s">
        <v>10664</v>
      </c>
    </row>
    <row r="3686" spans="1:4">
      <c r="A3686" s="324" t="s">
        <v>10667</v>
      </c>
      <c r="B3686" s="324" t="s">
        <v>10668</v>
      </c>
      <c r="C3686" s="323" t="s">
        <v>10669</v>
      </c>
      <c r="D3686" s="326" t="s">
        <v>10667</v>
      </c>
    </row>
    <row r="3687" spans="1:4">
      <c r="A3687" s="324" t="s">
        <v>10670</v>
      </c>
      <c r="B3687" s="324" t="s">
        <v>10671</v>
      </c>
      <c r="C3687" s="323" t="s">
        <v>10672</v>
      </c>
      <c r="D3687" s="326" t="s">
        <v>10670</v>
      </c>
    </row>
    <row r="3688" spans="1:4">
      <c r="A3688" s="324" t="s">
        <v>10673</v>
      </c>
      <c r="B3688" s="324" t="s">
        <v>10674</v>
      </c>
      <c r="C3688" s="323" t="s">
        <v>10675</v>
      </c>
      <c r="D3688" s="326" t="s">
        <v>10673</v>
      </c>
    </row>
    <row r="3689" spans="1:4">
      <c r="A3689" s="324" t="s">
        <v>10676</v>
      </c>
      <c r="B3689" s="324" t="s">
        <v>10677</v>
      </c>
      <c r="C3689" s="323" t="s">
        <v>10678</v>
      </c>
      <c r="D3689" s="326" t="s">
        <v>10679</v>
      </c>
    </row>
    <row r="3690" spans="1:4">
      <c r="A3690" s="324" t="s">
        <v>10680</v>
      </c>
      <c r="B3690" s="324" t="s">
        <v>10681</v>
      </c>
      <c r="C3690" s="323" t="s">
        <v>10682</v>
      </c>
      <c r="D3690" s="326" t="s">
        <v>10683</v>
      </c>
    </row>
    <row r="3691" spans="1:4">
      <c r="A3691" s="324" t="s">
        <v>5088</v>
      </c>
      <c r="B3691" s="324" t="s">
        <v>10684</v>
      </c>
      <c r="C3691" s="323" t="s">
        <v>10685</v>
      </c>
      <c r="D3691" s="326" t="s">
        <v>10686</v>
      </c>
    </row>
    <row r="3692" spans="1:4">
      <c r="A3692" s="324" t="s">
        <v>10687</v>
      </c>
      <c r="B3692" s="324" t="s">
        <v>10688</v>
      </c>
      <c r="C3692" s="323" t="s">
        <v>10689</v>
      </c>
      <c r="D3692" s="326" t="s">
        <v>10690</v>
      </c>
    </row>
    <row r="3693" spans="1:4">
      <c r="A3693" s="324" t="s">
        <v>10691</v>
      </c>
      <c r="B3693" s="324" t="s">
        <v>10692</v>
      </c>
      <c r="C3693" s="323" t="s">
        <v>10693</v>
      </c>
      <c r="D3693" s="326" t="s">
        <v>10691</v>
      </c>
    </row>
    <row r="3694" spans="1:4">
      <c r="A3694" s="324" t="s">
        <v>10694</v>
      </c>
      <c r="B3694" s="324" t="s">
        <v>10695</v>
      </c>
      <c r="C3694" s="323" t="s">
        <v>10696</v>
      </c>
      <c r="D3694" s="326" t="s">
        <v>10697</v>
      </c>
    </row>
    <row r="3695" spans="1:4">
      <c r="A3695" s="324" t="s">
        <v>10698</v>
      </c>
      <c r="B3695" s="324" t="s">
        <v>10699</v>
      </c>
      <c r="C3695" s="323" t="s">
        <v>10700</v>
      </c>
      <c r="D3695" s="326" t="s">
        <v>10701</v>
      </c>
    </row>
    <row r="3696" spans="1:4">
      <c r="A3696" s="324" t="s">
        <v>10702</v>
      </c>
      <c r="B3696" s="324" t="s">
        <v>10703</v>
      </c>
      <c r="C3696" s="323" t="s">
        <v>10704</v>
      </c>
      <c r="D3696" s="326" t="s">
        <v>10705</v>
      </c>
    </row>
    <row r="3697" spans="1:4">
      <c r="A3697" s="324" t="s">
        <v>10706</v>
      </c>
      <c r="B3697" s="324" t="s">
        <v>10707</v>
      </c>
      <c r="C3697" s="323" t="s">
        <v>10708</v>
      </c>
      <c r="D3697" s="326" t="s">
        <v>10706</v>
      </c>
    </row>
    <row r="3698" spans="1:4">
      <c r="A3698" s="324" t="s">
        <v>10709</v>
      </c>
      <c r="B3698" s="324" t="s">
        <v>10710</v>
      </c>
      <c r="C3698" s="323" t="s">
        <v>10708</v>
      </c>
      <c r="D3698" s="326" t="s">
        <v>10711</v>
      </c>
    </row>
    <row r="3699" spans="1:4">
      <c r="A3699" s="324" t="s">
        <v>10712</v>
      </c>
      <c r="B3699" s="324" t="s">
        <v>10713</v>
      </c>
      <c r="C3699" s="323" t="s">
        <v>10714</v>
      </c>
      <c r="D3699" s="326" t="s">
        <v>10712</v>
      </c>
    </row>
    <row r="3700" spans="1:4">
      <c r="A3700" s="324" t="s">
        <v>10715</v>
      </c>
      <c r="B3700" s="324" t="s">
        <v>10716</v>
      </c>
      <c r="C3700" s="323" t="s">
        <v>10717</v>
      </c>
      <c r="D3700" s="326" t="s">
        <v>10615</v>
      </c>
    </row>
    <row r="3701" spans="1:4">
      <c r="A3701" s="324" t="s">
        <v>10718</v>
      </c>
      <c r="B3701" s="324" t="s">
        <v>10719</v>
      </c>
      <c r="C3701" s="323" t="s">
        <v>10720</v>
      </c>
      <c r="D3701" s="326" t="s">
        <v>10718</v>
      </c>
    </row>
    <row r="3702" spans="1:4">
      <c r="A3702" s="324" t="s">
        <v>10721</v>
      </c>
      <c r="B3702" s="324" t="s">
        <v>10722</v>
      </c>
      <c r="C3702" s="323" t="s">
        <v>10723</v>
      </c>
      <c r="D3702" s="326" t="s">
        <v>10622</v>
      </c>
    </row>
    <row r="3703" spans="1:4">
      <c r="A3703" s="324" t="s">
        <v>10724</v>
      </c>
      <c r="B3703" s="324" t="s">
        <v>10725</v>
      </c>
      <c r="C3703" s="323" t="s">
        <v>10726</v>
      </c>
      <c r="D3703" s="326" t="s">
        <v>10630</v>
      </c>
    </row>
    <row r="3704" spans="1:4">
      <c r="A3704" s="324" t="s">
        <v>10727</v>
      </c>
      <c r="B3704" s="324" t="s">
        <v>10728</v>
      </c>
      <c r="C3704" s="323" t="s">
        <v>10729</v>
      </c>
      <c r="D3704" s="326" t="s">
        <v>10634</v>
      </c>
    </row>
    <row r="3705" spans="1:4">
      <c r="A3705" s="324" t="s">
        <v>10730</v>
      </c>
      <c r="B3705" s="324" t="s">
        <v>10731</v>
      </c>
      <c r="C3705" s="323" t="s">
        <v>10732</v>
      </c>
      <c r="D3705" s="326" t="s">
        <v>10730</v>
      </c>
    </row>
    <row r="3706" spans="1:4">
      <c r="A3706" s="324" t="s">
        <v>10733</v>
      </c>
      <c r="B3706" s="324" t="s">
        <v>10734</v>
      </c>
      <c r="C3706" s="323" t="s">
        <v>10735</v>
      </c>
      <c r="D3706" s="326" t="s">
        <v>10736</v>
      </c>
    </row>
    <row r="3707" spans="1:4">
      <c r="A3707" s="324" t="s">
        <v>10737</v>
      </c>
      <c r="B3707" s="324" t="s">
        <v>10738</v>
      </c>
      <c r="C3707" s="323" t="s">
        <v>10739</v>
      </c>
      <c r="D3707" s="326" t="s">
        <v>10737</v>
      </c>
    </row>
    <row r="3708" spans="1:4">
      <c r="A3708" s="324" t="s">
        <v>6726</v>
      </c>
      <c r="B3708" s="324" t="s">
        <v>6725</v>
      </c>
      <c r="C3708" s="323" t="s">
        <v>10740</v>
      </c>
      <c r="D3708" s="326" t="s">
        <v>6726</v>
      </c>
    </row>
    <row r="3709" spans="1:4">
      <c r="A3709" s="324" t="s">
        <v>10741</v>
      </c>
      <c r="B3709" s="324" t="s">
        <v>10742</v>
      </c>
      <c r="C3709" s="323" t="s">
        <v>10743</v>
      </c>
      <c r="D3709" s="326" t="s">
        <v>10741</v>
      </c>
    </row>
    <row r="3710" spans="1:4">
      <c r="A3710" s="324" t="s">
        <v>10744</v>
      </c>
      <c r="B3710" s="324" t="s">
        <v>10745</v>
      </c>
      <c r="C3710" s="323" t="s">
        <v>10746</v>
      </c>
      <c r="D3710" s="326" t="s">
        <v>10744</v>
      </c>
    </row>
    <row r="3711" spans="1:4">
      <c r="A3711" s="324" t="s">
        <v>10747</v>
      </c>
      <c r="B3711" s="324" t="s">
        <v>10748</v>
      </c>
      <c r="C3711" s="323" t="s">
        <v>10749</v>
      </c>
      <c r="D3711" s="326" t="s">
        <v>10747</v>
      </c>
    </row>
    <row r="3712" spans="1:4">
      <c r="A3712" s="324" t="s">
        <v>10750</v>
      </c>
      <c r="B3712" s="324" t="s">
        <v>10751</v>
      </c>
      <c r="C3712" s="323" t="s">
        <v>10752</v>
      </c>
      <c r="D3712" s="326" t="s">
        <v>10750</v>
      </c>
    </row>
    <row r="3713" spans="1:4">
      <c r="A3713" s="324" t="s">
        <v>10753</v>
      </c>
      <c r="B3713" s="324" t="s">
        <v>10754</v>
      </c>
      <c r="C3713" s="323" t="s">
        <v>10755</v>
      </c>
      <c r="D3713" s="326" t="s">
        <v>10756</v>
      </c>
    </row>
    <row r="3714" spans="1:4">
      <c r="A3714" s="324" t="s">
        <v>10757</v>
      </c>
      <c r="B3714" s="324" t="s">
        <v>10758</v>
      </c>
      <c r="C3714" s="323" t="s">
        <v>10759</v>
      </c>
      <c r="D3714" s="326" t="s">
        <v>10760</v>
      </c>
    </row>
    <row r="3715" spans="1:4">
      <c r="A3715" s="324" t="s">
        <v>10761</v>
      </c>
      <c r="B3715" s="324" t="s">
        <v>10762</v>
      </c>
      <c r="C3715" s="323" t="s">
        <v>10763</v>
      </c>
      <c r="D3715" s="326" t="s">
        <v>10764</v>
      </c>
    </row>
    <row r="3716" spans="1:4">
      <c r="A3716" s="324" t="s">
        <v>10765</v>
      </c>
      <c r="B3716" s="324" t="s">
        <v>10766</v>
      </c>
      <c r="C3716" s="323" t="s">
        <v>10767</v>
      </c>
      <c r="D3716" s="326" t="s">
        <v>10768</v>
      </c>
    </row>
    <row r="3717" spans="1:4">
      <c r="A3717" s="324" t="s">
        <v>10769</v>
      </c>
      <c r="B3717" s="324" t="s">
        <v>10770</v>
      </c>
      <c r="C3717" s="323" t="s">
        <v>10771</v>
      </c>
      <c r="D3717" s="326" t="s">
        <v>10772</v>
      </c>
    </row>
    <row r="3718" spans="1:4">
      <c r="A3718" s="324" t="s">
        <v>805</v>
      </c>
      <c r="B3718" s="324" t="s">
        <v>10773</v>
      </c>
      <c r="C3718" s="323" t="s">
        <v>10774</v>
      </c>
      <c r="D3718" s="326" t="s">
        <v>805</v>
      </c>
    </row>
    <row r="3719" spans="1:4">
      <c r="A3719" s="324" t="s">
        <v>3023</v>
      </c>
      <c r="B3719" s="324" t="s">
        <v>10775</v>
      </c>
      <c r="C3719" s="323" t="s">
        <v>10776</v>
      </c>
      <c r="D3719" s="326" t="s">
        <v>3023</v>
      </c>
    </row>
    <row r="3720" spans="1:4">
      <c r="A3720" s="324" t="s">
        <v>10777</v>
      </c>
      <c r="B3720" s="324" t="s">
        <v>10778</v>
      </c>
      <c r="C3720" s="323" t="s">
        <v>10779</v>
      </c>
      <c r="D3720" s="326" t="s">
        <v>10780</v>
      </c>
    </row>
    <row r="3721" spans="1:4">
      <c r="A3721" s="324" t="s">
        <v>10781</v>
      </c>
      <c r="B3721" s="324" t="s">
        <v>10782</v>
      </c>
      <c r="C3721" s="323" t="s">
        <v>10783</v>
      </c>
      <c r="D3721" s="326" t="s">
        <v>10781</v>
      </c>
    </row>
    <row r="3722" spans="1:4">
      <c r="A3722" s="324" t="s">
        <v>10784</v>
      </c>
      <c r="B3722" s="324" t="s">
        <v>10785</v>
      </c>
      <c r="C3722" s="323" t="s">
        <v>10786</v>
      </c>
      <c r="D3722" s="326" t="s">
        <v>10784</v>
      </c>
    </row>
    <row r="3723" spans="1:4">
      <c r="A3723" s="324" t="s">
        <v>880</v>
      </c>
      <c r="B3723" s="324" t="s">
        <v>10787</v>
      </c>
      <c r="C3723" s="323" t="s">
        <v>10788</v>
      </c>
      <c r="D3723" s="326" t="s">
        <v>880</v>
      </c>
    </row>
    <row r="3724" spans="1:4">
      <c r="A3724" s="324" t="s">
        <v>10789</v>
      </c>
      <c r="B3724" s="324" t="s">
        <v>10790</v>
      </c>
      <c r="C3724" s="323" t="s">
        <v>10791</v>
      </c>
      <c r="D3724" s="326" t="s">
        <v>10792</v>
      </c>
    </row>
    <row r="3725" spans="1:4">
      <c r="A3725" s="324" t="s">
        <v>10789</v>
      </c>
      <c r="B3725" s="324" t="s">
        <v>10793</v>
      </c>
      <c r="C3725" s="323" t="s">
        <v>10794</v>
      </c>
      <c r="D3725" s="326" t="s">
        <v>10795</v>
      </c>
    </row>
    <row r="3726" spans="1:4">
      <c r="A3726" s="324" t="s">
        <v>10789</v>
      </c>
      <c r="B3726" s="324" t="s">
        <v>10796</v>
      </c>
      <c r="C3726" s="323" t="s">
        <v>10794</v>
      </c>
      <c r="D3726" s="326" t="s">
        <v>10797</v>
      </c>
    </row>
    <row r="3727" spans="1:4">
      <c r="A3727" s="324" t="s">
        <v>10798</v>
      </c>
      <c r="B3727" s="324" t="s">
        <v>10799</v>
      </c>
      <c r="C3727" s="323" t="s">
        <v>10800</v>
      </c>
      <c r="D3727" s="326" t="s">
        <v>10798</v>
      </c>
    </row>
    <row r="3728" spans="1:4">
      <c r="A3728" s="324" t="s">
        <v>10801</v>
      </c>
      <c r="B3728" s="324" t="s">
        <v>10802</v>
      </c>
      <c r="C3728" s="323" t="s">
        <v>10803</v>
      </c>
      <c r="D3728" s="326" t="s">
        <v>10801</v>
      </c>
    </row>
    <row r="3729" spans="1:4">
      <c r="A3729" s="324" t="s">
        <v>10804</v>
      </c>
      <c r="B3729" s="324" t="s">
        <v>853</v>
      </c>
      <c r="C3729" s="323" t="s">
        <v>10805</v>
      </c>
      <c r="D3729" s="326" t="s">
        <v>10804</v>
      </c>
    </row>
    <row r="3730" spans="1:4">
      <c r="A3730" s="324" t="s">
        <v>10806</v>
      </c>
      <c r="B3730" s="324" t="s">
        <v>10807</v>
      </c>
      <c r="C3730" s="323" t="s">
        <v>10808</v>
      </c>
      <c r="D3730" s="326" t="s">
        <v>10809</v>
      </c>
    </row>
    <row r="3731" spans="1:4">
      <c r="A3731" s="324" t="s">
        <v>10810</v>
      </c>
      <c r="B3731" s="324" t="s">
        <v>10811</v>
      </c>
      <c r="C3731" s="323" t="s">
        <v>10812</v>
      </c>
      <c r="D3731" s="326" t="s">
        <v>10813</v>
      </c>
    </row>
    <row r="3732" spans="1:4">
      <c r="A3732" s="324" t="s">
        <v>10814</v>
      </c>
      <c r="B3732" s="324" t="s">
        <v>10815</v>
      </c>
      <c r="C3732" s="323" t="s">
        <v>10816</v>
      </c>
      <c r="D3732" s="326" t="s">
        <v>10817</v>
      </c>
    </row>
    <row r="3733" spans="1:4">
      <c r="A3733" s="324" t="s">
        <v>10818</v>
      </c>
      <c r="B3733" s="324" t="s">
        <v>10819</v>
      </c>
      <c r="C3733" s="323" t="s">
        <v>10820</v>
      </c>
      <c r="D3733" s="326" t="s">
        <v>10821</v>
      </c>
    </row>
    <row r="3734" spans="1:4">
      <c r="A3734" s="324" t="s">
        <v>10822</v>
      </c>
      <c r="B3734" s="324" t="s">
        <v>10823</v>
      </c>
      <c r="C3734" s="323" t="s">
        <v>10824</v>
      </c>
      <c r="D3734" s="326" t="s">
        <v>10825</v>
      </c>
    </row>
    <row r="3735" spans="1:4">
      <c r="A3735" s="324" t="s">
        <v>10826</v>
      </c>
      <c r="B3735" s="324" t="s">
        <v>10827</v>
      </c>
      <c r="C3735" s="323" t="s">
        <v>10828</v>
      </c>
      <c r="D3735" s="326" t="s">
        <v>10829</v>
      </c>
    </row>
    <row r="3736" spans="1:4">
      <c r="A3736" s="324" t="s">
        <v>6012</v>
      </c>
      <c r="B3736" s="324" t="s">
        <v>7350</v>
      </c>
      <c r="C3736" s="323" t="s">
        <v>10830</v>
      </c>
      <c r="D3736" s="326" t="s">
        <v>10831</v>
      </c>
    </row>
    <row r="3737" spans="1:4">
      <c r="A3737" s="324" t="s">
        <v>10832</v>
      </c>
      <c r="B3737" s="324" t="s">
        <v>10833</v>
      </c>
      <c r="C3737" s="323" t="s">
        <v>10833</v>
      </c>
      <c r="D3737" s="326" t="s">
        <v>10832</v>
      </c>
    </row>
    <row r="3738" spans="1:4">
      <c r="A3738" s="324" t="s">
        <v>10834</v>
      </c>
      <c r="B3738" s="324" t="s">
        <v>10835</v>
      </c>
      <c r="C3738" s="323" t="s">
        <v>10836</v>
      </c>
      <c r="D3738" s="326" t="s">
        <v>10834</v>
      </c>
    </row>
    <row r="3739" spans="1:4">
      <c r="A3739" s="324" t="s">
        <v>902</v>
      </c>
      <c r="B3739" s="324" t="s">
        <v>10837</v>
      </c>
      <c r="C3739" s="323" t="s">
        <v>10838</v>
      </c>
      <c r="D3739" s="326" t="s">
        <v>902</v>
      </c>
    </row>
    <row r="3740" spans="1:4">
      <c r="A3740" s="324" t="s">
        <v>10839</v>
      </c>
      <c r="B3740" s="324" t="s">
        <v>10840</v>
      </c>
      <c r="C3740" s="323" t="s">
        <v>10841</v>
      </c>
      <c r="D3740" s="326" t="s">
        <v>10839</v>
      </c>
    </row>
    <row r="3741" spans="1:4">
      <c r="A3741" s="324" t="s">
        <v>10842</v>
      </c>
      <c r="B3741" s="324" t="s">
        <v>10843</v>
      </c>
      <c r="C3741" s="323" t="s">
        <v>10844</v>
      </c>
      <c r="D3741" s="326" t="s">
        <v>10842</v>
      </c>
    </row>
    <row r="3742" spans="1:4">
      <c r="A3742" s="324" t="s">
        <v>10845</v>
      </c>
      <c r="B3742" s="324" t="s">
        <v>10846</v>
      </c>
      <c r="C3742" s="323" t="s">
        <v>10847</v>
      </c>
      <c r="D3742" s="326" t="s">
        <v>10845</v>
      </c>
    </row>
    <row r="3743" spans="1:4">
      <c r="A3743" s="324" t="s">
        <v>10848</v>
      </c>
      <c r="B3743" s="324" t="s">
        <v>10849</v>
      </c>
      <c r="C3743" s="323" t="s">
        <v>10850</v>
      </c>
      <c r="D3743" s="326" t="s">
        <v>10848</v>
      </c>
    </row>
    <row r="3744" spans="1:4">
      <c r="A3744" s="324" t="s">
        <v>10851</v>
      </c>
      <c r="B3744" s="324" t="s">
        <v>10852</v>
      </c>
      <c r="C3744" s="323" t="s">
        <v>10853</v>
      </c>
      <c r="D3744" s="326" t="s">
        <v>10851</v>
      </c>
    </row>
    <row r="3745" spans="1:4">
      <c r="A3745" s="324" t="s">
        <v>10854</v>
      </c>
      <c r="B3745" s="324" t="s">
        <v>10855</v>
      </c>
      <c r="C3745" s="323" t="s">
        <v>10856</v>
      </c>
      <c r="D3745" s="326" t="s">
        <v>10854</v>
      </c>
    </row>
    <row r="3746" spans="1:4">
      <c r="A3746" s="324" t="s">
        <v>10857</v>
      </c>
      <c r="B3746" s="324" t="s">
        <v>10858</v>
      </c>
      <c r="C3746" s="323" t="s">
        <v>10859</v>
      </c>
      <c r="D3746" s="326" t="s">
        <v>10860</v>
      </c>
    </row>
    <row r="3747" spans="1:4">
      <c r="A3747" s="324" t="s">
        <v>10861</v>
      </c>
      <c r="B3747" s="324" t="s">
        <v>10862</v>
      </c>
      <c r="C3747" s="323" t="s">
        <v>10863</v>
      </c>
      <c r="D3747" s="326" t="s">
        <v>10864</v>
      </c>
    </row>
    <row r="3748" spans="1:4">
      <c r="A3748" s="324" t="s">
        <v>10865</v>
      </c>
      <c r="B3748" s="324" t="s">
        <v>10866</v>
      </c>
      <c r="C3748" s="323" t="s">
        <v>10867</v>
      </c>
      <c r="D3748" s="326" t="s">
        <v>10868</v>
      </c>
    </row>
    <row r="3749" spans="1:4">
      <c r="A3749" s="324" t="s">
        <v>10869</v>
      </c>
      <c r="B3749" s="324" t="s">
        <v>10870</v>
      </c>
      <c r="C3749" s="323" t="s">
        <v>10871</v>
      </c>
      <c r="D3749" s="326" t="s">
        <v>10872</v>
      </c>
    </row>
    <row r="3750" spans="1:4">
      <c r="A3750" s="324" t="s">
        <v>10873</v>
      </c>
      <c r="B3750" s="324" t="s">
        <v>10874</v>
      </c>
      <c r="C3750" s="323" t="s">
        <v>10875</v>
      </c>
      <c r="D3750" s="326" t="s">
        <v>10876</v>
      </c>
    </row>
    <row r="3751" spans="1:4">
      <c r="A3751" s="324" t="s">
        <v>10877</v>
      </c>
      <c r="B3751" s="324" t="s">
        <v>10878</v>
      </c>
      <c r="C3751" s="323" t="s">
        <v>10879</v>
      </c>
      <c r="D3751" s="326" t="s">
        <v>10880</v>
      </c>
    </row>
    <row r="3752" spans="1:4">
      <c r="A3752" s="324" t="s">
        <v>10881</v>
      </c>
      <c r="B3752" s="324" t="s">
        <v>10882</v>
      </c>
      <c r="C3752" s="323" t="s">
        <v>10883</v>
      </c>
      <c r="D3752" s="326" t="s">
        <v>10884</v>
      </c>
    </row>
    <row r="3753" spans="1:4">
      <c r="A3753" s="324" t="s">
        <v>10885</v>
      </c>
      <c r="B3753" s="324" t="s">
        <v>10886</v>
      </c>
      <c r="C3753" s="323" t="s">
        <v>10887</v>
      </c>
      <c r="D3753" s="326" t="s">
        <v>10885</v>
      </c>
    </row>
    <row r="3754" spans="1:4">
      <c r="A3754" s="324" t="s">
        <v>10888</v>
      </c>
      <c r="B3754" s="324" t="s">
        <v>10889</v>
      </c>
      <c r="C3754" s="323" t="s">
        <v>10887</v>
      </c>
      <c r="D3754" s="326" t="s">
        <v>10888</v>
      </c>
    </row>
    <row r="3755" spans="1:4">
      <c r="A3755" s="324" t="s">
        <v>10890</v>
      </c>
      <c r="B3755" s="324" t="s">
        <v>10891</v>
      </c>
      <c r="C3755" s="323" t="s">
        <v>10892</v>
      </c>
      <c r="D3755" s="326" t="s">
        <v>10890</v>
      </c>
    </row>
    <row r="3756" spans="1:4">
      <c r="A3756" s="324" t="s">
        <v>10893</v>
      </c>
      <c r="B3756" s="324" t="s">
        <v>10894</v>
      </c>
      <c r="C3756" s="323" t="s">
        <v>10895</v>
      </c>
      <c r="D3756" s="326" t="s">
        <v>10893</v>
      </c>
    </row>
    <row r="3757" spans="1:4">
      <c r="A3757" s="324" t="s">
        <v>10896</v>
      </c>
      <c r="B3757" s="324" t="s">
        <v>10897</v>
      </c>
      <c r="C3757" s="323" t="s">
        <v>10898</v>
      </c>
      <c r="D3757" s="326" t="s">
        <v>10896</v>
      </c>
    </row>
    <row r="3758" spans="1:4">
      <c r="A3758" s="324" t="s">
        <v>10899</v>
      </c>
      <c r="B3758" s="324" t="s">
        <v>10900</v>
      </c>
      <c r="C3758" s="323" t="s">
        <v>10898</v>
      </c>
      <c r="D3758" s="326" t="s">
        <v>10901</v>
      </c>
    </row>
    <row r="3759" spans="1:4">
      <c r="A3759" s="324" t="s">
        <v>10902</v>
      </c>
      <c r="B3759" s="324" t="s">
        <v>10903</v>
      </c>
      <c r="C3759" s="323" t="s">
        <v>10904</v>
      </c>
      <c r="D3759" s="326" t="s">
        <v>10905</v>
      </c>
    </row>
    <row r="3760" spans="1:4">
      <c r="A3760" s="324" t="s">
        <v>10906</v>
      </c>
      <c r="B3760" s="324" t="s">
        <v>10907</v>
      </c>
      <c r="C3760" s="323" t="s">
        <v>10908</v>
      </c>
      <c r="D3760" s="326" t="s">
        <v>10906</v>
      </c>
    </row>
    <row r="3761" spans="1:4">
      <c r="A3761" s="324" t="s">
        <v>10909</v>
      </c>
      <c r="B3761" s="324" t="s">
        <v>10910</v>
      </c>
      <c r="C3761" s="323" t="s">
        <v>10911</v>
      </c>
      <c r="D3761" s="326" t="s">
        <v>10909</v>
      </c>
    </row>
    <row r="3762" spans="1:4">
      <c r="A3762" s="324" t="s">
        <v>10912</v>
      </c>
      <c r="B3762" s="324" t="s">
        <v>10913</v>
      </c>
      <c r="C3762" s="323" t="s">
        <v>10914</v>
      </c>
      <c r="D3762" s="326" t="s">
        <v>10912</v>
      </c>
    </row>
    <row r="3763" spans="1:4">
      <c r="A3763" s="324" t="s">
        <v>10915</v>
      </c>
      <c r="B3763" s="324" t="s">
        <v>10916</v>
      </c>
      <c r="C3763" s="323" t="s">
        <v>10917</v>
      </c>
      <c r="D3763" s="326" t="s">
        <v>10915</v>
      </c>
    </row>
    <row r="3764" spans="1:4">
      <c r="A3764" s="324" t="s">
        <v>10918</v>
      </c>
      <c r="B3764" s="324" t="s">
        <v>10919</v>
      </c>
      <c r="C3764" s="323" t="s">
        <v>10920</v>
      </c>
      <c r="D3764" s="326" t="s">
        <v>10918</v>
      </c>
    </row>
    <row r="3765" spans="1:4">
      <c r="A3765" s="324" t="s">
        <v>10921</v>
      </c>
      <c r="B3765" s="324" t="s">
        <v>10922</v>
      </c>
      <c r="C3765" s="323" t="s">
        <v>10923</v>
      </c>
      <c r="D3765" s="326" t="s">
        <v>10921</v>
      </c>
    </row>
    <row r="3766" spans="1:4">
      <c r="A3766" s="324" t="s">
        <v>10924</v>
      </c>
      <c r="B3766" s="324" t="s">
        <v>10925</v>
      </c>
      <c r="C3766" s="323" t="s">
        <v>10926</v>
      </c>
      <c r="D3766" s="326" t="s">
        <v>10924</v>
      </c>
    </row>
    <row r="3767" spans="1:4">
      <c r="A3767" s="324" t="s">
        <v>10927</v>
      </c>
      <c r="B3767" s="324" t="s">
        <v>10928</v>
      </c>
      <c r="C3767" s="323" t="s">
        <v>10929</v>
      </c>
      <c r="D3767" s="326" t="s">
        <v>10927</v>
      </c>
    </row>
    <row r="3768" spans="1:4">
      <c r="A3768" s="324" t="s">
        <v>7363</v>
      </c>
      <c r="B3768" s="324" t="s">
        <v>7377</v>
      </c>
      <c r="C3768" s="323" t="s">
        <v>10930</v>
      </c>
      <c r="D3768" s="326" t="s">
        <v>7363</v>
      </c>
    </row>
    <row r="3769" spans="1:4">
      <c r="A3769" s="324" t="s">
        <v>10931</v>
      </c>
      <c r="B3769" s="324" t="s">
        <v>10932</v>
      </c>
      <c r="C3769" s="323" t="s">
        <v>10933</v>
      </c>
      <c r="D3769" s="326" t="s">
        <v>10934</v>
      </c>
    </row>
    <row r="3770" spans="1:4">
      <c r="A3770" s="324" t="s">
        <v>10935</v>
      </c>
      <c r="B3770" s="324" t="s">
        <v>10936</v>
      </c>
      <c r="C3770" s="323" t="s">
        <v>10937</v>
      </c>
      <c r="D3770" s="326" t="s">
        <v>10938</v>
      </c>
    </row>
    <row r="3771" spans="1:4">
      <c r="A3771" s="324" t="s">
        <v>949</v>
      </c>
      <c r="B3771" s="324" t="s">
        <v>10939</v>
      </c>
      <c r="C3771" s="323" t="s">
        <v>951</v>
      </c>
      <c r="D3771" s="326" t="s">
        <v>949</v>
      </c>
    </row>
    <row r="3772" spans="1:4">
      <c r="A3772" s="324" t="s">
        <v>10940</v>
      </c>
      <c r="B3772" s="324" t="s">
        <v>10941</v>
      </c>
      <c r="C3772" s="323" t="s">
        <v>10942</v>
      </c>
      <c r="D3772" s="326" t="s">
        <v>10940</v>
      </c>
    </row>
    <row r="3773" spans="1:4">
      <c r="A3773" s="324" t="s">
        <v>10943</v>
      </c>
      <c r="B3773" s="324" t="s">
        <v>10944</v>
      </c>
      <c r="C3773" s="323" t="s">
        <v>10945</v>
      </c>
      <c r="D3773" s="326" t="s">
        <v>10943</v>
      </c>
    </row>
    <row r="3774" spans="1:4">
      <c r="A3774" s="324" t="s">
        <v>6135</v>
      </c>
      <c r="B3774" s="324" t="s">
        <v>10946</v>
      </c>
      <c r="C3774" s="323" t="s">
        <v>10947</v>
      </c>
      <c r="D3774" s="326" t="s">
        <v>6135</v>
      </c>
    </row>
    <row r="3775" spans="1:4">
      <c r="A3775" s="324" t="s">
        <v>10948</v>
      </c>
      <c r="B3775" s="324" t="s">
        <v>10949</v>
      </c>
      <c r="C3775" s="323" t="s">
        <v>10950</v>
      </c>
      <c r="D3775" s="326" t="s">
        <v>10948</v>
      </c>
    </row>
    <row r="3776" spans="1:4">
      <c r="A3776" s="324" t="s">
        <v>10951</v>
      </c>
      <c r="B3776" s="324" t="s">
        <v>10952</v>
      </c>
      <c r="C3776" s="323" t="s">
        <v>10953</v>
      </c>
      <c r="D3776" s="326" t="s">
        <v>10951</v>
      </c>
    </row>
    <row r="3777" spans="1:4">
      <c r="A3777" s="324" t="s">
        <v>8157</v>
      </c>
      <c r="B3777" s="324" t="s">
        <v>8156</v>
      </c>
      <c r="C3777" s="323" t="s">
        <v>10954</v>
      </c>
      <c r="D3777" s="326" t="s">
        <v>8157</v>
      </c>
    </row>
    <row r="3778" spans="1:4">
      <c r="A3778" s="324" t="s">
        <v>10955</v>
      </c>
      <c r="B3778" s="324" t="s">
        <v>10956</v>
      </c>
      <c r="C3778" s="323" t="s">
        <v>10957</v>
      </c>
      <c r="D3778" s="326" t="s">
        <v>10958</v>
      </c>
    </row>
    <row r="3779" spans="1:4">
      <c r="A3779" s="324" t="s">
        <v>10881</v>
      </c>
      <c r="B3779" s="324" t="s">
        <v>1005</v>
      </c>
      <c r="C3779" s="323" t="s">
        <v>10959</v>
      </c>
      <c r="D3779" s="326" t="s">
        <v>10960</v>
      </c>
    </row>
    <row r="3780" spans="1:4">
      <c r="A3780" s="324" t="s">
        <v>10961</v>
      </c>
      <c r="B3780" s="324" t="s">
        <v>10962</v>
      </c>
      <c r="C3780" s="323" t="s">
        <v>10963</v>
      </c>
      <c r="D3780" s="326" t="s">
        <v>10964</v>
      </c>
    </row>
    <row r="3781" spans="1:4">
      <c r="A3781" s="324" t="s">
        <v>10965</v>
      </c>
      <c r="B3781" s="324" t="s">
        <v>10966</v>
      </c>
      <c r="C3781" s="323" t="s">
        <v>10967</v>
      </c>
      <c r="D3781" s="326" t="s">
        <v>10968</v>
      </c>
    </row>
    <row r="3782" spans="1:4">
      <c r="A3782" s="324" t="s">
        <v>10969</v>
      </c>
      <c r="B3782" s="324" t="s">
        <v>10970</v>
      </c>
      <c r="C3782" s="323" t="s">
        <v>10971</v>
      </c>
      <c r="D3782" s="326" t="s">
        <v>10969</v>
      </c>
    </row>
    <row r="3783" spans="1:4">
      <c r="A3783" s="324" t="s">
        <v>10972</v>
      </c>
      <c r="B3783" s="324" t="s">
        <v>10973</v>
      </c>
      <c r="C3783" s="323" t="s">
        <v>10974</v>
      </c>
      <c r="D3783" s="326" t="s">
        <v>10972</v>
      </c>
    </row>
    <row r="3784" spans="1:4">
      <c r="A3784" s="324" t="s">
        <v>10975</v>
      </c>
      <c r="B3784" s="324" t="s">
        <v>10976</v>
      </c>
      <c r="C3784" s="323" t="s">
        <v>10977</v>
      </c>
      <c r="D3784" s="326" t="s">
        <v>10975</v>
      </c>
    </row>
    <row r="3785" spans="1:4">
      <c r="A3785" s="324" t="s">
        <v>10978</v>
      </c>
      <c r="B3785" s="324" t="s">
        <v>10979</v>
      </c>
      <c r="C3785" s="323" t="s">
        <v>10980</v>
      </c>
      <c r="D3785" s="326" t="s">
        <v>10978</v>
      </c>
    </row>
    <row r="3786" spans="1:4">
      <c r="A3786" s="324" t="s">
        <v>10981</v>
      </c>
      <c r="B3786" s="324" t="s">
        <v>10982</v>
      </c>
      <c r="C3786" s="323" t="s">
        <v>10983</v>
      </c>
      <c r="D3786" s="326" t="s">
        <v>10981</v>
      </c>
    </row>
    <row r="3787" spans="1:4">
      <c r="A3787" s="324" t="s">
        <v>10984</v>
      </c>
      <c r="B3787" s="324" t="s">
        <v>10985</v>
      </c>
      <c r="C3787" s="323" t="s">
        <v>10986</v>
      </c>
      <c r="D3787" s="326" t="s">
        <v>10622</v>
      </c>
    </row>
    <row r="3788" spans="1:4">
      <c r="A3788" s="324" t="s">
        <v>10987</v>
      </c>
      <c r="B3788" s="324" t="s">
        <v>10988</v>
      </c>
      <c r="C3788" s="323" t="s">
        <v>10989</v>
      </c>
      <c r="D3788" s="326" t="s">
        <v>10990</v>
      </c>
    </row>
    <row r="3789" spans="1:4">
      <c r="A3789" s="324" t="s">
        <v>10991</v>
      </c>
      <c r="B3789" s="324" t="s">
        <v>10992</v>
      </c>
      <c r="C3789" s="323" t="s">
        <v>10993</v>
      </c>
      <c r="D3789" s="326" t="s">
        <v>10630</v>
      </c>
    </row>
    <row r="3790" spans="1:4">
      <c r="A3790" s="324" t="s">
        <v>10994</v>
      </c>
      <c r="B3790" s="324" t="s">
        <v>10995</v>
      </c>
      <c r="C3790" s="323" t="s">
        <v>10996</v>
      </c>
      <c r="D3790" s="326" t="s">
        <v>10997</v>
      </c>
    </row>
    <row r="3791" spans="1:4">
      <c r="A3791" s="324" t="s">
        <v>1945</v>
      </c>
      <c r="B3791" s="324" t="s">
        <v>10998</v>
      </c>
      <c r="C3791" s="323" t="s">
        <v>10999</v>
      </c>
      <c r="D3791" s="326" t="s">
        <v>1945</v>
      </c>
    </row>
    <row r="3792" spans="1:4">
      <c r="A3792" s="324" t="s">
        <v>11000</v>
      </c>
      <c r="B3792" s="324" t="s">
        <v>11001</v>
      </c>
      <c r="C3792" s="323" t="s">
        <v>11002</v>
      </c>
      <c r="D3792" s="326" t="s">
        <v>11000</v>
      </c>
    </row>
    <row r="3793" spans="1:4">
      <c r="A3793" s="324" t="s">
        <v>6243</v>
      </c>
      <c r="B3793" s="324" t="s">
        <v>8250</v>
      </c>
      <c r="C3793" s="323" t="s">
        <v>11003</v>
      </c>
      <c r="D3793" s="326" t="s">
        <v>6243</v>
      </c>
    </row>
    <row r="3794" spans="1:4">
      <c r="A3794" s="324" t="s">
        <v>11004</v>
      </c>
      <c r="B3794" s="324" t="s">
        <v>8252</v>
      </c>
      <c r="C3794" s="323" t="s">
        <v>11005</v>
      </c>
      <c r="D3794" s="326" t="s">
        <v>11004</v>
      </c>
    </row>
    <row r="3795" spans="1:4">
      <c r="A3795" s="324" t="s">
        <v>11006</v>
      </c>
      <c r="B3795" s="324" t="s">
        <v>8248</v>
      </c>
      <c r="C3795" s="323" t="s">
        <v>11007</v>
      </c>
      <c r="D3795" s="326" t="s">
        <v>11006</v>
      </c>
    </row>
    <row r="3796" spans="1:4">
      <c r="A3796" s="324" t="s">
        <v>11008</v>
      </c>
      <c r="B3796" s="324" t="s">
        <v>11009</v>
      </c>
      <c r="C3796" s="323" t="s">
        <v>11010</v>
      </c>
      <c r="D3796" s="326" t="s">
        <v>11008</v>
      </c>
    </row>
    <row r="3797" spans="1:4">
      <c r="A3797" s="324" t="s">
        <v>11011</v>
      </c>
      <c r="B3797" s="324" t="s">
        <v>11012</v>
      </c>
      <c r="C3797" s="323" t="s">
        <v>11013</v>
      </c>
      <c r="D3797" s="326" t="s">
        <v>11011</v>
      </c>
    </row>
    <row r="3798" spans="1:4">
      <c r="A3798" s="324" t="s">
        <v>11014</v>
      </c>
      <c r="B3798" s="324" t="s">
        <v>11015</v>
      </c>
      <c r="C3798" s="323" t="s">
        <v>11016</v>
      </c>
      <c r="D3798" s="326" t="s">
        <v>11014</v>
      </c>
    </row>
    <row r="3799" spans="1:4">
      <c r="A3799" s="324" t="s">
        <v>6941</v>
      </c>
      <c r="B3799" s="324" t="s">
        <v>6940</v>
      </c>
      <c r="C3799" s="323" t="s">
        <v>11017</v>
      </c>
      <c r="D3799" s="326" t="s">
        <v>6941</v>
      </c>
    </row>
    <row r="3800" spans="1:4">
      <c r="A3800" s="324" t="s">
        <v>11018</v>
      </c>
      <c r="B3800" s="324" t="s">
        <v>11019</v>
      </c>
      <c r="C3800" s="323" t="s">
        <v>11020</v>
      </c>
      <c r="D3800" s="326" t="s">
        <v>11018</v>
      </c>
    </row>
    <row r="3801" spans="1:4">
      <c r="A3801" s="324" t="s">
        <v>11021</v>
      </c>
      <c r="B3801" s="324" t="s">
        <v>11022</v>
      </c>
      <c r="C3801" s="323" t="s">
        <v>11023</v>
      </c>
      <c r="D3801" s="326" t="s">
        <v>11021</v>
      </c>
    </row>
    <row r="3802" spans="1:4">
      <c r="A3802" s="324" t="s">
        <v>11024</v>
      </c>
      <c r="B3802" s="324" t="s">
        <v>11025</v>
      </c>
      <c r="C3802" s="323" t="s">
        <v>11026</v>
      </c>
      <c r="D3802" s="326" t="s">
        <v>11024</v>
      </c>
    </row>
    <row r="3803" spans="1:4">
      <c r="A3803" s="324" t="s">
        <v>11027</v>
      </c>
      <c r="B3803" s="324" t="s">
        <v>11028</v>
      </c>
      <c r="C3803" s="323" t="s">
        <v>11029</v>
      </c>
      <c r="D3803" s="326" t="s">
        <v>11027</v>
      </c>
    </row>
    <row r="3804" spans="1:4">
      <c r="A3804" s="324" t="s">
        <v>11030</v>
      </c>
      <c r="B3804" s="324" t="s">
        <v>11031</v>
      </c>
      <c r="C3804" s="323" t="s">
        <v>11032</v>
      </c>
      <c r="D3804" s="326" t="s">
        <v>11030</v>
      </c>
    </row>
    <row r="3805" spans="1:4">
      <c r="A3805" s="324" t="s">
        <v>11033</v>
      </c>
      <c r="B3805" s="324" t="s">
        <v>11034</v>
      </c>
      <c r="C3805" s="323" t="s">
        <v>11035</v>
      </c>
      <c r="D3805" s="326" t="s">
        <v>11033</v>
      </c>
    </row>
    <row r="3806" spans="1:4">
      <c r="A3806" s="324" t="s">
        <v>11036</v>
      </c>
      <c r="B3806" s="324" t="s">
        <v>11037</v>
      </c>
      <c r="C3806" s="323" t="s">
        <v>11038</v>
      </c>
      <c r="D3806" s="326" t="s">
        <v>11036</v>
      </c>
    </row>
    <row r="3807" spans="1:4">
      <c r="A3807" s="324" t="s">
        <v>11039</v>
      </c>
      <c r="B3807" s="324" t="s">
        <v>11040</v>
      </c>
      <c r="C3807" s="323" t="s">
        <v>11041</v>
      </c>
      <c r="D3807" s="326" t="s">
        <v>11039</v>
      </c>
    </row>
    <row r="3808" spans="1:4">
      <c r="A3808" s="324" t="s">
        <v>11042</v>
      </c>
      <c r="B3808" s="324" t="s">
        <v>11043</v>
      </c>
      <c r="C3808" s="323" t="s">
        <v>11044</v>
      </c>
      <c r="D3808" s="326" t="s">
        <v>11042</v>
      </c>
    </row>
    <row r="3809" spans="1:4">
      <c r="A3809" s="324" t="s">
        <v>11045</v>
      </c>
      <c r="B3809" s="324" t="s">
        <v>11046</v>
      </c>
      <c r="C3809" s="323" t="s">
        <v>11047</v>
      </c>
      <c r="D3809" s="326" t="s">
        <v>11045</v>
      </c>
    </row>
    <row r="3810" spans="1:4">
      <c r="A3810" s="324" t="s">
        <v>11048</v>
      </c>
      <c r="B3810" s="324" t="s">
        <v>11049</v>
      </c>
      <c r="C3810" s="323" t="s">
        <v>11050</v>
      </c>
      <c r="D3810" s="326" t="s">
        <v>11048</v>
      </c>
    </row>
    <row r="3811" spans="1:4">
      <c r="A3811" s="324" t="s">
        <v>3468</v>
      </c>
      <c r="B3811" s="324" t="s">
        <v>11051</v>
      </c>
      <c r="C3811" s="323" t="s">
        <v>11052</v>
      </c>
      <c r="D3811" s="326" t="s">
        <v>3468</v>
      </c>
    </row>
    <row r="3812" spans="1:4">
      <c r="A3812" s="324" t="s">
        <v>8304</v>
      </c>
      <c r="B3812" s="324" t="s">
        <v>8303</v>
      </c>
      <c r="C3812" s="323" t="s">
        <v>11053</v>
      </c>
      <c r="D3812" s="326" t="s">
        <v>8304</v>
      </c>
    </row>
    <row r="3813" spans="1:4">
      <c r="A3813" s="324" t="s">
        <v>11054</v>
      </c>
      <c r="B3813" s="324" t="s">
        <v>11055</v>
      </c>
      <c r="C3813" s="323" t="s">
        <v>11056</v>
      </c>
      <c r="D3813" s="326" t="s">
        <v>11054</v>
      </c>
    </row>
    <row r="3814" spans="1:4">
      <c r="A3814" s="324" t="s">
        <v>11057</v>
      </c>
      <c r="B3814" s="324" t="s">
        <v>11058</v>
      </c>
      <c r="C3814" s="323" t="s">
        <v>11059</v>
      </c>
      <c r="D3814" s="326" t="s">
        <v>11057</v>
      </c>
    </row>
    <row r="3815" spans="1:4">
      <c r="A3815" s="324" t="s">
        <v>11060</v>
      </c>
      <c r="B3815" s="324" t="s">
        <v>8435</v>
      </c>
      <c r="C3815" s="323" t="s">
        <v>11061</v>
      </c>
      <c r="D3815" s="326" t="s">
        <v>11062</v>
      </c>
    </row>
    <row r="3816" spans="1:4">
      <c r="A3816" s="324" t="s">
        <v>11063</v>
      </c>
      <c r="B3816" s="324" t="s">
        <v>11064</v>
      </c>
      <c r="C3816" s="323" t="s">
        <v>11065</v>
      </c>
      <c r="D3816" s="326" t="s">
        <v>11063</v>
      </c>
    </row>
    <row r="3817" spans="1:4">
      <c r="A3817" s="324" t="s">
        <v>11066</v>
      </c>
      <c r="B3817" s="324" t="s">
        <v>11067</v>
      </c>
      <c r="C3817" s="323" t="s">
        <v>11068</v>
      </c>
      <c r="D3817" s="326" t="s">
        <v>11066</v>
      </c>
    </row>
    <row r="3818" spans="1:4">
      <c r="A3818" s="324" t="s">
        <v>11069</v>
      </c>
      <c r="B3818" s="324" t="s">
        <v>11070</v>
      </c>
      <c r="C3818" s="323" t="s">
        <v>11071</v>
      </c>
      <c r="D3818" s="326" t="s">
        <v>11069</v>
      </c>
    </row>
    <row r="3819" spans="1:4">
      <c r="A3819" s="324" t="s">
        <v>11072</v>
      </c>
      <c r="B3819" s="324" t="s">
        <v>11073</v>
      </c>
      <c r="C3819" s="323" t="s">
        <v>11074</v>
      </c>
      <c r="D3819" s="326" t="s">
        <v>11072</v>
      </c>
    </row>
    <row r="3820" spans="1:4">
      <c r="A3820" s="324" t="s">
        <v>11075</v>
      </c>
      <c r="B3820" s="324" t="s">
        <v>11076</v>
      </c>
      <c r="C3820" s="323" t="s">
        <v>11077</v>
      </c>
      <c r="D3820" s="326" t="s">
        <v>11075</v>
      </c>
    </row>
    <row r="3821" spans="1:4">
      <c r="A3821" s="324" t="s">
        <v>11078</v>
      </c>
      <c r="B3821" s="324" t="s">
        <v>11079</v>
      </c>
      <c r="C3821" s="323" t="s">
        <v>10999</v>
      </c>
      <c r="D3821" s="326" t="s">
        <v>11078</v>
      </c>
    </row>
    <row r="3822" spans="1:4">
      <c r="A3822" s="324" t="s">
        <v>11080</v>
      </c>
      <c r="B3822" s="324" t="s">
        <v>11081</v>
      </c>
      <c r="C3822" s="323" t="s">
        <v>11082</v>
      </c>
      <c r="D3822" s="326" t="s">
        <v>11080</v>
      </c>
    </row>
    <row r="3823" spans="1:4">
      <c r="A3823" s="324" t="s">
        <v>11083</v>
      </c>
      <c r="B3823" s="324" t="s">
        <v>11084</v>
      </c>
      <c r="C3823" s="323" t="s">
        <v>11085</v>
      </c>
      <c r="D3823" s="326" t="s">
        <v>11086</v>
      </c>
    </row>
    <row r="3824" spans="1:4">
      <c r="A3824" s="324" t="s">
        <v>11087</v>
      </c>
      <c r="B3824" s="324" t="s">
        <v>11088</v>
      </c>
      <c r="C3824" s="323" t="s">
        <v>11089</v>
      </c>
      <c r="D3824" s="326" t="s">
        <v>11087</v>
      </c>
    </row>
    <row r="3825" spans="1:4">
      <c r="A3825" s="324" t="s">
        <v>11090</v>
      </c>
      <c r="B3825" s="324" t="s">
        <v>11091</v>
      </c>
      <c r="C3825" s="323" t="s">
        <v>11092</v>
      </c>
      <c r="D3825" s="326" t="s">
        <v>11090</v>
      </c>
    </row>
    <row r="3826" spans="1:4">
      <c r="A3826" s="324" t="s">
        <v>11093</v>
      </c>
      <c r="B3826" s="324" t="s">
        <v>11094</v>
      </c>
      <c r="C3826" s="323" t="s">
        <v>11095</v>
      </c>
      <c r="D3826" s="326" t="s">
        <v>11093</v>
      </c>
    </row>
    <row r="3827" spans="1:4">
      <c r="A3827" s="324" t="s">
        <v>11096</v>
      </c>
      <c r="B3827" s="324" t="s">
        <v>11097</v>
      </c>
      <c r="C3827" s="323" t="s">
        <v>11098</v>
      </c>
      <c r="D3827" s="326" t="s">
        <v>11096</v>
      </c>
    </row>
    <row r="3828" spans="1:4">
      <c r="A3828" s="324" t="s">
        <v>11099</v>
      </c>
      <c r="B3828" s="324" t="s">
        <v>11100</v>
      </c>
      <c r="C3828" s="323" t="s">
        <v>11101</v>
      </c>
      <c r="D3828" s="326" t="s">
        <v>11102</v>
      </c>
    </row>
    <row r="3829" spans="1:4">
      <c r="A3829" s="324" t="s">
        <v>11103</v>
      </c>
      <c r="B3829" s="324" t="s">
        <v>11104</v>
      </c>
      <c r="C3829" s="323" t="s">
        <v>11105</v>
      </c>
      <c r="D3829" s="326" t="s">
        <v>11103</v>
      </c>
    </row>
    <row r="3830" spans="1:4">
      <c r="A3830" s="324" t="s">
        <v>11106</v>
      </c>
      <c r="B3830" s="324" t="s">
        <v>11107</v>
      </c>
      <c r="C3830" s="323" t="s">
        <v>11108</v>
      </c>
      <c r="D3830" s="326" t="s">
        <v>11106</v>
      </c>
    </row>
    <row r="3831" spans="1:4">
      <c r="A3831" s="324" t="s">
        <v>11109</v>
      </c>
      <c r="B3831" s="324" t="s">
        <v>11110</v>
      </c>
      <c r="C3831" s="323" t="s">
        <v>740</v>
      </c>
      <c r="D3831" s="326" t="s">
        <v>11109</v>
      </c>
    </row>
    <row r="3832" spans="1:4">
      <c r="A3832" s="324" t="s">
        <v>8582</v>
      </c>
      <c r="B3832" s="324" t="s">
        <v>8581</v>
      </c>
      <c r="C3832" s="323" t="s">
        <v>11111</v>
      </c>
      <c r="D3832" s="326" t="s">
        <v>8582</v>
      </c>
    </row>
    <row r="3833" spans="1:4">
      <c r="A3833" s="324" t="s">
        <v>11112</v>
      </c>
      <c r="B3833" s="324" t="s">
        <v>11113</v>
      </c>
      <c r="C3833" s="323" t="s">
        <v>11114</v>
      </c>
      <c r="D3833" s="326" t="s">
        <v>11112</v>
      </c>
    </row>
    <row r="3834" spans="1:4">
      <c r="A3834" s="324" t="s">
        <v>11115</v>
      </c>
      <c r="B3834" s="324" t="s">
        <v>11116</v>
      </c>
      <c r="C3834" s="323" t="s">
        <v>11117</v>
      </c>
      <c r="D3834" s="326" t="s">
        <v>11115</v>
      </c>
    </row>
    <row r="3835" spans="1:4">
      <c r="A3835" s="324" t="s">
        <v>11118</v>
      </c>
      <c r="B3835" s="324" t="s">
        <v>11119</v>
      </c>
      <c r="C3835" s="323" t="s">
        <v>11120</v>
      </c>
      <c r="D3835" s="326" t="s">
        <v>11118</v>
      </c>
    </row>
    <row r="3836" spans="1:4">
      <c r="A3836" s="324" t="s">
        <v>11121</v>
      </c>
      <c r="B3836" s="324" t="s">
        <v>11122</v>
      </c>
      <c r="C3836" s="323" t="s">
        <v>11123</v>
      </c>
      <c r="D3836" s="326" t="s">
        <v>11121</v>
      </c>
    </row>
    <row r="3837" spans="1:4">
      <c r="A3837" s="324" t="s">
        <v>11124</v>
      </c>
      <c r="B3837" s="324" t="s">
        <v>11125</v>
      </c>
      <c r="C3837" s="323" t="s">
        <v>11126</v>
      </c>
      <c r="D3837" s="326" t="s">
        <v>11124</v>
      </c>
    </row>
    <row r="3838" spans="1:4">
      <c r="A3838" s="324" t="s">
        <v>11127</v>
      </c>
      <c r="B3838" s="324" t="s">
        <v>11128</v>
      </c>
      <c r="C3838" s="323" t="s">
        <v>11129</v>
      </c>
      <c r="D3838" s="326" t="s">
        <v>11127</v>
      </c>
    </row>
    <row r="3839" spans="1:4">
      <c r="A3839" s="324" t="s">
        <v>11130</v>
      </c>
      <c r="B3839" s="324" t="s">
        <v>11131</v>
      </c>
      <c r="C3839" s="323" t="s">
        <v>11132</v>
      </c>
      <c r="D3839" s="326" t="s">
        <v>11130</v>
      </c>
    </row>
    <row r="3840" spans="1:4">
      <c r="A3840" s="324" t="s">
        <v>11133</v>
      </c>
      <c r="B3840" s="324" t="s">
        <v>11134</v>
      </c>
      <c r="C3840" s="323" t="s">
        <v>11135</v>
      </c>
      <c r="D3840" s="326" t="s">
        <v>11133</v>
      </c>
    </row>
    <row r="3841" spans="1:4">
      <c r="A3841" s="324" t="s">
        <v>11136</v>
      </c>
      <c r="B3841" s="324" t="s">
        <v>11137</v>
      </c>
      <c r="C3841" s="323" t="s">
        <v>11138</v>
      </c>
      <c r="D3841" s="326" t="s">
        <v>11136</v>
      </c>
    </row>
    <row r="3842" spans="1:4">
      <c r="A3842" s="324" t="s">
        <v>1228</v>
      </c>
      <c r="B3842" s="324" t="s">
        <v>1226</v>
      </c>
      <c r="C3842" s="323" t="s">
        <v>11139</v>
      </c>
      <c r="D3842" s="326" t="s">
        <v>1228</v>
      </c>
    </row>
    <row r="3843" spans="1:4">
      <c r="A3843" s="324" t="s">
        <v>3535</v>
      </c>
      <c r="B3843" s="324" t="s">
        <v>8946</v>
      </c>
      <c r="C3843" s="323" t="s">
        <v>11140</v>
      </c>
      <c r="D3843" s="326" t="s">
        <v>3535</v>
      </c>
    </row>
    <row r="3844" spans="1:4">
      <c r="A3844" s="324" t="s">
        <v>11141</v>
      </c>
      <c r="B3844" s="324" t="s">
        <v>11142</v>
      </c>
      <c r="C3844" s="323" t="s">
        <v>11143</v>
      </c>
      <c r="D3844" s="326" t="s">
        <v>11141</v>
      </c>
    </row>
    <row r="3845" spans="1:4">
      <c r="A3845" s="324" t="s">
        <v>11144</v>
      </c>
      <c r="B3845" s="324" t="s">
        <v>8171</v>
      </c>
      <c r="C3845" s="323" t="s">
        <v>11145</v>
      </c>
      <c r="D3845" s="326" t="s">
        <v>11144</v>
      </c>
    </row>
    <row r="3846" spans="1:4">
      <c r="A3846" s="324" t="s">
        <v>11146</v>
      </c>
      <c r="B3846" s="324" t="s">
        <v>11147</v>
      </c>
      <c r="C3846" s="323" t="s">
        <v>11145</v>
      </c>
      <c r="D3846" s="326" t="s">
        <v>11146</v>
      </c>
    </row>
    <row r="3847" spans="1:4">
      <c r="A3847" s="324" t="s">
        <v>11148</v>
      </c>
      <c r="B3847" s="324" t="s">
        <v>11149</v>
      </c>
      <c r="C3847" s="323" t="s">
        <v>11150</v>
      </c>
      <c r="D3847" s="326" t="s">
        <v>11151</v>
      </c>
    </row>
    <row r="3848" spans="1:4">
      <c r="A3848" s="324" t="s">
        <v>11152</v>
      </c>
      <c r="B3848" s="324" t="s">
        <v>11153</v>
      </c>
      <c r="C3848" s="323" t="s">
        <v>11154</v>
      </c>
      <c r="D3848" s="326" t="s">
        <v>11155</v>
      </c>
    </row>
    <row r="3849" spans="1:4">
      <c r="A3849" s="324" t="s">
        <v>8976</v>
      </c>
      <c r="B3849" s="324" t="s">
        <v>8975</v>
      </c>
      <c r="C3849" s="323" t="s">
        <v>11156</v>
      </c>
      <c r="D3849" s="326" t="s">
        <v>11157</v>
      </c>
    </row>
    <row r="3850" spans="1:4">
      <c r="A3850" s="324" t="s">
        <v>8969</v>
      </c>
      <c r="B3850" s="324" t="s">
        <v>8968</v>
      </c>
      <c r="C3850" s="323" t="s">
        <v>11158</v>
      </c>
      <c r="D3850" s="326" t="s">
        <v>11159</v>
      </c>
    </row>
    <row r="3851" spans="1:4">
      <c r="A3851" s="324" t="s">
        <v>8971</v>
      </c>
      <c r="B3851" s="324" t="s">
        <v>8970</v>
      </c>
      <c r="C3851" s="323" t="s">
        <v>11160</v>
      </c>
      <c r="D3851" s="326" t="s">
        <v>11161</v>
      </c>
    </row>
    <row r="3852" spans="1:4">
      <c r="A3852" s="324" t="s">
        <v>8974</v>
      </c>
      <c r="B3852" s="324" t="s">
        <v>8972</v>
      </c>
      <c r="C3852" s="323" t="s">
        <v>11162</v>
      </c>
      <c r="D3852" s="326" t="s">
        <v>11163</v>
      </c>
    </row>
    <row r="3853" spans="1:4">
      <c r="A3853" s="324" t="s">
        <v>11164</v>
      </c>
      <c r="B3853" s="324" t="s">
        <v>11165</v>
      </c>
      <c r="C3853" s="323" t="s">
        <v>11166</v>
      </c>
      <c r="D3853" s="326" t="s">
        <v>11164</v>
      </c>
    </row>
    <row r="3854" spans="1:4">
      <c r="A3854" s="324" t="s">
        <v>11167</v>
      </c>
      <c r="B3854" s="324" t="s">
        <v>11168</v>
      </c>
      <c r="C3854" s="323" t="s">
        <v>11169</v>
      </c>
      <c r="D3854" s="326" t="s">
        <v>11170</v>
      </c>
    </row>
    <row r="3855" spans="1:4">
      <c r="A3855" s="324" t="s">
        <v>11171</v>
      </c>
      <c r="B3855" s="324" t="s">
        <v>8169</v>
      </c>
      <c r="C3855" s="323" t="s">
        <v>11172</v>
      </c>
      <c r="D3855" s="326" t="s">
        <v>11171</v>
      </c>
    </row>
    <row r="3856" spans="1:4">
      <c r="A3856" s="324" t="s">
        <v>11173</v>
      </c>
      <c r="B3856" s="324" t="s">
        <v>11174</v>
      </c>
      <c r="C3856" s="323" t="s">
        <v>11172</v>
      </c>
      <c r="D3856" s="326" t="s">
        <v>11173</v>
      </c>
    </row>
    <row r="3857" spans="1:4">
      <c r="A3857" s="324" t="s">
        <v>11175</v>
      </c>
      <c r="B3857" s="324" t="s">
        <v>11176</v>
      </c>
      <c r="C3857" s="323" t="s">
        <v>11177</v>
      </c>
      <c r="D3857" s="326" t="s">
        <v>11175</v>
      </c>
    </row>
    <row r="3858" spans="1:4">
      <c r="A3858" s="324" t="s">
        <v>6183</v>
      </c>
      <c r="B3858" s="324" t="s">
        <v>11178</v>
      </c>
      <c r="C3858" s="323" t="s">
        <v>11179</v>
      </c>
      <c r="D3858" s="326" t="s">
        <v>6183</v>
      </c>
    </row>
    <row r="3859" spans="1:4">
      <c r="A3859" s="324" t="s">
        <v>11180</v>
      </c>
      <c r="B3859" s="324" t="s">
        <v>1274</v>
      </c>
      <c r="C3859" s="323" t="s">
        <v>11181</v>
      </c>
      <c r="D3859" s="326" t="s">
        <v>11180</v>
      </c>
    </row>
    <row r="3860" spans="1:4">
      <c r="A3860" s="324" t="s">
        <v>1275</v>
      </c>
      <c r="B3860" s="324" t="s">
        <v>11182</v>
      </c>
      <c r="C3860" s="323" t="s">
        <v>11183</v>
      </c>
      <c r="D3860" s="326" t="s">
        <v>1275</v>
      </c>
    </row>
    <row r="3861" spans="1:4">
      <c r="A3861" s="324" t="s">
        <v>6183</v>
      </c>
      <c r="B3861" s="324" t="s">
        <v>7165</v>
      </c>
      <c r="C3861" s="323" t="s">
        <v>11184</v>
      </c>
      <c r="D3861" s="326" t="s">
        <v>6183</v>
      </c>
    </row>
    <row r="3862" spans="1:4">
      <c r="A3862" s="324" t="s">
        <v>8195</v>
      </c>
      <c r="B3862" s="324" t="s">
        <v>8194</v>
      </c>
      <c r="C3862" s="323" t="s">
        <v>11185</v>
      </c>
      <c r="D3862" s="326" t="s">
        <v>8195</v>
      </c>
    </row>
    <row r="3863" spans="1:4">
      <c r="A3863" s="324" t="s">
        <v>8197</v>
      </c>
      <c r="B3863" s="324" t="s">
        <v>8196</v>
      </c>
      <c r="C3863" s="323" t="s">
        <v>11186</v>
      </c>
      <c r="D3863" s="326" t="s">
        <v>8197</v>
      </c>
    </row>
    <row r="3864" spans="1:4">
      <c r="A3864" s="324" t="s">
        <v>11187</v>
      </c>
      <c r="B3864" s="324" t="s">
        <v>11188</v>
      </c>
      <c r="C3864" s="323" t="s">
        <v>11189</v>
      </c>
      <c r="D3864" s="326" t="s">
        <v>11187</v>
      </c>
    </row>
    <row r="3865" spans="1:4">
      <c r="A3865" s="324" t="s">
        <v>11190</v>
      </c>
      <c r="B3865" s="324" t="s">
        <v>11191</v>
      </c>
      <c r="C3865" s="323" t="s">
        <v>11192</v>
      </c>
      <c r="D3865" s="326" t="s">
        <v>11190</v>
      </c>
    </row>
    <row r="3866" spans="1:4">
      <c r="A3866" s="324" t="s">
        <v>8237</v>
      </c>
      <c r="B3866" s="324" t="s">
        <v>8236</v>
      </c>
      <c r="C3866" s="323" t="s">
        <v>11193</v>
      </c>
      <c r="D3866" s="326" t="s">
        <v>8237</v>
      </c>
    </row>
    <row r="3867" spans="1:4">
      <c r="A3867" s="324" t="s">
        <v>8239</v>
      </c>
      <c r="B3867" s="324" t="s">
        <v>8238</v>
      </c>
      <c r="C3867" s="323" t="s">
        <v>11194</v>
      </c>
      <c r="D3867" s="326" t="s">
        <v>8239</v>
      </c>
    </row>
    <row r="3868" spans="1:4">
      <c r="A3868" s="324" t="s">
        <v>1328</v>
      </c>
      <c r="B3868" s="324" t="s">
        <v>11195</v>
      </c>
      <c r="C3868" s="323" t="s">
        <v>11193</v>
      </c>
      <c r="D3868" s="326" t="s">
        <v>1328</v>
      </c>
    </row>
    <row r="3869" spans="1:4">
      <c r="A3869" s="324" t="s">
        <v>8949</v>
      </c>
      <c r="B3869" s="324" t="s">
        <v>8948</v>
      </c>
      <c r="C3869" s="323" t="s">
        <v>11196</v>
      </c>
      <c r="D3869" s="326" t="s">
        <v>8949</v>
      </c>
    </row>
    <row r="3870" spans="1:4">
      <c r="A3870" s="324" t="s">
        <v>11197</v>
      </c>
      <c r="B3870" s="324" t="s">
        <v>11198</v>
      </c>
      <c r="C3870" s="323" t="s">
        <v>11199</v>
      </c>
      <c r="D3870" s="326" t="s">
        <v>11197</v>
      </c>
    </row>
    <row r="3871" spans="1:4">
      <c r="A3871" s="324" t="s">
        <v>11200</v>
      </c>
      <c r="B3871" s="324" t="s">
        <v>11201</v>
      </c>
      <c r="C3871" s="323" t="s">
        <v>11202</v>
      </c>
      <c r="D3871" s="326" t="s">
        <v>11200</v>
      </c>
    </row>
    <row r="3872" spans="1:4">
      <c r="A3872" s="324" t="s">
        <v>11203</v>
      </c>
      <c r="B3872" s="324" t="s">
        <v>11204</v>
      </c>
      <c r="C3872" s="323" t="s">
        <v>11199</v>
      </c>
      <c r="D3872" s="326" t="s">
        <v>11203</v>
      </c>
    </row>
    <row r="3873" spans="1:4">
      <c r="A3873" s="324" t="s">
        <v>6689</v>
      </c>
      <c r="B3873" s="324" t="s">
        <v>6687</v>
      </c>
      <c r="C3873" s="323" t="s">
        <v>11205</v>
      </c>
      <c r="D3873" s="326" t="s">
        <v>6689</v>
      </c>
    </row>
    <row r="3874" spans="1:4">
      <c r="A3874" s="324" t="s">
        <v>1294</v>
      </c>
      <c r="B3874" s="324" t="s">
        <v>6904</v>
      </c>
      <c r="C3874" s="323" t="s">
        <v>11206</v>
      </c>
      <c r="D3874" s="326" t="s">
        <v>1294</v>
      </c>
    </row>
    <row r="3875" spans="1:4">
      <c r="A3875" s="324" t="s">
        <v>11207</v>
      </c>
      <c r="B3875" s="324" t="s">
        <v>11208</v>
      </c>
      <c r="C3875" s="323" t="s">
        <v>11209</v>
      </c>
      <c r="D3875" s="326" t="s">
        <v>11207</v>
      </c>
    </row>
    <row r="3876" spans="1:4">
      <c r="A3876" s="324" t="s">
        <v>11210</v>
      </c>
      <c r="B3876" s="324" t="s">
        <v>11211</v>
      </c>
      <c r="C3876" s="323" t="s">
        <v>11212</v>
      </c>
      <c r="D3876" s="326" t="s">
        <v>11210</v>
      </c>
    </row>
    <row r="3877" spans="1:4">
      <c r="A3877" s="324" t="s">
        <v>11213</v>
      </c>
      <c r="B3877" s="324" t="s">
        <v>11214</v>
      </c>
      <c r="C3877" s="323" t="s">
        <v>11215</v>
      </c>
      <c r="D3877" s="326" t="s">
        <v>11213</v>
      </c>
    </row>
    <row r="3878" spans="1:4">
      <c r="A3878" s="324" t="s">
        <v>11216</v>
      </c>
      <c r="B3878" s="324" t="s">
        <v>11217</v>
      </c>
      <c r="C3878" s="323" t="s">
        <v>11218</v>
      </c>
      <c r="D3878" s="326" t="s">
        <v>11216</v>
      </c>
    </row>
    <row r="3879" spans="1:4">
      <c r="A3879" s="324" t="s">
        <v>11219</v>
      </c>
      <c r="B3879" s="324" t="s">
        <v>11220</v>
      </c>
      <c r="C3879" s="323" t="s">
        <v>11221</v>
      </c>
      <c r="D3879" s="326" t="s">
        <v>11219</v>
      </c>
    </row>
    <row r="3880" spans="1:4">
      <c r="A3880" s="324" t="s">
        <v>11222</v>
      </c>
      <c r="B3880" s="324" t="s">
        <v>11223</v>
      </c>
      <c r="C3880" s="323" t="s">
        <v>11224</v>
      </c>
      <c r="D3880" s="326" t="s">
        <v>11222</v>
      </c>
    </row>
    <row r="3881" spans="1:4">
      <c r="A3881" s="324" t="s">
        <v>11225</v>
      </c>
      <c r="B3881" s="324" t="s">
        <v>11226</v>
      </c>
      <c r="C3881" s="323" t="s">
        <v>11227</v>
      </c>
      <c r="D3881" s="326" t="s">
        <v>11225</v>
      </c>
    </row>
    <row r="3882" spans="1:4">
      <c r="A3882" s="324" t="s">
        <v>6055</v>
      </c>
      <c r="B3882" s="324" t="s">
        <v>11228</v>
      </c>
      <c r="C3882" s="323" t="s">
        <v>11229</v>
      </c>
      <c r="D3882" s="326" t="s">
        <v>6055</v>
      </c>
    </row>
    <row r="3883" spans="1:4">
      <c r="A3883" s="324" t="s">
        <v>11230</v>
      </c>
      <c r="B3883" s="324" t="s">
        <v>11231</v>
      </c>
      <c r="C3883" s="323" t="s">
        <v>11232</v>
      </c>
      <c r="D3883" s="326" t="s">
        <v>11230</v>
      </c>
    </row>
    <row r="3884" spans="1:4">
      <c r="A3884" s="324" t="s">
        <v>4435</v>
      </c>
      <c r="B3884" s="324" t="s">
        <v>11233</v>
      </c>
      <c r="C3884" s="323" t="s">
        <v>11234</v>
      </c>
      <c r="D3884" s="326" t="s">
        <v>4435</v>
      </c>
    </row>
    <row r="3885" spans="1:4">
      <c r="A3885" s="324" t="s">
        <v>11235</v>
      </c>
      <c r="B3885" s="324" t="s">
        <v>11236</v>
      </c>
      <c r="C3885" s="323" t="s">
        <v>11237</v>
      </c>
      <c r="D3885" s="326" t="s">
        <v>11235</v>
      </c>
    </row>
    <row r="3886" spans="1:4">
      <c r="A3886" s="324" t="s">
        <v>11238</v>
      </c>
      <c r="B3886" s="324" t="s">
        <v>11239</v>
      </c>
      <c r="C3886" s="323" t="s">
        <v>11240</v>
      </c>
      <c r="D3886" s="326" t="s">
        <v>11238</v>
      </c>
    </row>
    <row r="3887" spans="1:4">
      <c r="A3887" s="324" t="s">
        <v>5521</v>
      </c>
      <c r="B3887" s="324" t="s">
        <v>11241</v>
      </c>
      <c r="C3887" s="323" t="s">
        <v>5523</v>
      </c>
      <c r="D3887" s="326" t="s">
        <v>5521</v>
      </c>
    </row>
    <row r="3888" spans="1:4">
      <c r="A3888" s="324" t="s">
        <v>11242</v>
      </c>
      <c r="B3888" s="324" t="s">
        <v>11243</v>
      </c>
      <c r="C3888" s="323" t="s">
        <v>11244</v>
      </c>
      <c r="D3888" s="326" t="s">
        <v>11242</v>
      </c>
    </row>
    <row r="3889" spans="1:4">
      <c r="A3889" s="324" t="s">
        <v>11245</v>
      </c>
      <c r="B3889" s="324" t="s">
        <v>11246</v>
      </c>
      <c r="C3889" s="323" t="s">
        <v>11247</v>
      </c>
      <c r="D3889" s="326" t="s">
        <v>11245</v>
      </c>
    </row>
    <row r="3890" spans="1:4">
      <c r="A3890" s="324" t="s">
        <v>11248</v>
      </c>
      <c r="B3890" s="324" t="s">
        <v>11249</v>
      </c>
      <c r="C3890" s="323" t="s">
        <v>11250</v>
      </c>
      <c r="D3890" s="326" t="s">
        <v>11248</v>
      </c>
    </row>
    <row r="3891" spans="1:4">
      <c r="A3891" s="324" t="s">
        <v>11251</v>
      </c>
      <c r="B3891" s="324" t="s">
        <v>11252</v>
      </c>
      <c r="C3891" s="323" t="s">
        <v>11253</v>
      </c>
      <c r="D3891" s="326" t="s">
        <v>11251</v>
      </c>
    </row>
    <row r="3892" spans="1:4">
      <c r="A3892" s="324" t="s">
        <v>11254</v>
      </c>
      <c r="B3892" s="324" t="s">
        <v>11255</v>
      </c>
      <c r="C3892" s="323" t="s">
        <v>11256</v>
      </c>
      <c r="D3892" s="326" t="s">
        <v>11254</v>
      </c>
    </row>
    <row r="3893" spans="1:4">
      <c r="A3893" s="324" t="s">
        <v>11257</v>
      </c>
      <c r="B3893" s="324" t="s">
        <v>11258</v>
      </c>
      <c r="C3893" s="323" t="s">
        <v>11259</v>
      </c>
      <c r="D3893" s="326" t="s">
        <v>11257</v>
      </c>
    </row>
    <row r="3894" spans="1:4">
      <c r="A3894" s="324" t="s">
        <v>11260</v>
      </c>
      <c r="B3894" s="324" t="s">
        <v>11261</v>
      </c>
      <c r="C3894" s="323" t="s">
        <v>11262</v>
      </c>
      <c r="D3894" s="326" t="s">
        <v>11260</v>
      </c>
    </row>
    <row r="3895" spans="1:4">
      <c r="A3895" s="324" t="s">
        <v>11263</v>
      </c>
      <c r="B3895" s="324" t="s">
        <v>11264</v>
      </c>
      <c r="C3895" s="323" t="s">
        <v>11265</v>
      </c>
      <c r="D3895" s="326" t="s">
        <v>11263</v>
      </c>
    </row>
    <row r="3896" spans="1:4">
      <c r="A3896" s="324" t="s">
        <v>11266</v>
      </c>
      <c r="B3896" s="324" t="s">
        <v>11267</v>
      </c>
      <c r="C3896" s="323" t="s">
        <v>11268</v>
      </c>
      <c r="D3896" s="326" t="s">
        <v>11266</v>
      </c>
    </row>
    <row r="3897" spans="1:4">
      <c r="A3897" s="324" t="s">
        <v>11269</v>
      </c>
      <c r="B3897" s="324" t="s">
        <v>11270</v>
      </c>
      <c r="C3897" s="323" t="s">
        <v>11271</v>
      </c>
      <c r="D3897" s="326" t="s">
        <v>11269</v>
      </c>
    </row>
    <row r="3898" spans="1:4">
      <c r="A3898" s="324" t="s">
        <v>11272</v>
      </c>
      <c r="B3898" s="324" t="s">
        <v>11273</v>
      </c>
      <c r="C3898" s="323" t="s">
        <v>11274</v>
      </c>
      <c r="D3898" s="326" t="s">
        <v>11272</v>
      </c>
    </row>
    <row r="3899" spans="1:4">
      <c r="A3899" s="324" t="s">
        <v>11275</v>
      </c>
      <c r="B3899" s="324" t="s">
        <v>11276</v>
      </c>
      <c r="C3899" s="323" t="s">
        <v>11277</v>
      </c>
      <c r="D3899" s="326" t="s">
        <v>11275</v>
      </c>
    </row>
    <row r="3900" spans="1:4">
      <c r="A3900" s="324" t="s">
        <v>11278</v>
      </c>
      <c r="B3900" s="324" t="s">
        <v>11279</v>
      </c>
      <c r="C3900" s="323" t="s">
        <v>11280</v>
      </c>
      <c r="D3900" s="326" t="s">
        <v>11278</v>
      </c>
    </row>
    <row r="3901" spans="1:4">
      <c r="A3901" s="324" t="s">
        <v>1382</v>
      </c>
      <c r="B3901" s="324" t="s">
        <v>1383</v>
      </c>
      <c r="C3901" s="323" t="s">
        <v>1384</v>
      </c>
      <c r="D3901" s="326" t="s">
        <v>11281</v>
      </c>
    </row>
    <row r="3902" spans="1:4">
      <c r="A3902" s="324" t="s">
        <v>11282</v>
      </c>
      <c r="B3902" s="324" t="s">
        <v>11283</v>
      </c>
      <c r="C3902" s="323" t="s">
        <v>11284</v>
      </c>
      <c r="D3902" s="326" t="s">
        <v>11282</v>
      </c>
    </row>
    <row r="3903" spans="1:4">
      <c r="A3903" s="324" t="s">
        <v>11285</v>
      </c>
      <c r="B3903" s="324" t="s">
        <v>11286</v>
      </c>
      <c r="C3903" s="323" t="s">
        <v>11287</v>
      </c>
      <c r="D3903" s="326" t="s">
        <v>11285</v>
      </c>
    </row>
    <row r="3904" spans="1:4">
      <c r="A3904" s="324" t="s">
        <v>11288</v>
      </c>
      <c r="B3904" s="324" t="s">
        <v>11289</v>
      </c>
      <c r="C3904" s="323" t="s">
        <v>11290</v>
      </c>
      <c r="D3904" s="326" t="s">
        <v>11288</v>
      </c>
    </row>
    <row r="3905" spans="1:4">
      <c r="A3905" s="324" t="s">
        <v>7157</v>
      </c>
      <c r="B3905" s="324" t="s">
        <v>7156</v>
      </c>
      <c r="C3905" s="323" t="s">
        <v>11291</v>
      </c>
      <c r="D3905" s="326" t="s">
        <v>7157</v>
      </c>
    </row>
    <row r="3906" spans="1:4">
      <c r="A3906" s="324" t="s">
        <v>11292</v>
      </c>
      <c r="B3906" s="324" t="s">
        <v>11293</v>
      </c>
      <c r="C3906" s="323" t="s">
        <v>11294</v>
      </c>
      <c r="D3906" s="326" t="s">
        <v>11292</v>
      </c>
    </row>
    <row r="3907" spans="1:4">
      <c r="A3907" s="324" t="s">
        <v>1443</v>
      </c>
      <c r="B3907" s="324" t="s">
        <v>11295</v>
      </c>
      <c r="C3907" s="323" t="s">
        <v>11296</v>
      </c>
      <c r="D3907" s="326" t="s">
        <v>11297</v>
      </c>
    </row>
    <row r="3908" spans="1:4">
      <c r="A3908" s="324" t="s">
        <v>1445</v>
      </c>
      <c r="B3908" s="324" t="s">
        <v>11298</v>
      </c>
      <c r="C3908" s="323" t="s">
        <v>11299</v>
      </c>
      <c r="D3908" s="326" t="s">
        <v>1445</v>
      </c>
    </row>
    <row r="3909" spans="1:4">
      <c r="A3909" s="324" t="s">
        <v>11300</v>
      </c>
      <c r="B3909" s="324" t="s">
        <v>11298</v>
      </c>
      <c r="C3909" s="323" t="s">
        <v>11299</v>
      </c>
      <c r="D3909" s="326" t="s">
        <v>11300</v>
      </c>
    </row>
    <row r="3910" spans="1:4">
      <c r="A3910" s="324" t="s">
        <v>11301</v>
      </c>
      <c r="B3910" s="324" t="s">
        <v>11302</v>
      </c>
      <c r="C3910" s="323" t="s">
        <v>11303</v>
      </c>
      <c r="D3910" s="326" t="s">
        <v>11301</v>
      </c>
    </row>
    <row r="3911" spans="1:4">
      <c r="A3911" s="324" t="s">
        <v>11304</v>
      </c>
      <c r="B3911" s="324" t="s">
        <v>11305</v>
      </c>
      <c r="C3911" s="323" t="s">
        <v>11296</v>
      </c>
      <c r="D3911" s="326" t="s">
        <v>11304</v>
      </c>
    </row>
    <row r="3912" spans="1:4">
      <c r="A3912" s="324" t="s">
        <v>11306</v>
      </c>
      <c r="B3912" s="324" t="s">
        <v>11307</v>
      </c>
      <c r="C3912" s="323" t="s">
        <v>11308</v>
      </c>
      <c r="D3912" s="326" t="s">
        <v>11306</v>
      </c>
    </row>
    <row r="3913" spans="1:4">
      <c r="A3913" s="324" t="s">
        <v>10943</v>
      </c>
      <c r="B3913" s="324" t="s">
        <v>11309</v>
      </c>
      <c r="C3913" s="323" t="s">
        <v>11310</v>
      </c>
      <c r="D3913" s="326" t="s">
        <v>10943</v>
      </c>
    </row>
    <row r="3914" spans="1:4">
      <c r="A3914" s="324" t="s">
        <v>6905</v>
      </c>
      <c r="B3914" s="324" t="s">
        <v>11311</v>
      </c>
      <c r="C3914" s="323" t="s">
        <v>11206</v>
      </c>
      <c r="D3914" s="326" t="s">
        <v>6905</v>
      </c>
    </row>
    <row r="3915" spans="1:4">
      <c r="A3915" s="324" t="s">
        <v>11312</v>
      </c>
      <c r="B3915" s="324" t="s">
        <v>11313</v>
      </c>
      <c r="C3915" s="323" t="s">
        <v>11209</v>
      </c>
      <c r="D3915" s="326" t="s">
        <v>11312</v>
      </c>
    </row>
    <row r="3916" spans="1:4">
      <c r="A3916" s="324" t="s">
        <v>11314</v>
      </c>
      <c r="B3916" s="324" t="s">
        <v>8429</v>
      </c>
      <c r="C3916" s="323" t="s">
        <v>11315</v>
      </c>
      <c r="D3916" s="326" t="s">
        <v>11316</v>
      </c>
    </row>
    <row r="3917" spans="1:4">
      <c r="A3917" s="324" t="s">
        <v>11317</v>
      </c>
      <c r="B3917" s="324" t="s">
        <v>11318</v>
      </c>
      <c r="C3917" s="323" t="s">
        <v>11319</v>
      </c>
      <c r="D3917" s="326" t="s">
        <v>11317</v>
      </c>
    </row>
    <row r="3918" spans="1:4">
      <c r="A3918" s="324" t="s">
        <v>11320</v>
      </c>
      <c r="B3918" s="324" t="s">
        <v>1475</v>
      </c>
      <c r="C3918" s="323" t="s">
        <v>1476</v>
      </c>
      <c r="D3918" s="326" t="s">
        <v>11320</v>
      </c>
    </row>
    <row r="3919" spans="1:4">
      <c r="A3919" s="324" t="s">
        <v>11321</v>
      </c>
      <c r="B3919" s="324" t="s">
        <v>11322</v>
      </c>
      <c r="C3919" s="323" t="s">
        <v>11323</v>
      </c>
      <c r="D3919" s="326" t="s">
        <v>11321</v>
      </c>
    </row>
    <row r="3920" spans="1:4">
      <c r="A3920" s="324" t="s">
        <v>11324</v>
      </c>
      <c r="B3920" s="324" t="s">
        <v>11325</v>
      </c>
      <c r="C3920" s="323" t="s">
        <v>11326</v>
      </c>
      <c r="D3920" s="326" t="s">
        <v>11324</v>
      </c>
    </row>
    <row r="3921" spans="1:4">
      <c r="A3921" s="324" t="s">
        <v>6119</v>
      </c>
      <c r="B3921" s="324" t="s">
        <v>11327</v>
      </c>
      <c r="C3921" s="323" t="s">
        <v>11328</v>
      </c>
      <c r="D3921" s="326" t="s">
        <v>6119</v>
      </c>
    </row>
    <row r="3922" spans="1:4">
      <c r="A3922" s="324" t="s">
        <v>1489</v>
      </c>
      <c r="B3922" s="324" t="s">
        <v>1490</v>
      </c>
      <c r="C3922" s="323" t="s">
        <v>11329</v>
      </c>
      <c r="D3922" s="326" t="s">
        <v>1489</v>
      </c>
    </row>
    <row r="3923" spans="1:4">
      <c r="A3923" s="324" t="s">
        <v>11330</v>
      </c>
      <c r="B3923" s="324" t="s">
        <v>11331</v>
      </c>
      <c r="C3923" s="323" t="s">
        <v>11332</v>
      </c>
      <c r="D3923" s="326" t="s">
        <v>11330</v>
      </c>
    </row>
    <row r="3924" spans="1:4">
      <c r="A3924" s="324" t="s">
        <v>11333</v>
      </c>
      <c r="B3924" s="324" t="s">
        <v>11334</v>
      </c>
      <c r="C3924" s="323" t="s">
        <v>11335</v>
      </c>
      <c r="D3924" s="326" t="s">
        <v>11333</v>
      </c>
    </row>
    <row r="3925" spans="1:4">
      <c r="A3925" s="324" t="s">
        <v>11336</v>
      </c>
      <c r="B3925" s="324" t="s">
        <v>11337</v>
      </c>
      <c r="C3925" s="323" t="s">
        <v>11338</v>
      </c>
      <c r="D3925" s="326" t="s">
        <v>11339</v>
      </c>
    </row>
    <row r="3926" spans="1:4">
      <c r="A3926" s="324" t="s">
        <v>1523</v>
      </c>
      <c r="B3926" s="324" t="s">
        <v>11340</v>
      </c>
      <c r="C3926" s="323" t="s">
        <v>11341</v>
      </c>
      <c r="D3926" s="326" t="s">
        <v>1523</v>
      </c>
    </row>
    <row r="3927" spans="1:4">
      <c r="A3927" s="324" t="s">
        <v>1543</v>
      </c>
      <c r="B3927" s="324" t="s">
        <v>11342</v>
      </c>
      <c r="C3927" s="323" t="s">
        <v>11343</v>
      </c>
      <c r="D3927" s="326" t="s">
        <v>1543</v>
      </c>
    </row>
    <row r="3928" spans="1:4">
      <c r="A3928" s="324" t="s">
        <v>11344</v>
      </c>
      <c r="B3928" s="324" t="s">
        <v>11345</v>
      </c>
      <c r="C3928" s="323" t="s">
        <v>11346</v>
      </c>
      <c r="D3928" s="326" t="s">
        <v>11344</v>
      </c>
    </row>
    <row r="3929" spans="1:4">
      <c r="A3929" s="324" t="s">
        <v>11347</v>
      </c>
      <c r="B3929" s="324" t="s">
        <v>11348</v>
      </c>
      <c r="C3929" s="323" t="s">
        <v>11349</v>
      </c>
      <c r="D3929" s="326" t="s">
        <v>11350</v>
      </c>
    </row>
    <row r="3930" spans="1:4">
      <c r="A3930" s="324" t="s">
        <v>11351</v>
      </c>
      <c r="B3930" s="324" t="s">
        <v>11352</v>
      </c>
      <c r="C3930" s="323" t="s">
        <v>11353</v>
      </c>
      <c r="D3930" s="326" t="s">
        <v>11351</v>
      </c>
    </row>
    <row r="3931" spans="1:4">
      <c r="A3931" s="324" t="s">
        <v>11354</v>
      </c>
      <c r="B3931" s="324" t="s">
        <v>11355</v>
      </c>
      <c r="C3931" s="323" t="s">
        <v>11356</v>
      </c>
      <c r="D3931" s="326" t="s">
        <v>11354</v>
      </c>
    </row>
    <row r="3932" spans="1:4">
      <c r="A3932" s="324" t="s">
        <v>8189</v>
      </c>
      <c r="B3932" s="324" t="s">
        <v>8188</v>
      </c>
      <c r="C3932" s="323" t="s">
        <v>11357</v>
      </c>
      <c r="D3932" s="326" t="s">
        <v>8189</v>
      </c>
    </row>
    <row r="3933" spans="1:4">
      <c r="A3933" s="324" t="s">
        <v>11358</v>
      </c>
      <c r="B3933" s="324" t="s">
        <v>11359</v>
      </c>
      <c r="C3933" s="323" t="s">
        <v>11360</v>
      </c>
      <c r="D3933" s="326" t="s">
        <v>11358</v>
      </c>
    </row>
    <row r="3934" spans="1:4">
      <c r="A3934" s="324" t="s">
        <v>11361</v>
      </c>
      <c r="B3934" s="324" t="s">
        <v>11362</v>
      </c>
      <c r="C3934" s="323" t="s">
        <v>11363</v>
      </c>
      <c r="D3934" s="326" t="s">
        <v>11361</v>
      </c>
    </row>
    <row r="3935" spans="1:4">
      <c r="A3935" s="324" t="s">
        <v>11364</v>
      </c>
      <c r="B3935" s="324" t="s">
        <v>11365</v>
      </c>
      <c r="C3935" s="323" t="s">
        <v>11366</v>
      </c>
      <c r="D3935" s="326" t="s">
        <v>11364</v>
      </c>
    </row>
    <row r="3936" spans="1:4">
      <c r="A3936" s="324" t="s">
        <v>11367</v>
      </c>
      <c r="B3936" s="324" t="s">
        <v>11368</v>
      </c>
      <c r="C3936" s="323" t="s">
        <v>11369</v>
      </c>
      <c r="D3936" s="326" t="s">
        <v>11367</v>
      </c>
    </row>
    <row r="3937" spans="1:4">
      <c r="A3937" s="324" t="s">
        <v>11370</v>
      </c>
      <c r="B3937" s="324" t="s">
        <v>11371</v>
      </c>
      <c r="C3937" s="323" t="s">
        <v>11372</v>
      </c>
      <c r="D3937" s="326" t="s">
        <v>11370</v>
      </c>
    </row>
    <row r="3938" spans="1:4">
      <c r="A3938" s="324" t="s">
        <v>11373</v>
      </c>
      <c r="B3938" s="324" t="s">
        <v>11374</v>
      </c>
      <c r="C3938" s="323" t="s">
        <v>11375</v>
      </c>
      <c r="D3938" s="326" t="s">
        <v>11376</v>
      </c>
    </row>
    <row r="3939" spans="1:4">
      <c r="A3939" s="324" t="s">
        <v>11377</v>
      </c>
      <c r="B3939" s="324" t="s">
        <v>11378</v>
      </c>
      <c r="C3939" s="323" t="s">
        <v>11379</v>
      </c>
      <c r="D3939" s="326" t="s">
        <v>11377</v>
      </c>
    </row>
    <row r="3940" spans="1:4">
      <c r="A3940" s="324" t="s">
        <v>11380</v>
      </c>
      <c r="B3940" s="324" t="s">
        <v>11381</v>
      </c>
      <c r="C3940" s="323" t="s">
        <v>11382</v>
      </c>
      <c r="D3940" s="326" t="s">
        <v>11380</v>
      </c>
    </row>
    <row r="3941" spans="1:4">
      <c r="A3941" s="324" t="s">
        <v>11383</v>
      </c>
      <c r="B3941" s="324" t="s">
        <v>11384</v>
      </c>
      <c r="C3941" s="323" t="s">
        <v>11385</v>
      </c>
      <c r="D3941" s="326" t="s">
        <v>11383</v>
      </c>
    </row>
    <row r="3942" spans="1:4">
      <c r="A3942" s="324" t="s">
        <v>11386</v>
      </c>
      <c r="B3942" s="324" t="s">
        <v>11387</v>
      </c>
      <c r="C3942" s="323" t="s">
        <v>11388</v>
      </c>
      <c r="D3942" s="326" t="s">
        <v>11386</v>
      </c>
    </row>
    <row r="3943" spans="1:4">
      <c r="A3943" s="324" t="s">
        <v>11389</v>
      </c>
      <c r="B3943" s="324" t="s">
        <v>11390</v>
      </c>
      <c r="C3943" s="323" t="s">
        <v>11391</v>
      </c>
      <c r="D3943" s="326" t="s">
        <v>11389</v>
      </c>
    </row>
    <row r="3944" spans="1:4">
      <c r="A3944" s="324" t="s">
        <v>11392</v>
      </c>
      <c r="B3944" s="324" t="s">
        <v>11393</v>
      </c>
      <c r="C3944" s="323" t="s">
        <v>11394</v>
      </c>
      <c r="D3944" s="326" t="s">
        <v>11392</v>
      </c>
    </row>
    <row r="3945" spans="1:4">
      <c r="A3945" s="324" t="s">
        <v>11395</v>
      </c>
      <c r="B3945" s="324" t="s">
        <v>11396</v>
      </c>
      <c r="C3945" s="323" t="s">
        <v>11397</v>
      </c>
      <c r="D3945" s="326" t="s">
        <v>11395</v>
      </c>
    </row>
    <row r="3946" spans="1:4">
      <c r="A3946" s="324" t="s">
        <v>11398</v>
      </c>
      <c r="B3946" s="324" t="s">
        <v>11399</v>
      </c>
      <c r="C3946" s="323" t="s">
        <v>11400</v>
      </c>
      <c r="D3946" s="326" t="s">
        <v>11398</v>
      </c>
    </row>
    <row r="3947" spans="1:4">
      <c r="A3947" s="324" t="s">
        <v>11401</v>
      </c>
      <c r="B3947" s="324" t="s">
        <v>11402</v>
      </c>
      <c r="C3947" s="323" t="s">
        <v>11403</v>
      </c>
      <c r="D3947" s="326" t="s">
        <v>11401</v>
      </c>
    </row>
    <row r="3948" spans="1:4">
      <c r="A3948" s="324" t="s">
        <v>11404</v>
      </c>
      <c r="B3948" s="324" t="s">
        <v>11405</v>
      </c>
      <c r="C3948" s="323" t="s">
        <v>11406</v>
      </c>
      <c r="D3948" s="326" t="s">
        <v>11404</v>
      </c>
    </row>
    <row r="3949" spans="1:4">
      <c r="A3949" s="324" t="s">
        <v>11407</v>
      </c>
      <c r="B3949" s="324" t="s">
        <v>11408</v>
      </c>
      <c r="C3949" s="323" t="s">
        <v>11409</v>
      </c>
      <c r="D3949" s="326" t="s">
        <v>11407</v>
      </c>
    </row>
    <row r="3950" spans="1:4">
      <c r="A3950" s="324" t="s">
        <v>11410</v>
      </c>
      <c r="B3950" s="324" t="s">
        <v>11411</v>
      </c>
      <c r="C3950" s="323" t="s">
        <v>11379</v>
      </c>
      <c r="D3950" s="326" t="s">
        <v>11410</v>
      </c>
    </row>
    <row r="3951" spans="1:4">
      <c r="A3951" s="324" t="s">
        <v>11412</v>
      </c>
      <c r="B3951" s="324" t="s">
        <v>11413</v>
      </c>
      <c r="C3951" s="323" t="s">
        <v>11414</v>
      </c>
      <c r="D3951" s="326" t="s">
        <v>11412</v>
      </c>
    </row>
    <row r="3952" spans="1:4">
      <c r="A3952" s="324" t="s">
        <v>11415</v>
      </c>
      <c r="B3952" s="324" t="s">
        <v>11416</v>
      </c>
      <c r="C3952" s="323" t="s">
        <v>11417</v>
      </c>
      <c r="D3952" s="326" t="s">
        <v>11418</v>
      </c>
    </row>
    <row r="3953" spans="1:4">
      <c r="A3953" s="324" t="s">
        <v>11419</v>
      </c>
      <c r="B3953" s="324" t="s">
        <v>11420</v>
      </c>
      <c r="C3953" s="323" t="s">
        <v>11421</v>
      </c>
      <c r="D3953" s="326" t="s">
        <v>11419</v>
      </c>
    </row>
    <row r="3954" spans="1:4">
      <c r="A3954" s="324" t="s">
        <v>11422</v>
      </c>
      <c r="B3954" s="324" t="s">
        <v>11423</v>
      </c>
      <c r="C3954" s="323" t="s">
        <v>11421</v>
      </c>
      <c r="D3954" s="326" t="s">
        <v>11424</v>
      </c>
    </row>
    <row r="3955" spans="1:4">
      <c r="A3955" s="324" t="s">
        <v>11425</v>
      </c>
      <c r="B3955" s="324" t="s">
        <v>11426</v>
      </c>
      <c r="C3955" s="323" t="s">
        <v>11427</v>
      </c>
      <c r="D3955" s="326" t="s">
        <v>11425</v>
      </c>
    </row>
    <row r="3956" spans="1:4">
      <c r="A3956" s="324" t="s">
        <v>11428</v>
      </c>
      <c r="B3956" s="324" t="s">
        <v>11429</v>
      </c>
      <c r="C3956" s="323" t="s">
        <v>11430</v>
      </c>
      <c r="D3956" s="326" t="s">
        <v>11428</v>
      </c>
    </row>
    <row r="3957" spans="1:4">
      <c r="A3957" s="324" t="s">
        <v>11431</v>
      </c>
      <c r="B3957" s="324" t="s">
        <v>11432</v>
      </c>
      <c r="C3957" s="323" t="s">
        <v>11357</v>
      </c>
      <c r="D3957" s="326" t="s">
        <v>11431</v>
      </c>
    </row>
    <row r="3958" spans="1:4">
      <c r="A3958" s="324" t="s">
        <v>8187</v>
      </c>
      <c r="B3958" s="324" t="s">
        <v>8186</v>
      </c>
      <c r="C3958" s="323" t="s">
        <v>11433</v>
      </c>
      <c r="D3958" s="326" t="s">
        <v>8187</v>
      </c>
    </row>
    <row r="3959" spans="1:4">
      <c r="A3959" s="324" t="s">
        <v>6922</v>
      </c>
      <c r="B3959" s="324" t="s">
        <v>6921</v>
      </c>
      <c r="C3959" s="323" t="s">
        <v>11434</v>
      </c>
      <c r="D3959" s="326" t="s">
        <v>6922</v>
      </c>
    </row>
    <row r="3960" spans="1:4">
      <c r="A3960" s="324" t="s">
        <v>11435</v>
      </c>
      <c r="B3960" s="324" t="s">
        <v>11436</v>
      </c>
      <c r="C3960" s="323" t="s">
        <v>11437</v>
      </c>
      <c r="D3960" s="326" t="s">
        <v>11438</v>
      </c>
    </row>
    <row r="3961" spans="1:4">
      <c r="A3961" s="324" t="s">
        <v>7305</v>
      </c>
      <c r="B3961" s="324" t="s">
        <v>11439</v>
      </c>
      <c r="C3961" s="323" t="s">
        <v>11440</v>
      </c>
      <c r="D3961" s="326" t="s">
        <v>11441</v>
      </c>
    </row>
    <row r="3962" spans="1:4">
      <c r="A3962" s="324" t="s">
        <v>11435</v>
      </c>
      <c r="B3962" s="324" t="s">
        <v>11442</v>
      </c>
      <c r="C3962" s="323" t="s">
        <v>11443</v>
      </c>
      <c r="D3962" s="326" t="s">
        <v>11444</v>
      </c>
    </row>
    <row r="3963" spans="1:4">
      <c r="A3963" s="324" t="s">
        <v>11445</v>
      </c>
      <c r="B3963" s="324" t="s">
        <v>11446</v>
      </c>
      <c r="C3963" s="323" t="s">
        <v>11447</v>
      </c>
      <c r="D3963" s="326" t="s">
        <v>11445</v>
      </c>
    </row>
    <row r="3964" spans="1:4">
      <c r="A3964" s="324" t="s">
        <v>11448</v>
      </c>
      <c r="B3964" s="324" t="s">
        <v>11449</v>
      </c>
      <c r="C3964" s="323" t="s">
        <v>11450</v>
      </c>
      <c r="D3964" s="326" t="s">
        <v>11448</v>
      </c>
    </row>
    <row r="3965" spans="1:4">
      <c r="A3965" s="324" t="s">
        <v>7303</v>
      </c>
      <c r="B3965" s="324" t="s">
        <v>11451</v>
      </c>
      <c r="C3965" s="323" t="s">
        <v>11452</v>
      </c>
      <c r="D3965" s="326" t="s">
        <v>7303</v>
      </c>
    </row>
    <row r="3966" spans="1:4">
      <c r="A3966" s="324" t="s">
        <v>7360</v>
      </c>
      <c r="B3966" s="324" t="s">
        <v>7313</v>
      </c>
      <c r="C3966" s="323" t="s">
        <v>11453</v>
      </c>
      <c r="D3966" s="326" t="s">
        <v>7360</v>
      </c>
    </row>
    <row r="3967" spans="1:4">
      <c r="A3967" s="324" t="s">
        <v>11454</v>
      </c>
      <c r="B3967" s="324" t="s">
        <v>11455</v>
      </c>
      <c r="C3967" s="323" t="s">
        <v>11456</v>
      </c>
      <c r="D3967" s="326" t="s">
        <v>11454</v>
      </c>
    </row>
    <row r="3968" spans="1:4">
      <c r="A3968" s="324" t="s">
        <v>11457</v>
      </c>
      <c r="B3968" s="324" t="s">
        <v>8206</v>
      </c>
      <c r="C3968" s="323" t="s">
        <v>11458</v>
      </c>
      <c r="D3968" s="326" t="s">
        <v>11457</v>
      </c>
    </row>
    <row r="3969" spans="1:4">
      <c r="A3969" s="324" t="s">
        <v>11459</v>
      </c>
      <c r="B3969" s="324" t="s">
        <v>8208</v>
      </c>
      <c r="C3969" s="323" t="s">
        <v>11460</v>
      </c>
      <c r="D3969" s="326" t="s">
        <v>11459</v>
      </c>
    </row>
    <row r="3970" spans="1:4">
      <c r="A3970" s="324" t="s">
        <v>11461</v>
      </c>
      <c r="B3970" s="324" t="s">
        <v>11462</v>
      </c>
      <c r="C3970" s="323" t="s">
        <v>11463</v>
      </c>
      <c r="D3970" s="326" t="s">
        <v>11461</v>
      </c>
    </row>
    <row r="3971" spans="1:4">
      <c r="A3971" s="324" t="s">
        <v>8158</v>
      </c>
      <c r="B3971" s="324" t="s">
        <v>1698</v>
      </c>
      <c r="C3971" s="323" t="s">
        <v>11464</v>
      </c>
      <c r="D3971" s="326" t="s">
        <v>8158</v>
      </c>
    </row>
    <row r="3972" spans="1:4">
      <c r="A3972" s="324" t="s">
        <v>11465</v>
      </c>
      <c r="B3972" s="324" t="s">
        <v>11466</v>
      </c>
      <c r="C3972" s="323" t="s">
        <v>11467</v>
      </c>
      <c r="D3972" s="326" t="s">
        <v>11465</v>
      </c>
    </row>
    <row r="3973" spans="1:4">
      <c r="A3973" s="324" t="s">
        <v>11468</v>
      </c>
      <c r="B3973" s="324" t="s">
        <v>11469</v>
      </c>
      <c r="C3973" s="323" t="s">
        <v>11470</v>
      </c>
      <c r="D3973" s="326" t="s">
        <v>11468</v>
      </c>
    </row>
    <row r="3974" spans="1:4">
      <c r="A3974" s="324" t="s">
        <v>11471</v>
      </c>
      <c r="B3974" s="324" t="s">
        <v>11472</v>
      </c>
      <c r="C3974" s="323" t="s">
        <v>11473</v>
      </c>
      <c r="D3974" s="326" t="s">
        <v>11471</v>
      </c>
    </row>
    <row r="3975" spans="1:4">
      <c r="A3975" s="324" t="s">
        <v>11474</v>
      </c>
      <c r="B3975" s="324" t="s">
        <v>11475</v>
      </c>
      <c r="C3975" s="323" t="s">
        <v>11476</v>
      </c>
      <c r="D3975" s="326" t="s">
        <v>11474</v>
      </c>
    </row>
    <row r="3976" spans="1:4">
      <c r="A3976" s="324" t="s">
        <v>11477</v>
      </c>
      <c r="B3976" s="324" t="s">
        <v>11478</v>
      </c>
      <c r="C3976" s="323" t="s">
        <v>11479</v>
      </c>
      <c r="D3976" s="326" t="s">
        <v>11477</v>
      </c>
    </row>
    <row r="3977" spans="1:4">
      <c r="A3977" s="324" t="s">
        <v>11480</v>
      </c>
      <c r="B3977" s="324" t="s">
        <v>11481</v>
      </c>
      <c r="C3977" s="323" t="s">
        <v>11482</v>
      </c>
      <c r="D3977" s="326" t="s">
        <v>11480</v>
      </c>
    </row>
    <row r="3978" spans="1:4">
      <c r="A3978" s="324" t="s">
        <v>11483</v>
      </c>
      <c r="B3978" s="324" t="s">
        <v>11484</v>
      </c>
      <c r="C3978" s="323" t="s">
        <v>11485</v>
      </c>
      <c r="D3978" s="326" t="s">
        <v>11483</v>
      </c>
    </row>
    <row r="3979" spans="1:4">
      <c r="A3979" s="324" t="s">
        <v>11486</v>
      </c>
      <c r="B3979" s="324" t="s">
        <v>11487</v>
      </c>
      <c r="C3979" s="323" t="s">
        <v>11488</v>
      </c>
      <c r="D3979" s="326" t="s">
        <v>11486</v>
      </c>
    </row>
    <row r="3980" spans="1:4">
      <c r="A3980" s="324" t="s">
        <v>11489</v>
      </c>
      <c r="B3980" s="324" t="s">
        <v>11490</v>
      </c>
      <c r="C3980" s="323" t="s">
        <v>11491</v>
      </c>
      <c r="D3980" s="326" t="s">
        <v>11489</v>
      </c>
    </row>
    <row r="3981" spans="1:4">
      <c r="A3981" s="324" t="s">
        <v>6065</v>
      </c>
      <c r="B3981" s="324" t="s">
        <v>11492</v>
      </c>
      <c r="C3981" s="323" t="s">
        <v>11493</v>
      </c>
      <c r="D3981" s="326" t="s">
        <v>6065</v>
      </c>
    </row>
    <row r="3982" spans="1:4">
      <c r="A3982" s="324" t="s">
        <v>8989</v>
      </c>
      <c r="B3982" s="324" t="s">
        <v>8988</v>
      </c>
      <c r="C3982" s="323" t="s">
        <v>11494</v>
      </c>
      <c r="D3982" s="326" t="s">
        <v>8989</v>
      </c>
    </row>
    <row r="3983" spans="1:4">
      <c r="A3983" s="324" t="s">
        <v>1674</v>
      </c>
      <c r="B3983" s="324" t="s">
        <v>11495</v>
      </c>
      <c r="C3983" s="323" t="s">
        <v>11496</v>
      </c>
      <c r="D3983" s="326" t="s">
        <v>1674</v>
      </c>
    </row>
    <row r="3984" spans="1:4">
      <c r="A3984" s="324" t="s">
        <v>11497</v>
      </c>
      <c r="B3984" s="324" t="s">
        <v>11498</v>
      </c>
      <c r="C3984" s="323" t="s">
        <v>11499</v>
      </c>
      <c r="D3984" s="326" t="s">
        <v>11500</v>
      </c>
    </row>
    <row r="3985" spans="1:4">
      <c r="A3985" s="324" t="s">
        <v>11501</v>
      </c>
      <c r="B3985" s="324" t="s">
        <v>11502</v>
      </c>
      <c r="C3985" s="323" t="s">
        <v>11503</v>
      </c>
      <c r="D3985" s="326" t="s">
        <v>11504</v>
      </c>
    </row>
    <row r="3986" spans="1:4">
      <c r="A3986" s="324" t="s">
        <v>11505</v>
      </c>
      <c r="B3986" s="324" t="s">
        <v>11506</v>
      </c>
      <c r="C3986" s="323" t="s">
        <v>11507</v>
      </c>
      <c r="D3986" s="326" t="s">
        <v>11508</v>
      </c>
    </row>
    <row r="3987" spans="1:4">
      <c r="A3987" s="324" t="s">
        <v>11509</v>
      </c>
      <c r="B3987" s="324" t="s">
        <v>11510</v>
      </c>
      <c r="C3987" s="323" t="s">
        <v>11511</v>
      </c>
      <c r="D3987" s="326" t="s">
        <v>11512</v>
      </c>
    </row>
    <row r="3988" spans="1:4">
      <c r="A3988" s="324" t="s">
        <v>11513</v>
      </c>
      <c r="B3988" s="324" t="s">
        <v>11514</v>
      </c>
      <c r="C3988" s="323" t="s">
        <v>11515</v>
      </c>
      <c r="D3988" s="326" t="s">
        <v>11516</v>
      </c>
    </row>
    <row r="3989" spans="1:4">
      <c r="A3989" s="324" t="s">
        <v>11517</v>
      </c>
      <c r="B3989" s="324" t="s">
        <v>11514</v>
      </c>
      <c r="C3989" s="323" t="s">
        <v>11515</v>
      </c>
      <c r="D3989" s="326" t="s">
        <v>11518</v>
      </c>
    </row>
    <row r="3990" spans="1:4">
      <c r="A3990" s="324" t="s">
        <v>6975</v>
      </c>
      <c r="B3990" s="324" t="s">
        <v>6974</v>
      </c>
      <c r="C3990" s="323" t="s">
        <v>11519</v>
      </c>
      <c r="D3990" s="326" t="s">
        <v>11520</v>
      </c>
    </row>
    <row r="3991" spans="1:4">
      <c r="A3991" s="324" t="s">
        <v>6979</v>
      </c>
      <c r="B3991" s="324" t="s">
        <v>6978</v>
      </c>
      <c r="C3991" s="323" t="s">
        <v>11521</v>
      </c>
      <c r="D3991" s="326" t="s">
        <v>11522</v>
      </c>
    </row>
    <row r="3992" spans="1:4">
      <c r="A3992" s="324" t="s">
        <v>11523</v>
      </c>
      <c r="B3992" s="324" t="s">
        <v>11524</v>
      </c>
      <c r="C3992" s="323" t="s">
        <v>11525</v>
      </c>
      <c r="D3992" s="326" t="s">
        <v>11523</v>
      </c>
    </row>
    <row r="3993" spans="1:4">
      <c r="A3993" s="324" t="s">
        <v>11526</v>
      </c>
      <c r="B3993" s="324" t="s">
        <v>11527</v>
      </c>
      <c r="C3993" s="323" t="s">
        <v>11528</v>
      </c>
      <c r="D3993" s="326" t="s">
        <v>11526</v>
      </c>
    </row>
    <row r="3994" spans="1:4">
      <c r="A3994" s="324" t="s">
        <v>11529</v>
      </c>
      <c r="B3994" s="324" t="s">
        <v>11530</v>
      </c>
      <c r="C3994" s="323" t="s">
        <v>11531</v>
      </c>
      <c r="D3994" s="326" t="s">
        <v>11529</v>
      </c>
    </row>
    <row r="3995" spans="1:4">
      <c r="A3995" s="324" t="s">
        <v>11532</v>
      </c>
      <c r="B3995" s="324" t="s">
        <v>11533</v>
      </c>
      <c r="C3995" s="323" t="s">
        <v>11534</v>
      </c>
      <c r="D3995" s="326" t="s">
        <v>11532</v>
      </c>
    </row>
    <row r="3996" spans="1:4">
      <c r="A3996" s="324" t="s">
        <v>11535</v>
      </c>
      <c r="B3996" s="324" t="s">
        <v>11536</v>
      </c>
      <c r="C3996" s="323" t="s">
        <v>11537</v>
      </c>
      <c r="D3996" s="326" t="s">
        <v>11535</v>
      </c>
    </row>
    <row r="3997" spans="1:4">
      <c r="A3997" s="324" t="s">
        <v>11538</v>
      </c>
      <c r="B3997" s="324" t="s">
        <v>11539</v>
      </c>
      <c r="C3997" s="323" t="s">
        <v>11540</v>
      </c>
      <c r="D3997" s="326" t="s">
        <v>11538</v>
      </c>
    </row>
    <row r="3998" spans="1:4">
      <c r="A3998" s="324" t="s">
        <v>11541</v>
      </c>
      <c r="B3998" s="324" t="s">
        <v>11542</v>
      </c>
      <c r="C3998" s="323" t="s">
        <v>11543</v>
      </c>
      <c r="D3998" s="326" t="s">
        <v>11541</v>
      </c>
    </row>
    <row r="3999" spans="1:4">
      <c r="A3999" s="324" t="s">
        <v>11544</v>
      </c>
      <c r="B3999" s="324" t="s">
        <v>11545</v>
      </c>
      <c r="C3999" s="323" t="s">
        <v>11546</v>
      </c>
      <c r="D3999" s="326" t="s">
        <v>11544</v>
      </c>
    </row>
    <row r="4000" spans="1:4">
      <c r="A4000" s="324" t="s">
        <v>11547</v>
      </c>
      <c r="B4000" s="324" t="s">
        <v>11548</v>
      </c>
      <c r="C4000" s="323" t="s">
        <v>11549</v>
      </c>
      <c r="D4000" s="326" t="s">
        <v>11547</v>
      </c>
    </row>
    <row r="4001" spans="1:4">
      <c r="A4001" s="324" t="s">
        <v>11550</v>
      </c>
      <c r="B4001" s="324" t="s">
        <v>11551</v>
      </c>
      <c r="C4001" s="323" t="s">
        <v>11552</v>
      </c>
      <c r="D4001" s="326" t="s">
        <v>11550</v>
      </c>
    </row>
    <row r="4002" spans="1:4">
      <c r="A4002" s="324" t="s">
        <v>11553</v>
      </c>
      <c r="B4002" s="324" t="s">
        <v>11554</v>
      </c>
      <c r="C4002" s="323" t="s">
        <v>11555</v>
      </c>
      <c r="D4002" s="326" t="s">
        <v>11553</v>
      </c>
    </row>
    <row r="4003" spans="1:4">
      <c r="A4003" s="324" t="s">
        <v>11556</v>
      </c>
      <c r="B4003" s="324" t="s">
        <v>11557</v>
      </c>
      <c r="C4003" s="323" t="s">
        <v>11558</v>
      </c>
      <c r="D4003" s="326" t="s">
        <v>11556</v>
      </c>
    </row>
    <row r="4004" spans="1:4">
      <c r="A4004" s="324" t="s">
        <v>11559</v>
      </c>
      <c r="B4004" s="324" t="s">
        <v>11560</v>
      </c>
      <c r="C4004" s="323" t="s">
        <v>11561</v>
      </c>
      <c r="D4004" s="326" t="s">
        <v>11559</v>
      </c>
    </row>
    <row r="4005" spans="1:4">
      <c r="A4005" s="324" t="s">
        <v>11562</v>
      </c>
      <c r="B4005" s="324" t="s">
        <v>11563</v>
      </c>
      <c r="C4005" s="323" t="s">
        <v>11561</v>
      </c>
      <c r="D4005" s="326" t="s">
        <v>11562</v>
      </c>
    </row>
    <row r="4006" spans="1:4">
      <c r="A4006" s="324" t="s">
        <v>11564</v>
      </c>
      <c r="B4006" s="324" t="s">
        <v>11565</v>
      </c>
      <c r="C4006" s="323" t="s">
        <v>11561</v>
      </c>
      <c r="D4006" s="326" t="s">
        <v>11564</v>
      </c>
    </row>
    <row r="4007" spans="1:4">
      <c r="A4007" s="324" t="s">
        <v>11566</v>
      </c>
      <c r="B4007" s="324" t="s">
        <v>11567</v>
      </c>
      <c r="C4007" s="323" t="s">
        <v>11568</v>
      </c>
      <c r="D4007" s="326" t="s">
        <v>11566</v>
      </c>
    </row>
    <row r="4008" spans="1:4">
      <c r="A4008" s="324" t="s">
        <v>6129</v>
      </c>
      <c r="B4008" s="324" t="s">
        <v>11569</v>
      </c>
      <c r="C4008" s="323" t="s">
        <v>11570</v>
      </c>
      <c r="D4008" s="326" t="s">
        <v>6129</v>
      </c>
    </row>
    <row r="4009" spans="1:4">
      <c r="A4009" s="324" t="s">
        <v>11571</v>
      </c>
      <c r="B4009" s="324" t="s">
        <v>11572</v>
      </c>
      <c r="C4009" s="323" t="s">
        <v>11573</v>
      </c>
      <c r="D4009" s="326" t="s">
        <v>11571</v>
      </c>
    </row>
    <row r="4010" spans="1:4">
      <c r="A4010" s="324" t="s">
        <v>11574</v>
      </c>
      <c r="B4010" s="324" t="s">
        <v>11575</v>
      </c>
      <c r="C4010" s="323" t="s">
        <v>11576</v>
      </c>
      <c r="D4010" s="326" t="s">
        <v>11574</v>
      </c>
    </row>
    <row r="4011" spans="1:4">
      <c r="A4011" s="324" t="s">
        <v>11577</v>
      </c>
      <c r="B4011" s="324" t="s">
        <v>11578</v>
      </c>
      <c r="C4011" s="323" t="s">
        <v>11579</v>
      </c>
      <c r="D4011" s="326" t="s">
        <v>11580</v>
      </c>
    </row>
    <row r="4012" spans="1:4">
      <c r="A4012" s="324" t="s">
        <v>11581</v>
      </c>
      <c r="B4012" s="324" t="s">
        <v>11582</v>
      </c>
      <c r="C4012" s="323" t="s">
        <v>11579</v>
      </c>
      <c r="D4012" s="326" t="s">
        <v>11583</v>
      </c>
    </row>
    <row r="4013" spans="1:4">
      <c r="A4013" s="324" t="s">
        <v>11584</v>
      </c>
      <c r="B4013" s="324" t="s">
        <v>11585</v>
      </c>
      <c r="C4013" s="323" t="s">
        <v>11579</v>
      </c>
      <c r="D4013" s="326" t="s">
        <v>11586</v>
      </c>
    </row>
    <row r="4014" spans="1:4">
      <c r="A4014" s="324" t="s">
        <v>11587</v>
      </c>
      <c r="B4014" s="324" t="s">
        <v>11588</v>
      </c>
      <c r="C4014" s="323" t="s">
        <v>11589</v>
      </c>
      <c r="D4014" s="326" t="s">
        <v>11590</v>
      </c>
    </row>
    <row r="4015" spans="1:4">
      <c r="A4015" s="324" t="s">
        <v>11591</v>
      </c>
      <c r="B4015" s="324" t="s">
        <v>11592</v>
      </c>
      <c r="C4015" s="323" t="s">
        <v>11593</v>
      </c>
      <c r="D4015" s="326" t="s">
        <v>11591</v>
      </c>
    </row>
    <row r="4016" spans="1:4">
      <c r="A4016" s="324" t="s">
        <v>11594</v>
      </c>
      <c r="B4016" s="324" t="s">
        <v>11595</v>
      </c>
      <c r="C4016" s="323" t="s">
        <v>11596</v>
      </c>
      <c r="D4016" s="326" t="s">
        <v>11594</v>
      </c>
    </row>
    <row r="4017" spans="1:4">
      <c r="A4017" s="324" t="s">
        <v>11597</v>
      </c>
      <c r="B4017" s="324" t="s">
        <v>11598</v>
      </c>
      <c r="C4017" s="323" t="s">
        <v>11599</v>
      </c>
      <c r="D4017" s="326" t="s">
        <v>11597</v>
      </c>
    </row>
    <row r="4018" spans="1:4">
      <c r="A4018" s="324" t="s">
        <v>11600</v>
      </c>
      <c r="B4018" s="324" t="s">
        <v>11601</v>
      </c>
      <c r="C4018" s="323" t="s">
        <v>11602</v>
      </c>
      <c r="D4018" s="326" t="s">
        <v>11600</v>
      </c>
    </row>
    <row r="4019" spans="1:4">
      <c r="A4019" s="324" t="s">
        <v>11603</v>
      </c>
      <c r="B4019" s="324" t="s">
        <v>11604</v>
      </c>
      <c r="C4019" s="323" t="s">
        <v>11605</v>
      </c>
      <c r="D4019" s="326" t="s">
        <v>11603</v>
      </c>
    </row>
    <row r="4020" spans="1:4">
      <c r="A4020" s="324" t="s">
        <v>11606</v>
      </c>
      <c r="B4020" s="324" t="s">
        <v>11607</v>
      </c>
      <c r="C4020" s="323" t="s">
        <v>11608</v>
      </c>
      <c r="D4020" s="326" t="s">
        <v>11606</v>
      </c>
    </row>
    <row r="4021" spans="1:4">
      <c r="A4021" s="324" t="s">
        <v>11609</v>
      </c>
      <c r="B4021" s="324" t="s">
        <v>11610</v>
      </c>
      <c r="C4021" s="323" t="s">
        <v>11611</v>
      </c>
      <c r="D4021" s="326" t="s">
        <v>11609</v>
      </c>
    </row>
    <row r="4022" spans="1:4">
      <c r="A4022" s="324" t="s">
        <v>8426</v>
      </c>
      <c r="B4022" s="324" t="s">
        <v>8425</v>
      </c>
      <c r="C4022" s="323" t="s">
        <v>11612</v>
      </c>
      <c r="D4022" s="326" t="s">
        <v>8426</v>
      </c>
    </row>
    <row r="4023" spans="1:4">
      <c r="A4023" s="324" t="s">
        <v>11613</v>
      </c>
      <c r="B4023" s="324" t="s">
        <v>11614</v>
      </c>
      <c r="C4023" s="323" t="s">
        <v>11612</v>
      </c>
      <c r="D4023" s="326" t="s">
        <v>11613</v>
      </c>
    </row>
    <row r="4024" spans="1:4">
      <c r="A4024" s="324" t="s">
        <v>11615</v>
      </c>
      <c r="B4024" s="324" t="s">
        <v>11616</v>
      </c>
      <c r="C4024" s="323" t="s">
        <v>11612</v>
      </c>
      <c r="D4024" s="326" t="s">
        <v>11615</v>
      </c>
    </row>
    <row r="4025" spans="1:4">
      <c r="A4025" s="324" t="s">
        <v>11617</v>
      </c>
      <c r="B4025" s="324" t="s">
        <v>11618</v>
      </c>
      <c r="C4025" s="323" t="s">
        <v>11619</v>
      </c>
      <c r="D4025" s="326" t="s">
        <v>11617</v>
      </c>
    </row>
    <row r="4026" spans="1:4">
      <c r="A4026" s="324" t="s">
        <v>11620</v>
      </c>
      <c r="B4026" s="324" t="s">
        <v>11621</v>
      </c>
      <c r="C4026" s="323" t="s">
        <v>11622</v>
      </c>
      <c r="D4026" s="326" t="s">
        <v>11623</v>
      </c>
    </row>
    <row r="4027" spans="1:4">
      <c r="A4027" s="324" t="s">
        <v>11624</v>
      </c>
      <c r="B4027" s="324" t="s">
        <v>11625</v>
      </c>
      <c r="C4027" s="323" t="s">
        <v>11626</v>
      </c>
      <c r="D4027" s="326" t="s">
        <v>11627</v>
      </c>
    </row>
    <row r="4028" spans="1:4">
      <c r="A4028" s="324" t="s">
        <v>11628</v>
      </c>
      <c r="B4028" s="324" t="s">
        <v>11625</v>
      </c>
      <c r="C4028" s="323" t="s">
        <v>11626</v>
      </c>
      <c r="D4028" s="326" t="s">
        <v>11629</v>
      </c>
    </row>
    <row r="4029" spans="1:4">
      <c r="A4029" s="324" t="s">
        <v>11630</v>
      </c>
      <c r="B4029" s="324" t="s">
        <v>11631</v>
      </c>
      <c r="C4029" s="323" t="s">
        <v>11632</v>
      </c>
      <c r="D4029" s="326" t="s">
        <v>11633</v>
      </c>
    </row>
    <row r="4030" spans="1:4">
      <c r="A4030" s="324" t="s">
        <v>11634</v>
      </c>
      <c r="B4030" s="324" t="s">
        <v>11635</v>
      </c>
      <c r="C4030" s="323" t="s">
        <v>11636</v>
      </c>
      <c r="D4030" s="326" t="s">
        <v>11637</v>
      </c>
    </row>
    <row r="4031" spans="1:4">
      <c r="A4031" s="324" t="s">
        <v>11638</v>
      </c>
      <c r="B4031" s="324" t="s">
        <v>11639</v>
      </c>
      <c r="C4031" s="323" t="s">
        <v>11640</v>
      </c>
      <c r="D4031" s="326" t="s">
        <v>11638</v>
      </c>
    </row>
    <row r="4032" spans="1:4">
      <c r="A4032" s="324" t="s">
        <v>11641</v>
      </c>
      <c r="B4032" s="324" t="s">
        <v>11642</v>
      </c>
      <c r="C4032" s="323" t="s">
        <v>11643</v>
      </c>
      <c r="D4032" s="326" t="s">
        <v>11641</v>
      </c>
    </row>
    <row r="4033" spans="1:4">
      <c r="A4033" s="324" t="s">
        <v>11644</v>
      </c>
      <c r="B4033" s="324" t="s">
        <v>11645</v>
      </c>
      <c r="C4033" s="323" t="s">
        <v>11646</v>
      </c>
      <c r="D4033" s="326" t="s">
        <v>11644</v>
      </c>
    </row>
    <row r="4034" spans="1:4">
      <c r="A4034" s="324" t="s">
        <v>11647</v>
      </c>
      <c r="B4034" s="324" t="s">
        <v>11648</v>
      </c>
      <c r="C4034" s="323" t="s">
        <v>11649</v>
      </c>
      <c r="D4034" s="326" t="s">
        <v>11647</v>
      </c>
    </row>
    <row r="4035" spans="1:4">
      <c r="A4035" s="324" t="s">
        <v>11650</v>
      </c>
      <c r="B4035" s="324" t="s">
        <v>11651</v>
      </c>
      <c r="C4035" s="323" t="s">
        <v>11652</v>
      </c>
      <c r="D4035" s="326" t="s">
        <v>11650</v>
      </c>
    </row>
    <row r="4036" spans="1:4">
      <c r="A4036" s="324" t="s">
        <v>11653</v>
      </c>
      <c r="B4036" s="324" t="s">
        <v>11654</v>
      </c>
      <c r="C4036" s="323" t="s">
        <v>11655</v>
      </c>
      <c r="D4036" s="326" t="s">
        <v>11653</v>
      </c>
    </row>
    <row r="4037" spans="1:4">
      <c r="A4037" s="324" t="s">
        <v>11656</v>
      </c>
      <c r="B4037" s="324" t="s">
        <v>11657</v>
      </c>
      <c r="C4037" s="323" t="s">
        <v>11658</v>
      </c>
      <c r="D4037" s="326" t="s">
        <v>11656</v>
      </c>
    </row>
    <row r="4038" spans="1:4">
      <c r="A4038" s="324" t="s">
        <v>11659</v>
      </c>
      <c r="B4038" s="324" t="s">
        <v>11660</v>
      </c>
      <c r="C4038" s="323" t="s">
        <v>11661</v>
      </c>
      <c r="D4038" s="326" t="s">
        <v>11659</v>
      </c>
    </row>
    <row r="4039" spans="1:4">
      <c r="A4039" s="324" t="s">
        <v>11662</v>
      </c>
      <c r="B4039" s="324" t="s">
        <v>11663</v>
      </c>
      <c r="C4039" s="323" t="s">
        <v>11664</v>
      </c>
      <c r="D4039" s="326" t="s">
        <v>11662</v>
      </c>
    </row>
    <row r="4040" spans="1:4">
      <c r="A4040" s="324" t="s">
        <v>11665</v>
      </c>
      <c r="B4040" s="324" t="s">
        <v>11666</v>
      </c>
      <c r="C4040" s="323" t="s">
        <v>11667</v>
      </c>
      <c r="D4040" s="326" t="s">
        <v>11668</v>
      </c>
    </row>
    <row r="4041" spans="1:4">
      <c r="A4041" s="324" t="s">
        <v>11669</v>
      </c>
      <c r="B4041" s="324" t="s">
        <v>11670</v>
      </c>
      <c r="C4041" s="323" t="s">
        <v>11671</v>
      </c>
      <c r="D4041" s="326" t="s">
        <v>11669</v>
      </c>
    </row>
    <row r="4042" spans="1:4">
      <c r="A4042" s="324" t="s">
        <v>1934</v>
      </c>
      <c r="B4042" s="324" t="s">
        <v>11672</v>
      </c>
      <c r="C4042" s="323" t="s">
        <v>11673</v>
      </c>
      <c r="D4042" s="326" t="s">
        <v>1934</v>
      </c>
    </row>
    <row r="4043" spans="1:4">
      <c r="A4043" s="324" t="s">
        <v>11674</v>
      </c>
      <c r="B4043" s="324" t="s">
        <v>11675</v>
      </c>
      <c r="C4043" s="323" t="s">
        <v>11676</v>
      </c>
      <c r="D4043" s="326" t="s">
        <v>11674</v>
      </c>
    </row>
    <row r="4044" spans="1:4">
      <c r="A4044" s="324" t="s">
        <v>11677</v>
      </c>
      <c r="B4044" s="324" t="s">
        <v>11678</v>
      </c>
      <c r="C4044" s="323" t="s">
        <v>11679</v>
      </c>
      <c r="D4044" s="326" t="s">
        <v>11677</v>
      </c>
    </row>
    <row r="4045" spans="1:4">
      <c r="A4045" s="324" t="s">
        <v>11680</v>
      </c>
      <c r="B4045" s="324" t="s">
        <v>11681</v>
      </c>
      <c r="C4045" s="323" t="s">
        <v>11682</v>
      </c>
      <c r="D4045" s="326" t="s">
        <v>11680</v>
      </c>
    </row>
    <row r="4046" spans="1:4">
      <c r="A4046" s="324" t="s">
        <v>11683</v>
      </c>
      <c r="B4046" s="324" t="s">
        <v>11684</v>
      </c>
      <c r="C4046" s="323" t="s">
        <v>11685</v>
      </c>
      <c r="D4046" s="326" t="s">
        <v>11683</v>
      </c>
    </row>
    <row r="4047" spans="1:4">
      <c r="A4047" s="324" t="s">
        <v>11686</v>
      </c>
      <c r="B4047" s="324" t="s">
        <v>11687</v>
      </c>
      <c r="C4047" s="323" t="s">
        <v>11688</v>
      </c>
      <c r="D4047" s="326" t="s">
        <v>11686</v>
      </c>
    </row>
    <row r="4048" spans="1:4">
      <c r="A4048" s="324" t="s">
        <v>11689</v>
      </c>
      <c r="B4048" s="324" t="s">
        <v>11690</v>
      </c>
      <c r="C4048" s="323" t="s">
        <v>11691</v>
      </c>
      <c r="D4048" s="326" t="s">
        <v>11689</v>
      </c>
    </row>
    <row r="4049" spans="1:4">
      <c r="A4049" s="324" t="s">
        <v>6939</v>
      </c>
      <c r="B4049" s="324" t="s">
        <v>6937</v>
      </c>
      <c r="C4049" s="323" t="s">
        <v>11692</v>
      </c>
      <c r="D4049" s="326" t="s">
        <v>6939</v>
      </c>
    </row>
    <row r="4050" spans="1:4">
      <c r="A4050" s="324" t="s">
        <v>8576</v>
      </c>
      <c r="B4050" s="324" t="s">
        <v>8575</v>
      </c>
      <c r="C4050" s="323" t="s">
        <v>11693</v>
      </c>
      <c r="D4050" s="326" t="s">
        <v>8576</v>
      </c>
    </row>
    <row r="4051" spans="1:4">
      <c r="A4051" s="324" t="s">
        <v>11694</v>
      </c>
      <c r="B4051" s="324" t="s">
        <v>11695</v>
      </c>
      <c r="C4051" s="323" t="s">
        <v>11696</v>
      </c>
      <c r="D4051" s="326" t="s">
        <v>11694</v>
      </c>
    </row>
    <row r="4052" spans="1:4">
      <c r="A4052" s="324" t="s">
        <v>11697</v>
      </c>
      <c r="B4052" s="324" t="s">
        <v>11698</v>
      </c>
      <c r="C4052" s="323" t="s">
        <v>11699</v>
      </c>
      <c r="D4052" s="326" t="s">
        <v>11697</v>
      </c>
    </row>
    <row r="4053" spans="1:4">
      <c r="A4053" s="324" t="s">
        <v>11700</v>
      </c>
      <c r="B4053" s="324" t="s">
        <v>11701</v>
      </c>
      <c r="C4053" s="323" t="s">
        <v>11702</v>
      </c>
      <c r="D4053" s="326" t="s">
        <v>11700</v>
      </c>
    </row>
    <row r="4054" spans="1:4">
      <c r="A4054" s="324" t="s">
        <v>11703</v>
      </c>
      <c r="B4054" s="324" t="s">
        <v>11704</v>
      </c>
      <c r="C4054" s="323" t="s">
        <v>11705</v>
      </c>
      <c r="D4054" s="326" t="s">
        <v>11703</v>
      </c>
    </row>
    <row r="4055" spans="1:4">
      <c r="A4055" s="324" t="s">
        <v>7003</v>
      </c>
      <c r="B4055" s="324" t="s">
        <v>7002</v>
      </c>
      <c r="C4055" s="323" t="s">
        <v>11706</v>
      </c>
      <c r="D4055" s="326" t="s">
        <v>7003</v>
      </c>
    </row>
    <row r="4056" spans="1:4">
      <c r="A4056" s="324" t="s">
        <v>11707</v>
      </c>
      <c r="B4056" s="324" t="s">
        <v>11708</v>
      </c>
      <c r="C4056" s="323" t="s">
        <v>11709</v>
      </c>
      <c r="D4056" s="326" t="s">
        <v>11707</v>
      </c>
    </row>
    <row r="4057" spans="1:4">
      <c r="A4057" s="324" t="s">
        <v>11710</v>
      </c>
      <c r="B4057" s="324" t="s">
        <v>11711</v>
      </c>
      <c r="C4057" s="323" t="s">
        <v>11712</v>
      </c>
      <c r="D4057" s="326" t="s">
        <v>11710</v>
      </c>
    </row>
    <row r="4058" spans="1:4">
      <c r="A4058" s="324" t="s">
        <v>8165</v>
      </c>
      <c r="B4058" s="324" t="s">
        <v>8164</v>
      </c>
      <c r="C4058" s="323" t="s">
        <v>11713</v>
      </c>
      <c r="D4058" s="326" t="s">
        <v>11714</v>
      </c>
    </row>
    <row r="4059" spans="1:4">
      <c r="A4059" s="324" t="s">
        <v>11715</v>
      </c>
      <c r="B4059" s="324" t="s">
        <v>11716</v>
      </c>
      <c r="C4059" s="323" t="s">
        <v>11717</v>
      </c>
      <c r="D4059" s="326" t="s">
        <v>11715</v>
      </c>
    </row>
    <row r="4060" spans="1:4">
      <c r="A4060" s="324" t="s">
        <v>7312</v>
      </c>
      <c r="B4060" s="324" t="s">
        <v>11718</v>
      </c>
      <c r="C4060" s="323" t="s">
        <v>11719</v>
      </c>
      <c r="D4060" s="326" t="s">
        <v>7312</v>
      </c>
    </row>
    <row r="4061" spans="1:4">
      <c r="A4061" s="324" t="s">
        <v>11720</v>
      </c>
      <c r="B4061" s="324" t="s">
        <v>11721</v>
      </c>
      <c r="C4061" s="323" t="s">
        <v>11722</v>
      </c>
      <c r="D4061" s="326" t="s">
        <v>11720</v>
      </c>
    </row>
    <row r="4062" spans="1:4">
      <c r="A4062" s="324" t="s">
        <v>11723</v>
      </c>
      <c r="B4062" s="324" t="s">
        <v>11724</v>
      </c>
      <c r="C4062" s="323" t="s">
        <v>11725</v>
      </c>
      <c r="D4062" s="326" t="s">
        <v>11723</v>
      </c>
    </row>
    <row r="4063" spans="1:4">
      <c r="A4063" s="324" t="s">
        <v>11726</v>
      </c>
      <c r="B4063" s="324" t="s">
        <v>11727</v>
      </c>
      <c r="C4063" s="323" t="s">
        <v>11728</v>
      </c>
      <c r="D4063" s="326" t="s">
        <v>11726</v>
      </c>
    </row>
    <row r="4064" spans="1:4">
      <c r="A4064" s="324" t="s">
        <v>11729</v>
      </c>
      <c r="B4064" s="324" t="s">
        <v>11730</v>
      </c>
      <c r="C4064" s="323" t="s">
        <v>11731</v>
      </c>
      <c r="D4064" s="326" t="s">
        <v>11729</v>
      </c>
    </row>
    <row r="4065" spans="1:4">
      <c r="A4065" s="324" t="s">
        <v>11732</v>
      </c>
      <c r="B4065" s="324" t="s">
        <v>11733</v>
      </c>
      <c r="C4065" s="323" t="s">
        <v>11734</v>
      </c>
      <c r="D4065" s="326" t="s">
        <v>11732</v>
      </c>
    </row>
    <row r="4066" spans="1:4">
      <c r="A4066" s="324" t="s">
        <v>11735</v>
      </c>
      <c r="B4066" s="324" t="s">
        <v>11736</v>
      </c>
      <c r="C4066" s="323" t="s">
        <v>11737</v>
      </c>
      <c r="D4066" s="326" t="s">
        <v>11735</v>
      </c>
    </row>
    <row r="4067" spans="1:4">
      <c r="A4067" s="324" t="s">
        <v>11738</v>
      </c>
      <c r="B4067" s="324" t="s">
        <v>11739</v>
      </c>
      <c r="C4067" s="323" t="s">
        <v>11740</v>
      </c>
      <c r="D4067" s="326" t="s">
        <v>11738</v>
      </c>
    </row>
    <row r="4068" spans="1:4">
      <c r="A4068" s="324" t="s">
        <v>11741</v>
      </c>
      <c r="B4068" s="324" t="s">
        <v>11742</v>
      </c>
      <c r="C4068" s="323" t="s">
        <v>11743</v>
      </c>
      <c r="D4068" s="326" t="s">
        <v>11741</v>
      </c>
    </row>
    <row r="4069" spans="1:4">
      <c r="A4069" s="324" t="s">
        <v>11744</v>
      </c>
      <c r="B4069" s="324" t="s">
        <v>11745</v>
      </c>
      <c r="C4069" s="323" t="s">
        <v>11746</v>
      </c>
      <c r="D4069" s="326" t="s">
        <v>11744</v>
      </c>
    </row>
    <row r="4070" spans="1:4">
      <c r="A4070" s="324" t="s">
        <v>11747</v>
      </c>
      <c r="B4070" s="324" t="s">
        <v>11748</v>
      </c>
      <c r="C4070" s="323" t="s">
        <v>11749</v>
      </c>
      <c r="D4070" s="326" t="s">
        <v>11747</v>
      </c>
    </row>
    <row r="4071" spans="1:4">
      <c r="A4071" s="324" t="s">
        <v>11750</v>
      </c>
      <c r="B4071" s="324" t="s">
        <v>11751</v>
      </c>
      <c r="C4071" s="323" t="s">
        <v>11752</v>
      </c>
      <c r="D4071" s="326" t="s">
        <v>11750</v>
      </c>
    </row>
    <row r="4072" spans="1:4">
      <c r="A4072" s="324" t="s">
        <v>142</v>
      </c>
      <c r="B4072" s="324" t="s">
        <v>11753</v>
      </c>
      <c r="C4072" s="323" t="s">
        <v>11754</v>
      </c>
      <c r="D4072" s="326" t="s">
        <v>142</v>
      </c>
    </row>
    <row r="4073" spans="1:4">
      <c r="A4073" s="324" t="s">
        <v>11755</v>
      </c>
      <c r="B4073" s="324" t="s">
        <v>11756</v>
      </c>
      <c r="C4073" s="323" t="s">
        <v>11757</v>
      </c>
      <c r="D4073" s="326" t="s">
        <v>11755</v>
      </c>
    </row>
    <row r="4074" spans="1:4">
      <c r="A4074" s="324" t="s">
        <v>0</v>
      </c>
      <c r="B4074" s="324" t="s">
        <v>2144</v>
      </c>
      <c r="C4074" s="323" t="s">
        <v>11758</v>
      </c>
      <c r="D4074" s="326" t="s">
        <v>0</v>
      </c>
    </row>
    <row r="4075" spans="1:4">
      <c r="A4075" s="324" t="s">
        <v>11759</v>
      </c>
      <c r="B4075" s="324" t="s">
        <v>11760</v>
      </c>
      <c r="C4075" s="323" t="s">
        <v>11761</v>
      </c>
      <c r="D4075" s="326" t="s">
        <v>11759</v>
      </c>
    </row>
    <row r="4076" spans="1:4">
      <c r="A4076" s="324" t="s">
        <v>11762</v>
      </c>
      <c r="B4076" s="324" t="s">
        <v>11763</v>
      </c>
      <c r="C4076" s="323" t="s">
        <v>11764</v>
      </c>
      <c r="D4076" s="326" t="s">
        <v>11762</v>
      </c>
    </row>
    <row r="4077" spans="1:4">
      <c r="A4077" s="324" t="s">
        <v>11765</v>
      </c>
      <c r="B4077" s="324" t="s">
        <v>11766</v>
      </c>
      <c r="C4077" s="323" t="s">
        <v>11767</v>
      </c>
      <c r="D4077" s="326" t="s">
        <v>11765</v>
      </c>
    </row>
    <row r="4078" spans="1:4">
      <c r="A4078" s="324" t="s">
        <v>0</v>
      </c>
      <c r="B4078" s="324" t="s">
        <v>11768</v>
      </c>
      <c r="C4078" s="323" t="s">
        <v>11769</v>
      </c>
      <c r="D4078" s="326" t="s">
        <v>0</v>
      </c>
    </row>
    <row r="4079" spans="1:4">
      <c r="A4079" s="324" t="s">
        <v>11770</v>
      </c>
      <c r="B4079" s="324" t="s">
        <v>11771</v>
      </c>
      <c r="C4079" s="323" t="s">
        <v>11772</v>
      </c>
      <c r="D4079" s="326" t="s">
        <v>11770</v>
      </c>
    </row>
    <row r="4080" spans="1:4">
      <c r="A4080" s="324" t="s">
        <v>6992</v>
      </c>
      <c r="B4080" s="324" t="s">
        <v>6991</v>
      </c>
      <c r="C4080" s="323" t="s">
        <v>11773</v>
      </c>
      <c r="D4080" s="326" t="s">
        <v>6992</v>
      </c>
    </row>
    <row r="4081" spans="1:4">
      <c r="A4081" s="324" t="s">
        <v>11774</v>
      </c>
      <c r="B4081" s="324" t="s">
        <v>11775</v>
      </c>
      <c r="C4081" s="323" t="s">
        <v>11776</v>
      </c>
      <c r="D4081" s="326" t="s">
        <v>11774</v>
      </c>
    </row>
    <row r="4082" spans="1:4">
      <c r="A4082" s="324" t="s">
        <v>11777</v>
      </c>
      <c r="B4082" s="324" t="s">
        <v>11778</v>
      </c>
      <c r="C4082" s="323" t="s">
        <v>11779</v>
      </c>
      <c r="D4082" s="326" t="s">
        <v>11777</v>
      </c>
    </row>
    <row r="4083" spans="1:4">
      <c r="A4083" s="324" t="s">
        <v>11780</v>
      </c>
      <c r="B4083" s="324" t="s">
        <v>11781</v>
      </c>
      <c r="C4083" s="323" t="s">
        <v>11782</v>
      </c>
      <c r="D4083" s="326" t="s">
        <v>11780</v>
      </c>
    </row>
    <row r="4084" spans="1:4">
      <c r="A4084" s="324" t="s">
        <v>2182</v>
      </c>
      <c r="B4084" s="324" t="s">
        <v>11783</v>
      </c>
      <c r="C4084" s="323" t="s">
        <v>11783</v>
      </c>
      <c r="D4084" s="326" t="s">
        <v>11784</v>
      </c>
    </row>
    <row r="4085" spans="1:4">
      <c r="A4085" s="324" t="s">
        <v>7037</v>
      </c>
      <c r="B4085" s="324" t="s">
        <v>7036</v>
      </c>
      <c r="C4085" s="323" t="s">
        <v>11785</v>
      </c>
      <c r="D4085" s="326" t="s">
        <v>7037</v>
      </c>
    </row>
    <row r="4086" spans="1:4">
      <c r="A4086" s="324" t="s">
        <v>11786</v>
      </c>
      <c r="B4086" s="324" t="s">
        <v>11787</v>
      </c>
      <c r="C4086" s="323" t="s">
        <v>11788</v>
      </c>
      <c r="D4086" s="326" t="s">
        <v>11786</v>
      </c>
    </row>
    <row r="4087" spans="1:4">
      <c r="A4087" s="324" t="s">
        <v>770</v>
      </c>
      <c r="B4087" s="324" t="s">
        <v>11789</v>
      </c>
      <c r="C4087" s="323" t="s">
        <v>11790</v>
      </c>
      <c r="D4087" s="326" t="s">
        <v>770</v>
      </c>
    </row>
    <row r="4088" spans="1:4">
      <c r="A4088" s="324" t="s">
        <v>11791</v>
      </c>
      <c r="B4088" s="324" t="s">
        <v>11792</v>
      </c>
      <c r="C4088" s="323" t="s">
        <v>11793</v>
      </c>
      <c r="D4088" s="326" t="s">
        <v>11791</v>
      </c>
    </row>
    <row r="4089" spans="1:4">
      <c r="A4089" s="324" t="s">
        <v>2165</v>
      </c>
      <c r="B4089" s="324" t="s">
        <v>11794</v>
      </c>
      <c r="C4089" s="323" t="s">
        <v>11795</v>
      </c>
      <c r="D4089" s="326" t="s">
        <v>2165</v>
      </c>
    </row>
    <row r="4090" spans="1:4">
      <c r="A4090" s="324" t="s">
        <v>11796</v>
      </c>
      <c r="B4090" s="324" t="s">
        <v>11797</v>
      </c>
      <c r="C4090" s="323" t="s">
        <v>11798</v>
      </c>
      <c r="D4090" s="326" t="s">
        <v>11799</v>
      </c>
    </row>
    <row r="4091" spans="1:4">
      <c r="A4091" s="324" t="s">
        <v>11800</v>
      </c>
      <c r="B4091" s="324" t="s">
        <v>11801</v>
      </c>
      <c r="C4091" s="323" t="s">
        <v>11802</v>
      </c>
      <c r="D4091" s="326" t="s">
        <v>11803</v>
      </c>
    </row>
    <row r="4092" spans="1:4">
      <c r="A4092" s="324" t="s">
        <v>11804</v>
      </c>
      <c r="B4092" s="324" t="s">
        <v>11805</v>
      </c>
      <c r="C4092" s="323" t="s">
        <v>11806</v>
      </c>
      <c r="D4092" s="326" t="s">
        <v>11804</v>
      </c>
    </row>
    <row r="4093" spans="1:4">
      <c r="A4093" s="324" t="s">
        <v>11807</v>
      </c>
      <c r="B4093" s="324" t="s">
        <v>11808</v>
      </c>
      <c r="C4093" s="323" t="s">
        <v>11809</v>
      </c>
      <c r="D4093" s="326" t="s">
        <v>11807</v>
      </c>
    </row>
    <row r="4094" spans="1:4">
      <c r="A4094" s="324" t="s">
        <v>10502</v>
      </c>
      <c r="B4094" s="324" t="s">
        <v>11810</v>
      </c>
      <c r="C4094" s="323" t="s">
        <v>11811</v>
      </c>
      <c r="D4094" s="326" t="s">
        <v>10502</v>
      </c>
    </row>
    <row r="4095" spans="1:4">
      <c r="A4095" s="324" t="s">
        <v>11812</v>
      </c>
      <c r="B4095" s="324" t="s">
        <v>11813</v>
      </c>
      <c r="C4095" s="323" t="s">
        <v>11814</v>
      </c>
      <c r="D4095" s="326" t="s">
        <v>11812</v>
      </c>
    </row>
    <row r="4096" spans="1:4">
      <c r="A4096" s="324" t="s">
        <v>11815</v>
      </c>
      <c r="B4096" s="324" t="s">
        <v>11816</v>
      </c>
      <c r="C4096" s="323" t="s">
        <v>11817</v>
      </c>
      <c r="D4096" s="326" t="s">
        <v>11815</v>
      </c>
    </row>
    <row r="4097" spans="1:4">
      <c r="A4097" s="324" t="s">
        <v>8412</v>
      </c>
      <c r="B4097" s="324" t="s">
        <v>8411</v>
      </c>
      <c r="C4097" s="323" t="s">
        <v>11818</v>
      </c>
      <c r="D4097" s="326" t="s">
        <v>8412</v>
      </c>
    </row>
    <row r="4098" spans="1:4">
      <c r="A4098" s="324" t="s">
        <v>11819</v>
      </c>
      <c r="B4098" s="324" t="s">
        <v>11820</v>
      </c>
      <c r="C4098" s="323" t="s">
        <v>11821</v>
      </c>
      <c r="D4098" s="326" t="s">
        <v>11819</v>
      </c>
    </row>
    <row r="4099" spans="1:4">
      <c r="A4099" s="324" t="s">
        <v>11822</v>
      </c>
      <c r="B4099" s="324" t="s">
        <v>11823</v>
      </c>
      <c r="C4099" s="323" t="s">
        <v>11824</v>
      </c>
      <c r="D4099" s="326" t="s">
        <v>11822</v>
      </c>
    </row>
    <row r="4100" spans="1:4">
      <c r="A4100" s="324" t="s">
        <v>2196</v>
      </c>
      <c r="B4100" s="324" t="s">
        <v>11825</v>
      </c>
      <c r="C4100" s="323" t="s">
        <v>11826</v>
      </c>
      <c r="D4100" s="326" t="s">
        <v>2196</v>
      </c>
    </row>
    <row r="4101" spans="1:4">
      <c r="A4101" s="324" t="s">
        <v>2150</v>
      </c>
      <c r="B4101" s="324" t="s">
        <v>11827</v>
      </c>
      <c r="C4101" s="323" t="s">
        <v>11828</v>
      </c>
      <c r="D4101" s="326" t="s">
        <v>2150</v>
      </c>
    </row>
    <row r="4102" spans="1:4">
      <c r="A4102" s="324" t="s">
        <v>11829</v>
      </c>
      <c r="B4102" s="324" t="s">
        <v>11830</v>
      </c>
      <c r="C4102" s="323" t="s">
        <v>11831</v>
      </c>
      <c r="D4102" s="326" t="s">
        <v>11829</v>
      </c>
    </row>
    <row r="4103" spans="1:4">
      <c r="A4103" s="324" t="s">
        <v>11832</v>
      </c>
      <c r="B4103" s="324" t="s">
        <v>11833</v>
      </c>
      <c r="C4103" s="323" t="s">
        <v>11834</v>
      </c>
      <c r="D4103" s="326" t="s">
        <v>11832</v>
      </c>
    </row>
    <row r="4104" spans="1:4">
      <c r="A4104" s="324" t="s">
        <v>11835</v>
      </c>
      <c r="B4104" s="324" t="s">
        <v>11836</v>
      </c>
      <c r="C4104" s="323" t="s">
        <v>11837</v>
      </c>
      <c r="D4104" s="326" t="s">
        <v>11835</v>
      </c>
    </row>
    <row r="4105" spans="1:4">
      <c r="A4105" s="324" t="s">
        <v>11838</v>
      </c>
      <c r="B4105" s="324" t="s">
        <v>11839</v>
      </c>
      <c r="C4105" s="323" t="s">
        <v>11840</v>
      </c>
      <c r="D4105" s="326" t="s">
        <v>11838</v>
      </c>
    </row>
    <row r="4106" spans="1:4">
      <c r="A4106" s="324" t="s">
        <v>11841</v>
      </c>
      <c r="B4106" s="324" t="s">
        <v>11842</v>
      </c>
      <c r="C4106" s="323" t="s">
        <v>11843</v>
      </c>
      <c r="D4106" s="326" t="s">
        <v>11841</v>
      </c>
    </row>
    <row r="4107" spans="1:4">
      <c r="A4107" s="324" t="s">
        <v>11841</v>
      </c>
      <c r="B4107" s="324" t="s">
        <v>11844</v>
      </c>
      <c r="C4107" s="323" t="s">
        <v>11845</v>
      </c>
      <c r="D4107" s="326" t="s">
        <v>11841</v>
      </c>
    </row>
    <row r="4108" spans="1:4">
      <c r="A4108" s="324" t="s">
        <v>11846</v>
      </c>
      <c r="B4108" s="324" t="s">
        <v>11847</v>
      </c>
      <c r="C4108" s="323" t="s">
        <v>11848</v>
      </c>
      <c r="D4108" s="326" t="s">
        <v>11846</v>
      </c>
    </row>
    <row r="4109" spans="1:4">
      <c r="A4109" s="324" t="s">
        <v>11849</v>
      </c>
      <c r="B4109" s="324" t="s">
        <v>11850</v>
      </c>
      <c r="C4109" s="323" t="s">
        <v>11851</v>
      </c>
      <c r="D4109" s="326" t="s">
        <v>11849</v>
      </c>
    </row>
    <row r="4110" spans="1:4">
      <c r="A4110" s="324" t="s">
        <v>11852</v>
      </c>
      <c r="B4110" s="324" t="s">
        <v>11853</v>
      </c>
      <c r="C4110" s="323" t="s">
        <v>11854</v>
      </c>
      <c r="D4110" s="326" t="s">
        <v>11852</v>
      </c>
    </row>
    <row r="4111" spans="1:4">
      <c r="A4111" s="324" t="s">
        <v>11855</v>
      </c>
      <c r="B4111" s="324" t="s">
        <v>11856</v>
      </c>
      <c r="C4111" s="323" t="s">
        <v>11857</v>
      </c>
      <c r="D4111" s="326" t="s">
        <v>11855</v>
      </c>
    </row>
    <row r="4112" spans="1:4">
      <c r="A4112" s="324" t="s">
        <v>11858</v>
      </c>
      <c r="B4112" s="324" t="s">
        <v>11859</v>
      </c>
      <c r="C4112" s="323" t="s">
        <v>11860</v>
      </c>
      <c r="D4112" s="326" t="s">
        <v>11858</v>
      </c>
    </row>
    <row r="4113" spans="1:4">
      <c r="A4113" s="324" t="s">
        <v>11861</v>
      </c>
      <c r="B4113" s="324" t="s">
        <v>11862</v>
      </c>
      <c r="C4113" s="323" t="s">
        <v>11863</v>
      </c>
      <c r="D4113" s="326" t="s">
        <v>11861</v>
      </c>
    </row>
    <row r="4114" spans="1:4">
      <c r="A4114" s="324" t="s">
        <v>6720</v>
      </c>
      <c r="B4114" s="324" t="s">
        <v>6601</v>
      </c>
      <c r="C4114" s="323" t="s">
        <v>11864</v>
      </c>
      <c r="D4114" s="326" t="s">
        <v>6720</v>
      </c>
    </row>
    <row r="4115" spans="1:4">
      <c r="A4115" s="324" t="s">
        <v>6912</v>
      </c>
      <c r="B4115" s="324" t="s">
        <v>6911</v>
      </c>
      <c r="C4115" s="323" t="s">
        <v>11865</v>
      </c>
      <c r="D4115" s="326" t="s">
        <v>6912</v>
      </c>
    </row>
    <row r="4116" spans="1:4">
      <c r="A4116" s="324" t="s">
        <v>6691</v>
      </c>
      <c r="B4116" s="324" t="s">
        <v>6690</v>
      </c>
      <c r="C4116" s="323" t="s">
        <v>11866</v>
      </c>
      <c r="D4116" s="326" t="s">
        <v>6691</v>
      </c>
    </row>
    <row r="4117" spans="1:4">
      <c r="A4117" s="324" t="s">
        <v>11867</v>
      </c>
      <c r="B4117" s="324" t="s">
        <v>11868</v>
      </c>
      <c r="C4117" s="323" t="s">
        <v>11869</v>
      </c>
      <c r="D4117" s="326" t="s">
        <v>11867</v>
      </c>
    </row>
    <row r="4118" spans="1:4">
      <c r="A4118" s="324" t="s">
        <v>11870</v>
      </c>
      <c r="B4118" s="324" t="s">
        <v>11871</v>
      </c>
      <c r="C4118" s="323" t="s">
        <v>11872</v>
      </c>
      <c r="D4118" s="326" t="s">
        <v>11870</v>
      </c>
    </row>
    <row r="4119" spans="1:4">
      <c r="A4119" s="324" t="s">
        <v>11873</v>
      </c>
      <c r="B4119" s="324" t="s">
        <v>11874</v>
      </c>
      <c r="C4119" s="323" t="s">
        <v>11865</v>
      </c>
      <c r="D4119" s="326" t="s">
        <v>11873</v>
      </c>
    </row>
    <row r="4120" spans="1:4">
      <c r="A4120" s="324" t="s">
        <v>11875</v>
      </c>
      <c r="B4120" s="324" t="s">
        <v>11876</v>
      </c>
      <c r="C4120" s="323" t="s">
        <v>11877</v>
      </c>
      <c r="D4120" s="326" t="s">
        <v>11875</v>
      </c>
    </row>
    <row r="4121" spans="1:4">
      <c r="A4121" s="324" t="s">
        <v>11878</v>
      </c>
      <c r="B4121" s="324" t="s">
        <v>11879</v>
      </c>
      <c r="C4121" s="323" t="s">
        <v>11880</v>
      </c>
      <c r="D4121" s="326" t="s">
        <v>11878</v>
      </c>
    </row>
    <row r="4122" spans="1:4">
      <c r="A4122" s="324" t="s">
        <v>11881</v>
      </c>
      <c r="B4122" s="324" t="s">
        <v>11882</v>
      </c>
      <c r="C4122" s="323" t="s">
        <v>11883</v>
      </c>
      <c r="D4122" s="326" t="s">
        <v>11881</v>
      </c>
    </row>
    <row r="4123" spans="1:4">
      <c r="A4123" s="324" t="s">
        <v>11884</v>
      </c>
      <c r="B4123" s="324" t="s">
        <v>11885</v>
      </c>
      <c r="C4123" s="323" t="s">
        <v>11886</v>
      </c>
      <c r="D4123" s="326" t="s">
        <v>11884</v>
      </c>
    </row>
    <row r="4124" spans="1:4">
      <c r="A4124" s="324" t="s">
        <v>11887</v>
      </c>
      <c r="B4124" s="324" t="s">
        <v>11888</v>
      </c>
      <c r="C4124" s="323" t="s">
        <v>11889</v>
      </c>
      <c r="D4124" s="326" t="s">
        <v>11887</v>
      </c>
    </row>
    <row r="4125" spans="1:4">
      <c r="A4125" s="324" t="s">
        <v>11890</v>
      </c>
      <c r="B4125" s="324" t="s">
        <v>11888</v>
      </c>
      <c r="C4125" s="323" t="s">
        <v>11889</v>
      </c>
      <c r="D4125" s="326" t="s">
        <v>11890</v>
      </c>
    </row>
    <row r="4126" spans="1:4">
      <c r="A4126" s="324" t="s">
        <v>11891</v>
      </c>
      <c r="B4126" s="324" t="s">
        <v>11892</v>
      </c>
      <c r="C4126" s="323" t="s">
        <v>11893</v>
      </c>
      <c r="D4126" s="326" t="s">
        <v>11891</v>
      </c>
    </row>
    <row r="4127" spans="1:4">
      <c r="A4127" s="324" t="s">
        <v>11894</v>
      </c>
      <c r="B4127" s="324" t="s">
        <v>11895</v>
      </c>
      <c r="C4127" s="323" t="s">
        <v>11896</v>
      </c>
      <c r="D4127" s="326" t="s">
        <v>11894</v>
      </c>
    </row>
    <row r="4128" spans="1:4">
      <c r="A4128" s="324" t="s">
        <v>11897</v>
      </c>
      <c r="B4128" s="324" t="s">
        <v>11898</v>
      </c>
      <c r="C4128" s="323" t="s">
        <v>11899</v>
      </c>
      <c r="D4128" s="326" t="s">
        <v>11897</v>
      </c>
    </row>
    <row r="4129" spans="1:4">
      <c r="A4129" s="324" t="s">
        <v>11900</v>
      </c>
      <c r="B4129" s="324" t="s">
        <v>11901</v>
      </c>
      <c r="C4129" s="323" t="s">
        <v>11902</v>
      </c>
      <c r="D4129" s="326" t="s">
        <v>11900</v>
      </c>
    </row>
    <row r="4130" spans="1:4">
      <c r="A4130" s="324" t="s">
        <v>11903</v>
      </c>
      <c r="B4130" s="324" t="s">
        <v>11904</v>
      </c>
      <c r="C4130" s="323" t="s">
        <v>11905</v>
      </c>
      <c r="D4130" s="326" t="s">
        <v>11903</v>
      </c>
    </row>
    <row r="4131" spans="1:4">
      <c r="A4131" s="324" t="s">
        <v>11906</v>
      </c>
      <c r="B4131" s="324" t="s">
        <v>11907</v>
      </c>
      <c r="C4131" s="323" t="s">
        <v>11908</v>
      </c>
      <c r="D4131" s="326" t="s">
        <v>11906</v>
      </c>
    </row>
    <row r="4132" spans="1:4">
      <c r="A4132" s="324" t="s">
        <v>11909</v>
      </c>
      <c r="B4132" s="324" t="s">
        <v>11910</v>
      </c>
      <c r="C4132" s="323" t="s">
        <v>11911</v>
      </c>
      <c r="D4132" s="326" t="s">
        <v>11909</v>
      </c>
    </row>
    <row r="4133" spans="1:4">
      <c r="A4133" s="324" t="s">
        <v>11762</v>
      </c>
      <c r="B4133" s="324" t="s">
        <v>11912</v>
      </c>
      <c r="C4133" s="323" t="s">
        <v>11764</v>
      </c>
      <c r="D4133" s="326" t="s">
        <v>11762</v>
      </c>
    </row>
    <row r="4134" spans="1:4">
      <c r="A4134" s="324" t="s">
        <v>11913</v>
      </c>
      <c r="B4134" s="324" t="s">
        <v>11914</v>
      </c>
      <c r="C4134" s="323" t="s">
        <v>11915</v>
      </c>
      <c r="D4134" s="326" t="s">
        <v>11913</v>
      </c>
    </row>
    <row r="4135" spans="1:4">
      <c r="A4135" s="324" t="s">
        <v>11916</v>
      </c>
      <c r="B4135" s="324" t="s">
        <v>11758</v>
      </c>
      <c r="C4135" s="323" t="s">
        <v>11758</v>
      </c>
      <c r="D4135" s="326" t="s">
        <v>11916</v>
      </c>
    </row>
    <row r="4136" spans="1:4">
      <c r="A4136" s="324" t="s">
        <v>0</v>
      </c>
      <c r="B4136" s="324" t="s">
        <v>11758</v>
      </c>
      <c r="C4136" s="323" t="s">
        <v>11758</v>
      </c>
      <c r="D4136" s="326" t="s">
        <v>0</v>
      </c>
    </row>
    <row r="4137" spans="1:4">
      <c r="A4137" s="324" t="s">
        <v>11917</v>
      </c>
      <c r="B4137" s="324" t="s">
        <v>2288</v>
      </c>
      <c r="C4137" s="323" t="s">
        <v>2288</v>
      </c>
      <c r="D4137" s="326" t="s">
        <v>11918</v>
      </c>
    </row>
    <row r="4138" spans="1:4">
      <c r="A4138" s="324" t="s">
        <v>2295</v>
      </c>
      <c r="B4138" s="324" t="s">
        <v>2296</v>
      </c>
      <c r="C4138" s="323" t="s">
        <v>11919</v>
      </c>
      <c r="D4138" s="326" t="s">
        <v>11920</v>
      </c>
    </row>
    <row r="4139" spans="1:4">
      <c r="A4139" s="324" t="s">
        <v>11921</v>
      </c>
      <c r="B4139" s="324" t="s">
        <v>11922</v>
      </c>
      <c r="C4139" s="323" t="s">
        <v>11923</v>
      </c>
      <c r="D4139" s="326" t="s">
        <v>11924</v>
      </c>
    </row>
    <row r="4140" spans="1:4">
      <c r="A4140" s="324" t="s">
        <v>11925</v>
      </c>
      <c r="B4140" s="324" t="s">
        <v>11926</v>
      </c>
      <c r="C4140" s="323" t="s">
        <v>11927</v>
      </c>
      <c r="D4140" s="326" t="s">
        <v>11925</v>
      </c>
    </row>
    <row r="4141" spans="1:4">
      <c r="A4141" s="324" t="s">
        <v>11928</v>
      </c>
      <c r="B4141" s="324" t="s">
        <v>11929</v>
      </c>
      <c r="C4141" s="323" t="s">
        <v>11930</v>
      </c>
      <c r="D4141" s="326" t="s">
        <v>11928</v>
      </c>
    </row>
    <row r="4142" spans="1:4">
      <c r="A4142" s="324" t="s">
        <v>11931</v>
      </c>
      <c r="B4142" s="324" t="s">
        <v>11932</v>
      </c>
      <c r="C4142" s="323" t="s">
        <v>11933</v>
      </c>
      <c r="D4142" s="326" t="s">
        <v>11931</v>
      </c>
    </row>
    <row r="4143" spans="1:4">
      <c r="A4143" s="324" t="s">
        <v>5775</v>
      </c>
      <c r="B4143" s="324" t="s">
        <v>11934</v>
      </c>
      <c r="C4143" s="323" t="s">
        <v>11935</v>
      </c>
      <c r="D4143" s="326" t="s">
        <v>5775</v>
      </c>
    </row>
    <row r="4144" spans="1:4">
      <c r="A4144" s="324" t="s">
        <v>11936</v>
      </c>
      <c r="B4144" s="324" t="s">
        <v>11937</v>
      </c>
      <c r="C4144" s="323" t="s">
        <v>11938</v>
      </c>
      <c r="D4144" s="326" t="s">
        <v>11936</v>
      </c>
    </row>
    <row r="4145" spans="1:4">
      <c r="A4145" s="324" t="s">
        <v>2310</v>
      </c>
      <c r="B4145" s="324" t="s">
        <v>2311</v>
      </c>
      <c r="C4145" s="323" t="s">
        <v>11939</v>
      </c>
      <c r="D4145" s="326" t="s">
        <v>11940</v>
      </c>
    </row>
    <row r="4146" spans="1:4">
      <c r="A4146" s="324" t="s">
        <v>11941</v>
      </c>
      <c r="B4146" s="324" t="s">
        <v>11942</v>
      </c>
      <c r="C4146" s="323" t="s">
        <v>11943</v>
      </c>
      <c r="D4146" s="326" t="s">
        <v>11944</v>
      </c>
    </row>
    <row r="4147" spans="1:4">
      <c r="A4147" s="324" t="s">
        <v>11945</v>
      </c>
      <c r="B4147" s="324" t="s">
        <v>11946</v>
      </c>
      <c r="C4147" s="323" t="s">
        <v>11947</v>
      </c>
      <c r="D4147" s="326" t="s">
        <v>11945</v>
      </c>
    </row>
    <row r="4148" spans="1:4">
      <c r="A4148" s="324" t="s">
        <v>11948</v>
      </c>
      <c r="B4148" s="324" t="s">
        <v>11949</v>
      </c>
      <c r="C4148" s="323" t="s">
        <v>11950</v>
      </c>
      <c r="D4148" s="326" t="s">
        <v>11948</v>
      </c>
    </row>
    <row r="4149" spans="1:4">
      <c r="A4149" s="324" t="s">
        <v>11951</v>
      </c>
      <c r="B4149" s="324" t="s">
        <v>11952</v>
      </c>
      <c r="C4149" s="323" t="s">
        <v>11953</v>
      </c>
      <c r="D4149" s="326" t="s">
        <v>11951</v>
      </c>
    </row>
    <row r="4150" spans="1:4">
      <c r="A4150" s="324" t="s">
        <v>11954</v>
      </c>
      <c r="B4150" s="324" t="s">
        <v>11955</v>
      </c>
      <c r="C4150" s="323" t="s">
        <v>11956</v>
      </c>
      <c r="D4150" s="326" t="s">
        <v>11954</v>
      </c>
    </row>
    <row r="4151" spans="1:4">
      <c r="A4151" s="324" t="s">
        <v>11957</v>
      </c>
      <c r="B4151" s="324" t="s">
        <v>11958</v>
      </c>
      <c r="C4151" s="323" t="s">
        <v>11959</v>
      </c>
      <c r="D4151" s="326" t="s">
        <v>11957</v>
      </c>
    </row>
    <row r="4152" spans="1:4">
      <c r="A4152" s="324" t="s">
        <v>11960</v>
      </c>
      <c r="B4152" s="324" t="s">
        <v>11961</v>
      </c>
      <c r="C4152" s="323" t="s">
        <v>11962</v>
      </c>
      <c r="D4152" s="326" t="s">
        <v>11960</v>
      </c>
    </row>
    <row r="4153" spans="1:4">
      <c r="A4153" s="324" t="s">
        <v>11963</v>
      </c>
      <c r="B4153" s="324" t="s">
        <v>11964</v>
      </c>
      <c r="C4153" s="323" t="s">
        <v>11965</v>
      </c>
      <c r="D4153" s="326" t="s">
        <v>11963</v>
      </c>
    </row>
    <row r="4154" spans="1:4">
      <c r="A4154" s="324" t="s">
        <v>2406</v>
      </c>
      <c r="B4154" s="324" t="s">
        <v>2407</v>
      </c>
      <c r="C4154" s="323" t="s">
        <v>11966</v>
      </c>
      <c r="D4154" s="326" t="s">
        <v>2406</v>
      </c>
    </row>
    <row r="4155" spans="1:4">
      <c r="A4155" s="324" t="s">
        <v>2412</v>
      </c>
      <c r="B4155" s="324" t="s">
        <v>2413</v>
      </c>
      <c r="C4155" s="323" t="s">
        <v>2414</v>
      </c>
      <c r="D4155" s="326" t="s">
        <v>2412</v>
      </c>
    </row>
    <row r="4156" spans="1:4">
      <c r="A4156" s="324" t="s">
        <v>6918</v>
      </c>
      <c r="B4156" s="324" t="s">
        <v>6917</v>
      </c>
      <c r="C4156" s="323" t="s">
        <v>11967</v>
      </c>
      <c r="D4156" s="326" t="s">
        <v>6918</v>
      </c>
    </row>
    <row r="4157" spans="1:4">
      <c r="A4157" s="324" t="s">
        <v>6920</v>
      </c>
      <c r="B4157" s="324" t="s">
        <v>6919</v>
      </c>
      <c r="C4157" s="323" t="s">
        <v>11968</v>
      </c>
      <c r="D4157" s="326" t="s">
        <v>6920</v>
      </c>
    </row>
    <row r="4158" spans="1:4">
      <c r="A4158" s="324" t="s">
        <v>11969</v>
      </c>
      <c r="B4158" s="324" t="s">
        <v>8956</v>
      </c>
      <c r="C4158" s="323" t="s">
        <v>11970</v>
      </c>
      <c r="D4158" s="326" t="s">
        <v>11969</v>
      </c>
    </row>
    <row r="4159" spans="1:4">
      <c r="A4159" s="324" t="s">
        <v>8183</v>
      </c>
      <c r="B4159" s="324" t="s">
        <v>8181</v>
      </c>
      <c r="C4159" s="323" t="s">
        <v>11971</v>
      </c>
      <c r="D4159" s="326" t="s">
        <v>8183</v>
      </c>
    </row>
    <row r="4160" spans="1:4">
      <c r="A4160" s="324" t="s">
        <v>11972</v>
      </c>
      <c r="B4160" s="324" t="s">
        <v>11973</v>
      </c>
      <c r="C4160" s="323" t="s">
        <v>11974</v>
      </c>
      <c r="D4160" s="326" t="s">
        <v>11972</v>
      </c>
    </row>
    <row r="4161" spans="1:4">
      <c r="A4161" s="324" t="s">
        <v>11975</v>
      </c>
      <c r="B4161" s="324" t="s">
        <v>11976</v>
      </c>
      <c r="C4161" s="323" t="s">
        <v>11977</v>
      </c>
      <c r="D4161" s="326" t="s">
        <v>11975</v>
      </c>
    </row>
    <row r="4162" spans="1:4">
      <c r="A4162" s="324" t="s">
        <v>11978</v>
      </c>
      <c r="B4162" s="324" t="s">
        <v>11979</v>
      </c>
      <c r="C4162" s="323" t="s">
        <v>11980</v>
      </c>
      <c r="D4162" s="326" t="s">
        <v>11978</v>
      </c>
    </row>
    <row r="4163" spans="1:4">
      <c r="A4163" s="324" t="s">
        <v>11981</v>
      </c>
      <c r="B4163" s="324" t="s">
        <v>11982</v>
      </c>
      <c r="C4163" s="323" t="s">
        <v>11983</v>
      </c>
      <c r="D4163" s="326" t="s">
        <v>11981</v>
      </c>
    </row>
    <row r="4164" spans="1:4">
      <c r="A4164" s="324" t="s">
        <v>11984</v>
      </c>
      <c r="B4164" s="324" t="s">
        <v>11985</v>
      </c>
      <c r="C4164" s="323" t="s">
        <v>11986</v>
      </c>
      <c r="D4164" s="326" t="s">
        <v>11984</v>
      </c>
    </row>
    <row r="4165" spans="1:4">
      <c r="A4165" s="324" t="s">
        <v>11987</v>
      </c>
      <c r="B4165" s="324" t="s">
        <v>11988</v>
      </c>
      <c r="C4165" s="323" t="s">
        <v>11989</v>
      </c>
      <c r="D4165" s="326" t="s">
        <v>11987</v>
      </c>
    </row>
    <row r="4166" spans="1:4">
      <c r="A4166" s="324" t="s">
        <v>11990</v>
      </c>
      <c r="B4166" s="324" t="s">
        <v>11991</v>
      </c>
      <c r="C4166" s="323" t="s">
        <v>11992</v>
      </c>
      <c r="D4166" s="326" t="s">
        <v>11990</v>
      </c>
    </row>
    <row r="4167" spans="1:4">
      <c r="A4167" s="324" t="s">
        <v>11993</v>
      </c>
      <c r="B4167" s="324" t="s">
        <v>11994</v>
      </c>
      <c r="C4167" s="323" t="s">
        <v>11995</v>
      </c>
      <c r="D4167" s="326" t="s">
        <v>11993</v>
      </c>
    </row>
    <row r="4168" spans="1:4">
      <c r="A4168" s="324" t="s">
        <v>11996</v>
      </c>
      <c r="B4168" s="324" t="s">
        <v>11997</v>
      </c>
      <c r="C4168" s="323" t="s">
        <v>11998</v>
      </c>
      <c r="D4168" s="326" t="s">
        <v>11996</v>
      </c>
    </row>
    <row r="4169" spans="1:4">
      <c r="A4169" s="324" t="s">
        <v>11999</v>
      </c>
      <c r="B4169" s="324" t="s">
        <v>12000</v>
      </c>
      <c r="C4169" s="323" t="s">
        <v>12001</v>
      </c>
      <c r="D4169" s="326" t="s">
        <v>11999</v>
      </c>
    </row>
    <row r="4170" spans="1:4">
      <c r="A4170" s="324" t="s">
        <v>12002</v>
      </c>
      <c r="B4170" s="324" t="s">
        <v>12003</v>
      </c>
      <c r="C4170" s="323" t="s">
        <v>12004</v>
      </c>
      <c r="D4170" s="326" t="s">
        <v>12002</v>
      </c>
    </row>
    <row r="4171" spans="1:4">
      <c r="A4171" s="324" t="s">
        <v>12005</v>
      </c>
      <c r="B4171" s="324" t="s">
        <v>12006</v>
      </c>
      <c r="C4171" s="323" t="s">
        <v>12007</v>
      </c>
      <c r="D4171" s="326" t="s">
        <v>12005</v>
      </c>
    </row>
    <row r="4172" spans="1:4">
      <c r="A4172" s="324" t="s">
        <v>8155</v>
      </c>
      <c r="B4172" s="324" t="s">
        <v>2517</v>
      </c>
      <c r="C4172" s="323" t="s">
        <v>12008</v>
      </c>
      <c r="D4172" s="326" t="s">
        <v>8155</v>
      </c>
    </row>
    <row r="4173" spans="1:4">
      <c r="A4173" s="324" t="s">
        <v>2507</v>
      </c>
      <c r="B4173" s="324" t="s">
        <v>12009</v>
      </c>
      <c r="C4173" s="323" t="s">
        <v>12010</v>
      </c>
      <c r="D4173" s="326" t="s">
        <v>2507</v>
      </c>
    </row>
    <row r="4174" spans="1:4">
      <c r="A4174" s="324" t="s">
        <v>12011</v>
      </c>
      <c r="B4174" s="324" t="s">
        <v>12012</v>
      </c>
      <c r="C4174" s="323" t="s">
        <v>12013</v>
      </c>
      <c r="D4174" s="326" t="s">
        <v>12011</v>
      </c>
    </row>
    <row r="4175" spans="1:4">
      <c r="A4175" s="324" t="s">
        <v>12014</v>
      </c>
      <c r="B4175" s="324" t="s">
        <v>12015</v>
      </c>
      <c r="C4175" s="323" t="s">
        <v>12016</v>
      </c>
      <c r="D4175" s="326" t="s">
        <v>12014</v>
      </c>
    </row>
    <row r="4176" spans="1:4">
      <c r="A4176" s="324" t="s">
        <v>12017</v>
      </c>
      <c r="B4176" s="324" t="s">
        <v>12018</v>
      </c>
      <c r="C4176" s="323" t="s">
        <v>12019</v>
      </c>
      <c r="D4176" s="326" t="s">
        <v>12017</v>
      </c>
    </row>
    <row r="4177" spans="1:4">
      <c r="A4177" s="324" t="s">
        <v>12020</v>
      </c>
      <c r="B4177" s="324" t="s">
        <v>12021</v>
      </c>
      <c r="C4177" s="323" t="s">
        <v>12022</v>
      </c>
      <c r="D4177" s="326" t="s">
        <v>12020</v>
      </c>
    </row>
    <row r="4178" spans="1:4">
      <c r="A4178" s="324" t="s">
        <v>12023</v>
      </c>
      <c r="B4178" s="324" t="s">
        <v>12024</v>
      </c>
      <c r="C4178" s="323" t="s">
        <v>12025</v>
      </c>
      <c r="D4178" s="326" t="s">
        <v>12023</v>
      </c>
    </row>
    <row r="4179" spans="1:4">
      <c r="A4179" s="324" t="s">
        <v>12026</v>
      </c>
      <c r="B4179" s="324" t="s">
        <v>12027</v>
      </c>
      <c r="C4179" s="323" t="s">
        <v>12028</v>
      </c>
      <c r="D4179" s="326" t="s">
        <v>12026</v>
      </c>
    </row>
    <row r="4180" spans="1:4">
      <c r="A4180" s="324" t="s">
        <v>12029</v>
      </c>
      <c r="B4180" s="324" t="s">
        <v>12030</v>
      </c>
      <c r="C4180" s="323" t="s">
        <v>12031</v>
      </c>
      <c r="D4180" s="326" t="s">
        <v>12029</v>
      </c>
    </row>
    <row r="4181" spans="1:4">
      <c r="A4181" s="324" t="s">
        <v>12032</v>
      </c>
      <c r="B4181" s="324" t="s">
        <v>12033</v>
      </c>
      <c r="C4181" s="323" t="s">
        <v>12034</v>
      </c>
      <c r="D4181" s="326" t="s">
        <v>12032</v>
      </c>
    </row>
    <row r="4182" spans="1:4">
      <c r="A4182" s="324" t="s">
        <v>12035</v>
      </c>
      <c r="B4182" s="324" t="s">
        <v>12036</v>
      </c>
      <c r="C4182" s="323" t="s">
        <v>12037</v>
      </c>
      <c r="D4182" s="326" t="s">
        <v>12035</v>
      </c>
    </row>
    <row r="4183" spans="1:4">
      <c r="A4183" s="324" t="s">
        <v>12038</v>
      </c>
      <c r="B4183" s="324" t="s">
        <v>12039</v>
      </c>
      <c r="C4183" s="323" t="s">
        <v>12040</v>
      </c>
      <c r="D4183" s="326" t="s">
        <v>12038</v>
      </c>
    </row>
    <row r="4184" spans="1:4">
      <c r="A4184" s="324" t="s">
        <v>12041</v>
      </c>
      <c r="B4184" s="324" t="s">
        <v>12042</v>
      </c>
      <c r="C4184" s="323" t="s">
        <v>12043</v>
      </c>
      <c r="D4184" s="326" t="s">
        <v>12041</v>
      </c>
    </row>
    <row r="4185" spans="1:4">
      <c r="A4185" s="324" t="s">
        <v>12044</v>
      </c>
      <c r="B4185" s="324" t="s">
        <v>12045</v>
      </c>
      <c r="C4185" s="323" t="s">
        <v>12046</v>
      </c>
      <c r="D4185" s="326" t="s">
        <v>12044</v>
      </c>
    </row>
    <row r="4186" spans="1:4">
      <c r="A4186" s="324" t="s">
        <v>12047</v>
      </c>
      <c r="B4186" s="324" t="s">
        <v>12048</v>
      </c>
      <c r="C4186" s="323" t="s">
        <v>12049</v>
      </c>
      <c r="D4186" s="326" t="s">
        <v>12047</v>
      </c>
    </row>
    <row r="4187" spans="1:4">
      <c r="A4187" s="324" t="s">
        <v>12050</v>
      </c>
      <c r="B4187" s="324" t="s">
        <v>12051</v>
      </c>
      <c r="C4187" s="323" t="s">
        <v>12052</v>
      </c>
      <c r="D4187" s="326" t="s">
        <v>12050</v>
      </c>
    </row>
    <row r="4188" spans="1:4">
      <c r="A4188" s="324" t="s">
        <v>12053</v>
      </c>
      <c r="B4188" s="324" t="s">
        <v>12054</v>
      </c>
      <c r="C4188" s="323" t="s">
        <v>12055</v>
      </c>
      <c r="D4188" s="326" t="s">
        <v>12053</v>
      </c>
    </row>
    <row r="4189" spans="1:4">
      <c r="A4189" s="324" t="s">
        <v>12056</v>
      </c>
      <c r="B4189" s="324" t="s">
        <v>12057</v>
      </c>
      <c r="C4189" s="323" t="s">
        <v>12058</v>
      </c>
      <c r="D4189" s="326" t="s">
        <v>12056</v>
      </c>
    </row>
    <row r="4190" spans="1:4">
      <c r="A4190" s="324" t="s">
        <v>12059</v>
      </c>
      <c r="B4190" s="324" t="s">
        <v>12060</v>
      </c>
      <c r="C4190" s="323" t="s">
        <v>12061</v>
      </c>
      <c r="D4190" s="326" t="s">
        <v>12059</v>
      </c>
    </row>
    <row r="4191" spans="1:4">
      <c r="A4191" s="324" t="s">
        <v>12062</v>
      </c>
      <c r="B4191" s="324" t="s">
        <v>12063</v>
      </c>
      <c r="C4191" s="323" t="s">
        <v>12061</v>
      </c>
      <c r="D4191" s="326" t="s">
        <v>12062</v>
      </c>
    </row>
    <row r="4192" spans="1:4">
      <c r="A4192" s="324" t="s">
        <v>8987</v>
      </c>
      <c r="B4192" s="324" t="s">
        <v>8986</v>
      </c>
      <c r="C4192" s="323" t="s">
        <v>12064</v>
      </c>
      <c r="D4192" s="326" t="s">
        <v>8987</v>
      </c>
    </row>
    <row r="4193" spans="1:4">
      <c r="A4193" s="324" t="s">
        <v>12065</v>
      </c>
      <c r="B4193" s="324" t="s">
        <v>12066</v>
      </c>
      <c r="C4193" s="323" t="s">
        <v>12067</v>
      </c>
      <c r="D4193" s="326" t="s">
        <v>12065</v>
      </c>
    </row>
    <row r="4194" spans="1:4">
      <c r="A4194" s="324" t="s">
        <v>12068</v>
      </c>
      <c r="B4194" s="324" t="s">
        <v>12069</v>
      </c>
      <c r="C4194" s="323" t="s">
        <v>12070</v>
      </c>
      <c r="D4194" s="326" t="s">
        <v>12068</v>
      </c>
    </row>
    <row r="4195" spans="1:4">
      <c r="A4195" s="324" t="s">
        <v>12071</v>
      </c>
      <c r="B4195" s="324" t="s">
        <v>12072</v>
      </c>
      <c r="C4195" s="323" t="s">
        <v>12073</v>
      </c>
      <c r="D4195" s="326" t="s">
        <v>12071</v>
      </c>
    </row>
    <row r="4196" spans="1:4">
      <c r="A4196" s="324" t="s">
        <v>12074</v>
      </c>
      <c r="B4196" s="324" t="s">
        <v>12075</v>
      </c>
      <c r="C4196" s="323" t="s">
        <v>12076</v>
      </c>
      <c r="D4196" s="326" t="s">
        <v>12074</v>
      </c>
    </row>
    <row r="4197" spans="1:4">
      <c r="A4197" s="324" t="s">
        <v>12077</v>
      </c>
      <c r="B4197" s="324" t="s">
        <v>12078</v>
      </c>
      <c r="C4197" s="323" t="s">
        <v>12079</v>
      </c>
      <c r="D4197" s="326" t="s">
        <v>12077</v>
      </c>
    </row>
    <row r="4198" spans="1:4">
      <c r="A4198" s="324" t="s">
        <v>12080</v>
      </c>
      <c r="B4198" s="324" t="s">
        <v>12081</v>
      </c>
      <c r="C4198" s="323" t="s">
        <v>12082</v>
      </c>
      <c r="D4198" s="326" t="s">
        <v>12080</v>
      </c>
    </row>
    <row r="4199" spans="1:4">
      <c r="A4199" s="324" t="s">
        <v>12083</v>
      </c>
      <c r="B4199" s="324" t="s">
        <v>12084</v>
      </c>
      <c r="C4199" s="323" t="s">
        <v>12085</v>
      </c>
      <c r="D4199" s="326" t="s">
        <v>12083</v>
      </c>
    </row>
    <row r="4200" spans="1:4">
      <c r="A4200" s="324" t="s">
        <v>12086</v>
      </c>
      <c r="B4200" s="324" t="s">
        <v>12087</v>
      </c>
      <c r="C4200" s="323" t="s">
        <v>12088</v>
      </c>
      <c r="D4200" s="326" t="s">
        <v>12086</v>
      </c>
    </row>
    <row r="4201" spans="1:4">
      <c r="A4201" s="324" t="s">
        <v>2589</v>
      </c>
      <c r="B4201" s="324" t="s">
        <v>12089</v>
      </c>
      <c r="C4201" s="323" t="s">
        <v>12090</v>
      </c>
      <c r="D4201" s="326" t="s">
        <v>2589</v>
      </c>
    </row>
    <row r="4202" spans="1:4">
      <c r="A4202" s="324" t="s">
        <v>12091</v>
      </c>
      <c r="B4202" s="324" t="s">
        <v>12092</v>
      </c>
      <c r="C4202" s="323" t="s">
        <v>12093</v>
      </c>
      <c r="D4202" s="326" t="s">
        <v>12091</v>
      </c>
    </row>
    <row r="4203" spans="1:4">
      <c r="A4203" s="324" t="s">
        <v>12094</v>
      </c>
      <c r="B4203" s="324" t="s">
        <v>12095</v>
      </c>
      <c r="C4203" s="323" t="s">
        <v>12096</v>
      </c>
      <c r="D4203" s="325" t="s">
        <v>12097</v>
      </c>
    </row>
    <row r="4204" spans="1:4">
      <c r="A4204" s="324" t="s">
        <v>12098</v>
      </c>
      <c r="B4204" s="324" t="s">
        <v>12099</v>
      </c>
      <c r="C4204" s="323" t="s">
        <v>12100</v>
      </c>
      <c r="D4204" s="325" t="s">
        <v>12097</v>
      </c>
    </row>
    <row r="4205" spans="1:4">
      <c r="A4205" s="324" t="s">
        <v>6565</v>
      </c>
      <c r="B4205" s="324" t="s">
        <v>12101</v>
      </c>
      <c r="C4205" s="323" t="s">
        <v>12102</v>
      </c>
      <c r="D4205" s="327" t="s">
        <v>12103</v>
      </c>
    </row>
    <row r="4206" spans="1:4">
      <c r="A4206" s="324" t="s">
        <v>12104</v>
      </c>
      <c r="B4206" s="324" t="s">
        <v>12105</v>
      </c>
      <c r="C4206" s="323" t="s">
        <v>12106</v>
      </c>
      <c r="D4206" s="326" t="s">
        <v>12104</v>
      </c>
    </row>
    <row r="4207" spans="1:4">
      <c r="A4207" s="324" t="s">
        <v>12107</v>
      </c>
      <c r="B4207" s="324" t="s">
        <v>12108</v>
      </c>
      <c r="C4207" s="323" t="s">
        <v>12109</v>
      </c>
      <c r="D4207" s="326" t="s">
        <v>12107</v>
      </c>
    </row>
    <row r="4208" spans="1:4">
      <c r="A4208" s="324" t="s">
        <v>12110</v>
      </c>
      <c r="B4208" s="324" t="s">
        <v>12111</v>
      </c>
      <c r="C4208" s="323" t="s">
        <v>12112</v>
      </c>
      <c r="D4208" s="326" t="s">
        <v>12110</v>
      </c>
    </row>
    <row r="4209" spans="1:4">
      <c r="A4209" s="324" t="s">
        <v>12113</v>
      </c>
      <c r="B4209" s="324" t="s">
        <v>12114</v>
      </c>
      <c r="C4209" s="323" t="s">
        <v>12115</v>
      </c>
      <c r="D4209" s="326" t="s">
        <v>12113</v>
      </c>
    </row>
    <row r="4210" spans="1:4">
      <c r="A4210" s="324" t="s">
        <v>12116</v>
      </c>
      <c r="B4210" s="324" t="s">
        <v>7005</v>
      </c>
      <c r="C4210" s="323" t="s">
        <v>12117</v>
      </c>
      <c r="D4210" s="326" t="s">
        <v>12116</v>
      </c>
    </row>
    <row r="4211" spans="1:4">
      <c r="A4211" s="324" t="s">
        <v>2646</v>
      </c>
      <c r="B4211" s="324" t="s">
        <v>7004</v>
      </c>
      <c r="C4211" s="323" t="s">
        <v>12118</v>
      </c>
      <c r="D4211" s="326" t="s">
        <v>2646</v>
      </c>
    </row>
    <row r="4212" spans="1:4">
      <c r="A4212" s="324" t="s">
        <v>12119</v>
      </c>
      <c r="B4212" s="324" t="s">
        <v>12120</v>
      </c>
      <c r="C4212" s="323" t="s">
        <v>12121</v>
      </c>
      <c r="D4212" s="326" t="s">
        <v>12119</v>
      </c>
    </row>
    <row r="4213" spans="1:4">
      <c r="A4213" s="324" t="s">
        <v>2562</v>
      </c>
      <c r="B4213" s="324" t="s">
        <v>12122</v>
      </c>
      <c r="C4213" s="323" t="s">
        <v>12123</v>
      </c>
      <c r="D4213" s="326" t="s">
        <v>2562</v>
      </c>
    </row>
    <row r="4214" spans="1:4">
      <c r="A4214" s="324" t="s">
        <v>12124</v>
      </c>
      <c r="B4214" s="324" t="s">
        <v>12125</v>
      </c>
      <c r="C4214" s="323" t="s">
        <v>12126</v>
      </c>
      <c r="D4214" s="326" t="s">
        <v>3443</v>
      </c>
    </row>
    <row r="4215" spans="1:4">
      <c r="A4215" s="324" t="s">
        <v>12127</v>
      </c>
      <c r="B4215" s="324" t="s">
        <v>12128</v>
      </c>
      <c r="C4215" s="323" t="s">
        <v>12129</v>
      </c>
      <c r="D4215" s="326" t="s">
        <v>12130</v>
      </c>
    </row>
    <row r="4216" spans="1:4">
      <c r="A4216" s="324" t="s">
        <v>12131</v>
      </c>
      <c r="B4216" s="324" t="s">
        <v>12132</v>
      </c>
      <c r="C4216" s="323" t="s">
        <v>12133</v>
      </c>
      <c r="D4216" s="326" t="s">
        <v>12131</v>
      </c>
    </row>
    <row r="4217" spans="1:4">
      <c r="A4217" s="324" t="s">
        <v>12134</v>
      </c>
      <c r="B4217" s="324" t="s">
        <v>12135</v>
      </c>
      <c r="C4217" s="323" t="s">
        <v>12136</v>
      </c>
      <c r="D4217" s="326" t="s">
        <v>12134</v>
      </c>
    </row>
    <row r="4218" spans="1:4">
      <c r="A4218" s="324" t="s">
        <v>12137</v>
      </c>
      <c r="B4218" s="324" t="s">
        <v>12138</v>
      </c>
      <c r="C4218" s="323" t="s">
        <v>12139</v>
      </c>
      <c r="D4218" s="326" t="s">
        <v>12137</v>
      </c>
    </row>
    <row r="4219" spans="1:4">
      <c r="A4219" s="324" t="s">
        <v>12140</v>
      </c>
      <c r="B4219" s="324" t="s">
        <v>12141</v>
      </c>
      <c r="C4219" s="323" t="s">
        <v>12142</v>
      </c>
      <c r="D4219" s="326" t="s">
        <v>12140</v>
      </c>
    </row>
    <row r="4220" spans="1:4">
      <c r="A4220" s="324" t="s">
        <v>12143</v>
      </c>
      <c r="B4220" s="324" t="s">
        <v>12144</v>
      </c>
      <c r="C4220" s="323" t="s">
        <v>12145</v>
      </c>
      <c r="D4220" s="326" t="s">
        <v>12146</v>
      </c>
    </row>
    <row r="4221" spans="1:4">
      <c r="A4221" s="324" t="s">
        <v>12147</v>
      </c>
      <c r="B4221" s="324" t="s">
        <v>12148</v>
      </c>
      <c r="C4221" s="323" t="s">
        <v>12149</v>
      </c>
      <c r="D4221" s="325" t="s">
        <v>12150</v>
      </c>
    </row>
    <row r="4222" spans="1:4">
      <c r="A4222" s="324" t="s">
        <v>12151</v>
      </c>
      <c r="B4222" s="324" t="s">
        <v>12152</v>
      </c>
      <c r="C4222" s="323" t="s">
        <v>12153</v>
      </c>
      <c r="D4222" s="326" t="s">
        <v>12151</v>
      </c>
    </row>
    <row r="4223" spans="1:4">
      <c r="A4223" s="324" t="s">
        <v>12154</v>
      </c>
      <c r="B4223" s="324" t="s">
        <v>12155</v>
      </c>
      <c r="C4223" s="323" t="s">
        <v>12156</v>
      </c>
      <c r="D4223" s="326" t="s">
        <v>12154</v>
      </c>
    </row>
    <row r="4224" spans="1:4">
      <c r="A4224" s="324" t="s">
        <v>12157</v>
      </c>
      <c r="B4224" s="324" t="s">
        <v>12158</v>
      </c>
      <c r="C4224" s="323" t="s">
        <v>12159</v>
      </c>
      <c r="D4224" s="326" t="s">
        <v>12157</v>
      </c>
    </row>
    <row r="4225" spans="1:4">
      <c r="A4225" s="324" t="s">
        <v>12160</v>
      </c>
      <c r="B4225" s="324" t="s">
        <v>12161</v>
      </c>
      <c r="C4225" s="323" t="s">
        <v>12162</v>
      </c>
      <c r="D4225" s="325" t="s">
        <v>12163</v>
      </c>
    </row>
    <row r="4226" spans="1:4">
      <c r="A4226" s="324" t="s">
        <v>12164</v>
      </c>
      <c r="B4226" s="324" t="s">
        <v>12165</v>
      </c>
      <c r="C4226" s="323" t="s">
        <v>12166</v>
      </c>
      <c r="D4226" s="325" t="s">
        <v>12167</v>
      </c>
    </row>
    <row r="4227" spans="1:4">
      <c r="A4227" s="324" t="s">
        <v>12168</v>
      </c>
      <c r="B4227" s="324" t="s">
        <v>12169</v>
      </c>
      <c r="C4227" s="323" t="s">
        <v>12170</v>
      </c>
      <c r="D4227" s="325" t="s">
        <v>12171</v>
      </c>
    </row>
    <row r="4228" spans="1:4">
      <c r="A4228" s="324" t="s">
        <v>12172</v>
      </c>
      <c r="B4228" s="324" t="s">
        <v>12173</v>
      </c>
      <c r="C4228" s="323" t="s">
        <v>12174</v>
      </c>
      <c r="D4228" s="325" t="s">
        <v>12175</v>
      </c>
    </row>
    <row r="4229" spans="1:4">
      <c r="A4229" s="324" t="s">
        <v>12176</v>
      </c>
      <c r="B4229" s="324" t="s">
        <v>12177</v>
      </c>
      <c r="C4229" s="323" t="s">
        <v>12178</v>
      </c>
      <c r="D4229" s="325" t="s">
        <v>12179</v>
      </c>
    </row>
    <row r="4230" spans="1:4">
      <c r="A4230" s="324" t="s">
        <v>12180</v>
      </c>
      <c r="B4230" s="324" t="s">
        <v>12181</v>
      </c>
      <c r="C4230" s="323" t="s">
        <v>12182</v>
      </c>
      <c r="D4230" s="325" t="s">
        <v>12183</v>
      </c>
    </row>
    <row r="4231" spans="1:4">
      <c r="A4231" s="324" t="s">
        <v>12184</v>
      </c>
      <c r="B4231" s="324" t="s">
        <v>8651</v>
      </c>
      <c r="C4231" s="323" t="s">
        <v>12185</v>
      </c>
      <c r="D4231" s="328" t="s">
        <v>12186</v>
      </c>
    </row>
    <row r="4232" spans="1:4">
      <c r="A4232" s="324" t="s">
        <v>12187</v>
      </c>
      <c r="B4232" s="324" t="s">
        <v>12188</v>
      </c>
      <c r="C4232" s="323" t="s">
        <v>12189</v>
      </c>
      <c r="D4232" s="325" t="s">
        <v>12190</v>
      </c>
    </row>
    <row r="4233" spans="1:4">
      <c r="A4233" s="324" t="s">
        <v>2668</v>
      </c>
      <c r="B4233" s="324" t="s">
        <v>12188</v>
      </c>
      <c r="C4233" s="323" t="s">
        <v>12189</v>
      </c>
      <c r="D4233" s="325" t="s">
        <v>12191</v>
      </c>
    </row>
    <row r="4234" spans="1:4">
      <c r="A4234" s="324" t="s">
        <v>12192</v>
      </c>
      <c r="B4234" s="324" t="s">
        <v>12193</v>
      </c>
      <c r="C4234" s="323" t="s">
        <v>12194</v>
      </c>
      <c r="D4234" s="325" t="s">
        <v>12195</v>
      </c>
    </row>
    <row r="4235" spans="1:4">
      <c r="A4235" s="324" t="s">
        <v>6083</v>
      </c>
      <c r="B4235" s="324" t="s">
        <v>12196</v>
      </c>
      <c r="C4235" s="323" t="s">
        <v>12197</v>
      </c>
      <c r="D4235" s="325" t="s">
        <v>12198</v>
      </c>
    </row>
    <row r="4236" spans="1:4">
      <c r="A4236" s="324" t="s">
        <v>12199</v>
      </c>
      <c r="B4236" s="324" t="s">
        <v>12200</v>
      </c>
      <c r="C4236" s="323" t="s">
        <v>12201</v>
      </c>
      <c r="D4236" s="325" t="s">
        <v>12202</v>
      </c>
    </row>
    <row r="4237" spans="1:4">
      <c r="A4237" s="324" t="s">
        <v>12203</v>
      </c>
      <c r="B4237" s="324" t="s">
        <v>12204</v>
      </c>
      <c r="C4237" s="323" t="s">
        <v>12205</v>
      </c>
      <c r="D4237" s="325" t="s">
        <v>12206</v>
      </c>
    </row>
    <row r="4238" spans="1:4">
      <c r="A4238" s="324" t="s">
        <v>12207</v>
      </c>
      <c r="B4238" s="324" t="s">
        <v>12208</v>
      </c>
      <c r="C4238" s="323" t="s">
        <v>12209</v>
      </c>
      <c r="D4238" s="325" t="s">
        <v>12210</v>
      </c>
    </row>
    <row r="4239" spans="1:4">
      <c r="A4239" s="324" t="s">
        <v>12211</v>
      </c>
      <c r="B4239" s="324" t="s">
        <v>12212</v>
      </c>
      <c r="C4239" s="323" t="s">
        <v>12213</v>
      </c>
      <c r="D4239" s="325" t="s">
        <v>12214</v>
      </c>
    </row>
    <row r="4240" spans="1:4">
      <c r="A4240" s="324" t="s">
        <v>12215</v>
      </c>
      <c r="B4240" s="324" t="s">
        <v>12216</v>
      </c>
      <c r="C4240" s="323" t="s">
        <v>12217</v>
      </c>
      <c r="D4240" s="325" t="s">
        <v>12218</v>
      </c>
    </row>
    <row r="4241" spans="1:4">
      <c r="A4241" s="324" t="s">
        <v>2696</v>
      </c>
      <c r="B4241" s="324" t="s">
        <v>2697</v>
      </c>
      <c r="C4241" s="323" t="s">
        <v>2699</v>
      </c>
      <c r="D4241" s="326" t="s">
        <v>12219</v>
      </c>
    </row>
    <row r="4242" spans="1:4">
      <c r="A4242" s="324" t="s">
        <v>12220</v>
      </c>
      <c r="B4242" s="324" t="s">
        <v>12221</v>
      </c>
      <c r="C4242" s="323" t="s">
        <v>12222</v>
      </c>
      <c r="D4242" s="325" t="s">
        <v>12223</v>
      </c>
    </row>
    <row r="4243" spans="1:4">
      <c r="A4243" s="324" t="s">
        <v>12224</v>
      </c>
      <c r="B4243" s="324" t="s">
        <v>12225</v>
      </c>
      <c r="C4243" s="323" t="s">
        <v>12226</v>
      </c>
      <c r="D4243" s="326" t="s">
        <v>12227</v>
      </c>
    </row>
    <row r="4244" spans="1:4">
      <c r="A4244" s="324" t="s">
        <v>12228</v>
      </c>
      <c r="B4244" s="324" t="s">
        <v>12229</v>
      </c>
      <c r="C4244" s="323" t="s">
        <v>12230</v>
      </c>
      <c r="D4244" s="326" t="s">
        <v>12231</v>
      </c>
    </row>
    <row r="4245" spans="1:4">
      <c r="A4245" s="324" t="s">
        <v>12232</v>
      </c>
      <c r="B4245" s="324" t="s">
        <v>12233</v>
      </c>
      <c r="C4245" s="323" t="s">
        <v>12234</v>
      </c>
      <c r="D4245" s="326" t="s">
        <v>12235</v>
      </c>
    </row>
    <row r="4246" spans="1:4">
      <c r="A4246" s="324" t="s">
        <v>12236</v>
      </c>
      <c r="B4246" s="324" t="s">
        <v>12237</v>
      </c>
      <c r="C4246" s="323" t="s">
        <v>12238</v>
      </c>
      <c r="D4246" s="325" t="s">
        <v>12239</v>
      </c>
    </row>
    <row r="4247" spans="1:4">
      <c r="A4247" s="324" t="s">
        <v>12240</v>
      </c>
      <c r="B4247" s="324" t="s">
        <v>12241</v>
      </c>
      <c r="C4247" s="323" t="s">
        <v>12242</v>
      </c>
      <c r="D4247" s="326" t="s">
        <v>12240</v>
      </c>
    </row>
    <row r="4248" spans="1:4">
      <c r="A4248" s="324" t="s">
        <v>12243</v>
      </c>
      <c r="B4248" s="324" t="s">
        <v>12244</v>
      </c>
      <c r="C4248" s="323" t="s">
        <v>12245</v>
      </c>
      <c r="D4248" s="326" t="s">
        <v>12243</v>
      </c>
    </row>
    <row r="4249" spans="1:4">
      <c r="A4249" s="324" t="s">
        <v>12246</v>
      </c>
      <c r="B4249" s="324" t="s">
        <v>12247</v>
      </c>
      <c r="C4249" s="323" t="s">
        <v>12248</v>
      </c>
      <c r="D4249" s="326" t="s">
        <v>12246</v>
      </c>
    </row>
    <row r="4250" spans="1:4">
      <c r="A4250" s="324" t="s">
        <v>12249</v>
      </c>
      <c r="B4250" s="324" t="s">
        <v>12250</v>
      </c>
      <c r="C4250" s="323" t="s">
        <v>12251</v>
      </c>
      <c r="D4250" s="326" t="s">
        <v>12249</v>
      </c>
    </row>
    <row r="4251" spans="1:4">
      <c r="A4251" s="324" t="s">
        <v>2755</v>
      </c>
      <c r="B4251" s="324" t="s">
        <v>12252</v>
      </c>
      <c r="C4251" s="323" t="s">
        <v>12253</v>
      </c>
      <c r="D4251" s="326" t="s">
        <v>2755</v>
      </c>
    </row>
    <row r="4252" spans="1:4">
      <c r="A4252" s="324" t="s">
        <v>12254</v>
      </c>
      <c r="B4252" s="324" t="s">
        <v>12255</v>
      </c>
      <c r="C4252" s="323" t="s">
        <v>12256</v>
      </c>
      <c r="D4252" s="326" t="s">
        <v>12254</v>
      </c>
    </row>
    <row r="4253" spans="1:4">
      <c r="A4253" s="324" t="s">
        <v>12257</v>
      </c>
      <c r="B4253" s="324" t="s">
        <v>12258</v>
      </c>
      <c r="C4253" s="323" t="s">
        <v>12259</v>
      </c>
      <c r="D4253" s="326" t="s">
        <v>12257</v>
      </c>
    </row>
    <row r="4254" spans="1:4">
      <c r="A4254" s="324" t="s">
        <v>11477</v>
      </c>
      <c r="B4254" s="324" t="s">
        <v>12260</v>
      </c>
      <c r="C4254" s="323" t="s">
        <v>12261</v>
      </c>
      <c r="D4254" s="326" t="s">
        <v>11477</v>
      </c>
    </row>
    <row r="4255" spans="1:4">
      <c r="A4255" s="324" t="s">
        <v>12262</v>
      </c>
      <c r="B4255" s="324" t="s">
        <v>12263</v>
      </c>
      <c r="C4255" s="323" t="s">
        <v>12264</v>
      </c>
      <c r="D4255" s="326" t="s">
        <v>12262</v>
      </c>
    </row>
    <row r="4256" spans="1:4">
      <c r="A4256" s="324" t="s">
        <v>2759</v>
      </c>
      <c r="B4256" s="324" t="s">
        <v>2760</v>
      </c>
      <c r="C4256" s="323" t="s">
        <v>2760</v>
      </c>
      <c r="D4256" s="326" t="s">
        <v>12265</v>
      </c>
    </row>
    <row r="4257" spans="1:4">
      <c r="A4257" s="324" t="s">
        <v>12266</v>
      </c>
      <c r="B4257" s="324" t="s">
        <v>12267</v>
      </c>
      <c r="C4257" s="323" t="s">
        <v>12268</v>
      </c>
      <c r="D4257" s="326" t="s">
        <v>12269</v>
      </c>
    </row>
    <row r="4258" spans="1:4">
      <c r="A4258" s="324" t="s">
        <v>12270</v>
      </c>
      <c r="B4258" s="324" t="s">
        <v>12271</v>
      </c>
      <c r="C4258" s="323" t="s">
        <v>12272</v>
      </c>
      <c r="D4258" s="326" t="s">
        <v>12273</v>
      </c>
    </row>
    <row r="4259" spans="1:4">
      <c r="A4259" s="324" t="s">
        <v>12274</v>
      </c>
      <c r="B4259" s="324" t="s">
        <v>12275</v>
      </c>
      <c r="C4259" s="323" t="s">
        <v>12276</v>
      </c>
      <c r="D4259" s="326" t="s">
        <v>12274</v>
      </c>
    </row>
    <row r="4260" spans="1:4">
      <c r="A4260" s="324" t="s">
        <v>12277</v>
      </c>
      <c r="B4260" s="324" t="s">
        <v>12278</v>
      </c>
      <c r="C4260" s="323" t="s">
        <v>12279</v>
      </c>
      <c r="D4260" s="326" t="s">
        <v>12277</v>
      </c>
    </row>
    <row r="4261" spans="1:4">
      <c r="A4261" s="324" t="s">
        <v>6229</v>
      </c>
      <c r="B4261" s="324" t="s">
        <v>12280</v>
      </c>
      <c r="C4261" s="323" t="s">
        <v>12281</v>
      </c>
      <c r="D4261" s="326" t="s">
        <v>6229</v>
      </c>
    </row>
    <row r="4262" spans="1:4">
      <c r="A4262" s="324" t="s">
        <v>12282</v>
      </c>
      <c r="B4262" s="324" t="s">
        <v>12283</v>
      </c>
      <c r="C4262" s="323" t="s">
        <v>12284</v>
      </c>
      <c r="D4262" s="326" t="s">
        <v>12282</v>
      </c>
    </row>
    <row r="4263" spans="1:4">
      <c r="A4263" s="324" t="s">
        <v>2782</v>
      </c>
      <c r="B4263" s="324" t="s">
        <v>2783</v>
      </c>
      <c r="C4263" s="323" t="s">
        <v>5876</v>
      </c>
      <c r="D4263" s="326" t="s">
        <v>2782</v>
      </c>
    </row>
    <row r="4264" spans="1:4">
      <c r="A4264" s="324" t="s">
        <v>6949</v>
      </c>
      <c r="B4264" s="324" t="s">
        <v>6948</v>
      </c>
      <c r="C4264" s="323" t="s">
        <v>12285</v>
      </c>
      <c r="D4264" s="326" t="s">
        <v>6949</v>
      </c>
    </row>
    <row r="4265" spans="1:4">
      <c r="A4265" s="324" t="s">
        <v>12286</v>
      </c>
      <c r="B4265" s="324" t="s">
        <v>12287</v>
      </c>
      <c r="C4265" s="323" t="s">
        <v>12288</v>
      </c>
      <c r="D4265" s="326" t="s">
        <v>12286</v>
      </c>
    </row>
    <row r="4266" spans="1:4">
      <c r="A4266" s="324" t="s">
        <v>12289</v>
      </c>
      <c r="B4266" s="324" t="s">
        <v>12290</v>
      </c>
      <c r="C4266" s="323" t="s">
        <v>12291</v>
      </c>
      <c r="D4266" s="326" t="s">
        <v>12289</v>
      </c>
    </row>
    <row r="4267" spans="1:4">
      <c r="A4267" s="324" t="s">
        <v>6167</v>
      </c>
      <c r="B4267" s="324" t="s">
        <v>12292</v>
      </c>
      <c r="C4267" s="323" t="s">
        <v>12293</v>
      </c>
      <c r="D4267" s="326" t="s">
        <v>6167</v>
      </c>
    </row>
    <row r="4268" spans="1:4">
      <c r="A4268" s="324" t="s">
        <v>12294</v>
      </c>
      <c r="B4268" s="324" t="s">
        <v>12295</v>
      </c>
      <c r="C4268" s="323" t="s">
        <v>12296</v>
      </c>
      <c r="D4268" s="326" t="s">
        <v>12294</v>
      </c>
    </row>
    <row r="4269" spans="1:4">
      <c r="A4269" s="324" t="s">
        <v>12297</v>
      </c>
      <c r="B4269" s="324" t="s">
        <v>12298</v>
      </c>
      <c r="C4269" s="323" t="s">
        <v>12299</v>
      </c>
      <c r="D4269" s="326" t="s">
        <v>12297</v>
      </c>
    </row>
    <row r="4270" spans="1:4">
      <c r="A4270" s="324" t="s">
        <v>12300</v>
      </c>
      <c r="B4270" s="324" t="s">
        <v>12301</v>
      </c>
      <c r="C4270" s="323" t="s">
        <v>12302</v>
      </c>
      <c r="D4270" s="326" t="s">
        <v>12300</v>
      </c>
    </row>
    <row r="4271" spans="1:4">
      <c r="A4271" s="324" t="s">
        <v>2784</v>
      </c>
      <c r="B4271" s="324" t="s">
        <v>2785</v>
      </c>
      <c r="C4271" s="323" t="s">
        <v>2786</v>
      </c>
      <c r="D4271" s="326" t="s">
        <v>12303</v>
      </c>
    </row>
    <row r="4272" spans="1:4">
      <c r="A4272" s="324" t="s">
        <v>12304</v>
      </c>
      <c r="B4272" s="324" t="s">
        <v>12305</v>
      </c>
      <c r="C4272" s="323" t="s">
        <v>12306</v>
      </c>
      <c r="D4272" s="326" t="s">
        <v>12304</v>
      </c>
    </row>
    <row r="4273" spans="1:4">
      <c r="A4273" s="324" t="s">
        <v>12307</v>
      </c>
      <c r="B4273" s="324" t="s">
        <v>12308</v>
      </c>
      <c r="C4273" s="323" t="s">
        <v>12309</v>
      </c>
      <c r="D4273" s="326" t="s">
        <v>12310</v>
      </c>
    </row>
    <row r="4274" spans="1:4">
      <c r="A4274" s="324" t="s">
        <v>12311</v>
      </c>
      <c r="B4274" s="324" t="s">
        <v>12312</v>
      </c>
      <c r="C4274" s="323" t="s">
        <v>12313</v>
      </c>
      <c r="D4274" s="326" t="s">
        <v>12311</v>
      </c>
    </row>
    <row r="4275" spans="1:4">
      <c r="A4275" s="324" t="s">
        <v>12314</v>
      </c>
      <c r="B4275" s="324" t="s">
        <v>12315</v>
      </c>
      <c r="C4275" s="323" t="s">
        <v>12316</v>
      </c>
      <c r="D4275" s="326" t="s">
        <v>12314</v>
      </c>
    </row>
    <row r="4276" spans="1:4">
      <c r="A4276" s="324" t="s">
        <v>6719</v>
      </c>
      <c r="B4276" s="324" t="s">
        <v>6600</v>
      </c>
      <c r="C4276" s="323" t="s">
        <v>12317</v>
      </c>
      <c r="D4276" s="326" t="s">
        <v>12318</v>
      </c>
    </row>
    <row r="4277" spans="1:4">
      <c r="A4277" s="324" t="s">
        <v>6910</v>
      </c>
      <c r="B4277" s="324" t="s">
        <v>6908</v>
      </c>
      <c r="C4277" s="323" t="s">
        <v>12319</v>
      </c>
      <c r="D4277" s="326" t="s">
        <v>12320</v>
      </c>
    </row>
    <row r="4278" spans="1:4">
      <c r="A4278" s="324" t="s">
        <v>12321</v>
      </c>
      <c r="B4278" s="324" t="s">
        <v>12322</v>
      </c>
      <c r="C4278" s="323" t="s">
        <v>12323</v>
      </c>
      <c r="D4278" s="326" t="s">
        <v>12321</v>
      </c>
    </row>
    <row r="4279" spans="1:4">
      <c r="A4279" s="324" t="s">
        <v>12324</v>
      </c>
      <c r="B4279" s="324" t="s">
        <v>12325</v>
      </c>
      <c r="C4279" s="323" t="s">
        <v>12326</v>
      </c>
      <c r="D4279" s="326" t="s">
        <v>12324</v>
      </c>
    </row>
    <row r="4280" spans="1:4">
      <c r="A4280" s="324" t="s">
        <v>12327</v>
      </c>
      <c r="B4280" s="324" t="s">
        <v>12328</v>
      </c>
      <c r="C4280" s="323" t="s">
        <v>12329</v>
      </c>
      <c r="D4280" s="326" t="s">
        <v>12327</v>
      </c>
    </row>
    <row r="4281" spans="1:4">
      <c r="A4281" s="324" t="s">
        <v>12330</v>
      </c>
      <c r="B4281" s="324" t="s">
        <v>2800</v>
      </c>
      <c r="C4281" s="323" t="s">
        <v>12331</v>
      </c>
      <c r="D4281" s="326" t="s">
        <v>12330</v>
      </c>
    </row>
    <row r="4282" spans="1:4">
      <c r="A4282" s="324" t="s">
        <v>6171</v>
      </c>
      <c r="B4282" s="324" t="s">
        <v>6685</v>
      </c>
      <c r="C4282" s="323" t="s">
        <v>12332</v>
      </c>
      <c r="D4282" s="326" t="s">
        <v>6171</v>
      </c>
    </row>
    <row r="4283" spans="1:4">
      <c r="A4283" s="324" t="s">
        <v>6914</v>
      </c>
      <c r="B4283" s="324" t="s">
        <v>6913</v>
      </c>
      <c r="C4283" s="323" t="s">
        <v>12333</v>
      </c>
      <c r="D4283" s="326" t="s">
        <v>6914</v>
      </c>
    </row>
    <row r="4284" spans="1:4">
      <c r="A4284" s="324" t="s">
        <v>6693</v>
      </c>
      <c r="B4284" s="324" t="s">
        <v>6692</v>
      </c>
      <c r="C4284" s="323" t="s">
        <v>12334</v>
      </c>
      <c r="D4284" s="326" t="s">
        <v>6693</v>
      </c>
    </row>
    <row r="4285" spans="1:4">
      <c r="A4285" s="324" t="s">
        <v>12335</v>
      </c>
      <c r="B4285" s="324" t="s">
        <v>12336</v>
      </c>
      <c r="C4285" s="323" t="s">
        <v>12337</v>
      </c>
      <c r="D4285" s="326" t="s">
        <v>12335</v>
      </c>
    </row>
    <row r="4286" spans="1:4">
      <c r="A4286" s="324" t="s">
        <v>12338</v>
      </c>
      <c r="B4286" s="324" t="s">
        <v>12339</v>
      </c>
      <c r="C4286" s="323" t="s">
        <v>12340</v>
      </c>
      <c r="D4286" s="326" t="s">
        <v>12338</v>
      </c>
    </row>
    <row r="4287" spans="1:4">
      <c r="A4287" s="324" t="s">
        <v>8217</v>
      </c>
      <c r="B4287" s="324" t="s">
        <v>8216</v>
      </c>
      <c r="C4287" s="323" t="s">
        <v>12341</v>
      </c>
      <c r="D4287" s="326" t="s">
        <v>8217</v>
      </c>
    </row>
    <row r="4288" spans="1:4">
      <c r="A4288" s="324" t="s">
        <v>12342</v>
      </c>
      <c r="B4288" s="324" t="s">
        <v>12343</v>
      </c>
      <c r="C4288" s="323" t="s">
        <v>12344</v>
      </c>
      <c r="D4288" s="326" t="s">
        <v>12342</v>
      </c>
    </row>
    <row r="4289" spans="1:4">
      <c r="A4289" s="324" t="s">
        <v>2827</v>
      </c>
      <c r="B4289" s="324" t="s">
        <v>2828</v>
      </c>
      <c r="C4289" s="323" t="s">
        <v>12345</v>
      </c>
      <c r="D4289" s="326" t="s">
        <v>2827</v>
      </c>
    </row>
    <row r="4290" spans="1:4">
      <c r="A4290" s="324" t="s">
        <v>12346</v>
      </c>
      <c r="B4290" s="324" t="s">
        <v>12347</v>
      </c>
      <c r="C4290" s="323" t="s">
        <v>12348</v>
      </c>
      <c r="D4290" s="326" t="s">
        <v>12346</v>
      </c>
    </row>
    <row r="4291" spans="1:4">
      <c r="A4291" s="324" t="s">
        <v>12349</v>
      </c>
      <c r="B4291" s="324" t="s">
        <v>12350</v>
      </c>
      <c r="C4291" s="323" t="s">
        <v>12351</v>
      </c>
      <c r="D4291" s="326" t="s">
        <v>12349</v>
      </c>
    </row>
    <row r="4292" spans="1:4">
      <c r="A4292" s="324" t="s">
        <v>12352</v>
      </c>
      <c r="B4292" s="324" t="s">
        <v>12353</v>
      </c>
      <c r="C4292" s="323" t="s">
        <v>12354</v>
      </c>
      <c r="D4292" s="326" t="s">
        <v>12352</v>
      </c>
    </row>
    <row r="4293" spans="1:4">
      <c r="A4293" s="324" t="s">
        <v>12355</v>
      </c>
      <c r="B4293" s="324" t="s">
        <v>12356</v>
      </c>
      <c r="C4293" s="323" t="s">
        <v>12357</v>
      </c>
      <c r="D4293" s="326" t="s">
        <v>12355</v>
      </c>
    </row>
    <row r="4294" spans="1:4">
      <c r="A4294" s="324" t="s">
        <v>12358</v>
      </c>
      <c r="B4294" s="324" t="s">
        <v>12359</v>
      </c>
      <c r="C4294" s="323" t="s">
        <v>12360</v>
      </c>
      <c r="D4294" s="326" t="s">
        <v>12358</v>
      </c>
    </row>
    <row r="4295" spans="1:4">
      <c r="A4295" s="324" t="s">
        <v>12361</v>
      </c>
      <c r="B4295" s="324" t="s">
        <v>12362</v>
      </c>
      <c r="C4295" s="323" t="s">
        <v>12363</v>
      </c>
      <c r="D4295" s="326" t="s">
        <v>12361</v>
      </c>
    </row>
    <row r="4296" spans="1:4">
      <c r="A4296" s="324" t="s">
        <v>12364</v>
      </c>
      <c r="B4296" s="324" t="s">
        <v>12365</v>
      </c>
      <c r="C4296" s="323" t="s">
        <v>12365</v>
      </c>
      <c r="D4296" s="326" t="s">
        <v>12364</v>
      </c>
    </row>
    <row r="4297" spans="1:4">
      <c r="A4297" s="324" t="s">
        <v>3726</v>
      </c>
      <c r="B4297" s="324" t="s">
        <v>2837</v>
      </c>
      <c r="C4297" s="323" t="s">
        <v>2837</v>
      </c>
      <c r="D4297" s="326" t="s">
        <v>3726</v>
      </c>
    </row>
    <row r="4298" spans="1:4">
      <c r="A4298" s="324" t="s">
        <v>12366</v>
      </c>
      <c r="B4298" s="324" t="s">
        <v>12367</v>
      </c>
      <c r="C4298" s="323" t="s">
        <v>12368</v>
      </c>
      <c r="D4298" s="326" t="s">
        <v>12366</v>
      </c>
    </row>
    <row r="4299" spans="1:4">
      <c r="A4299" s="324" t="s">
        <v>12369</v>
      </c>
      <c r="B4299" s="324" t="s">
        <v>12370</v>
      </c>
      <c r="C4299" s="323" t="s">
        <v>12371</v>
      </c>
      <c r="D4299" s="326" t="s">
        <v>12369</v>
      </c>
    </row>
    <row r="4300" spans="1:4">
      <c r="A4300" s="324" t="s">
        <v>12372</v>
      </c>
      <c r="B4300" s="324" t="s">
        <v>12373</v>
      </c>
      <c r="C4300" s="323" t="s">
        <v>12374</v>
      </c>
      <c r="D4300" s="326" t="s">
        <v>12372</v>
      </c>
    </row>
    <row r="4301" spans="1:4">
      <c r="A4301" s="324" t="s">
        <v>12375</v>
      </c>
      <c r="B4301" s="324" t="s">
        <v>12376</v>
      </c>
      <c r="C4301" s="323" t="s">
        <v>12377</v>
      </c>
      <c r="D4301" s="326" t="s">
        <v>12375</v>
      </c>
    </row>
    <row r="4302" spans="1:4">
      <c r="A4302" s="324" t="s">
        <v>12378</v>
      </c>
      <c r="B4302" s="324" t="s">
        <v>12379</v>
      </c>
      <c r="C4302" s="323" t="s">
        <v>12380</v>
      </c>
      <c r="D4302" s="326" t="s">
        <v>12378</v>
      </c>
    </row>
    <row r="4303" spans="1:4">
      <c r="A4303" s="324" t="s">
        <v>12381</v>
      </c>
      <c r="B4303" s="324" t="s">
        <v>12382</v>
      </c>
      <c r="C4303" s="323" t="s">
        <v>12383</v>
      </c>
      <c r="D4303" s="326" t="s">
        <v>12381</v>
      </c>
    </row>
    <row r="4304" spans="1:4">
      <c r="A4304" s="324" t="s">
        <v>12384</v>
      </c>
      <c r="B4304" s="324" t="s">
        <v>12385</v>
      </c>
      <c r="C4304" s="323" t="s">
        <v>12386</v>
      </c>
      <c r="D4304" s="326" t="s">
        <v>12384</v>
      </c>
    </row>
    <row r="4305" spans="1:4">
      <c r="A4305" s="324" t="s">
        <v>12387</v>
      </c>
      <c r="B4305" s="324" t="s">
        <v>12388</v>
      </c>
      <c r="C4305" s="323" t="s">
        <v>12389</v>
      </c>
      <c r="D4305" s="326" t="s">
        <v>12387</v>
      </c>
    </row>
    <row r="4306" spans="1:4">
      <c r="A4306" s="324" t="s">
        <v>12390</v>
      </c>
      <c r="B4306" s="324" t="s">
        <v>12391</v>
      </c>
      <c r="C4306" s="323" t="s">
        <v>12392</v>
      </c>
      <c r="D4306" s="326" t="s">
        <v>12390</v>
      </c>
    </row>
    <row r="4307" spans="1:4">
      <c r="A4307" s="324" t="s">
        <v>12393</v>
      </c>
      <c r="B4307" s="324" t="s">
        <v>12394</v>
      </c>
      <c r="C4307" s="323" t="s">
        <v>12395</v>
      </c>
      <c r="D4307" s="326" t="s">
        <v>12393</v>
      </c>
    </row>
    <row r="4308" spans="1:4">
      <c r="A4308" s="324" t="s">
        <v>12396</v>
      </c>
      <c r="B4308" s="324" t="s">
        <v>12397</v>
      </c>
      <c r="C4308" s="323" t="s">
        <v>12398</v>
      </c>
      <c r="D4308" s="326" t="s">
        <v>12396</v>
      </c>
    </row>
    <row r="4309" spans="1:4">
      <c r="A4309" s="324" t="s">
        <v>12399</v>
      </c>
      <c r="B4309" s="324" t="s">
        <v>12400</v>
      </c>
      <c r="C4309" s="323" t="s">
        <v>12401</v>
      </c>
      <c r="D4309" s="326" t="s">
        <v>12399</v>
      </c>
    </row>
    <row r="4310" spans="1:4">
      <c r="A4310" s="324" t="s">
        <v>12402</v>
      </c>
      <c r="B4310" s="324" t="s">
        <v>12403</v>
      </c>
      <c r="C4310" s="323" t="s">
        <v>12403</v>
      </c>
      <c r="D4310" s="326" t="s">
        <v>12402</v>
      </c>
    </row>
    <row r="4311" spans="1:4">
      <c r="A4311" s="324" t="s">
        <v>12404</v>
      </c>
      <c r="B4311" s="324" t="s">
        <v>12405</v>
      </c>
      <c r="C4311" s="323" t="s">
        <v>12406</v>
      </c>
      <c r="D4311" s="326" t="s">
        <v>12404</v>
      </c>
    </row>
    <row r="4312" spans="1:4">
      <c r="A4312" s="324" t="s">
        <v>12407</v>
      </c>
      <c r="B4312" s="324" t="s">
        <v>12408</v>
      </c>
      <c r="C4312" s="323" t="s">
        <v>12409</v>
      </c>
      <c r="D4312" s="326" t="s">
        <v>12273</v>
      </c>
    </row>
    <row r="4313" spans="1:4">
      <c r="A4313" s="324" t="s">
        <v>12410</v>
      </c>
      <c r="B4313" s="324" t="s">
        <v>12411</v>
      </c>
      <c r="C4313" s="323" t="s">
        <v>12412</v>
      </c>
      <c r="D4313" s="326" t="s">
        <v>12410</v>
      </c>
    </row>
    <row r="4314" spans="1:4">
      <c r="A4314" s="324" t="s">
        <v>12413</v>
      </c>
      <c r="B4314" s="324" t="s">
        <v>12414</v>
      </c>
      <c r="C4314" s="323" t="s">
        <v>12415</v>
      </c>
      <c r="D4314" s="326" t="s">
        <v>12413</v>
      </c>
    </row>
    <row r="4315" spans="1:4">
      <c r="A4315" s="324" t="s">
        <v>12416</v>
      </c>
      <c r="B4315" s="324" t="s">
        <v>12417</v>
      </c>
      <c r="C4315" s="323" t="s">
        <v>12418</v>
      </c>
      <c r="D4315" s="326" t="s">
        <v>12416</v>
      </c>
    </row>
    <row r="4316" spans="1:4">
      <c r="A4316" s="324" t="s">
        <v>12419</v>
      </c>
      <c r="B4316" s="324" t="s">
        <v>6570</v>
      </c>
      <c r="C4316" s="323" t="s">
        <v>12420</v>
      </c>
      <c r="D4316" s="326" t="s">
        <v>12419</v>
      </c>
    </row>
    <row r="4317" spans="1:4">
      <c r="A4317" s="324" t="s">
        <v>12421</v>
      </c>
      <c r="B4317" s="324" t="s">
        <v>12422</v>
      </c>
      <c r="C4317" s="323" t="s">
        <v>12423</v>
      </c>
      <c r="D4317" s="326" t="s">
        <v>12421</v>
      </c>
    </row>
    <row r="4318" spans="1:4">
      <c r="A4318" s="324" t="s">
        <v>12424</v>
      </c>
      <c r="B4318" s="324" t="s">
        <v>12425</v>
      </c>
      <c r="C4318" s="323" t="s">
        <v>12426</v>
      </c>
      <c r="D4318" s="326" t="s">
        <v>12424</v>
      </c>
    </row>
    <row r="4319" spans="1:4">
      <c r="A4319" s="324" t="s">
        <v>12427</v>
      </c>
      <c r="B4319" s="324" t="s">
        <v>12428</v>
      </c>
      <c r="C4319" s="323" t="s">
        <v>12429</v>
      </c>
      <c r="D4319" s="326" t="s">
        <v>12427</v>
      </c>
    </row>
    <row r="4320" spans="1:4">
      <c r="A4320" s="324" t="s">
        <v>12430</v>
      </c>
      <c r="B4320" s="324" t="s">
        <v>12431</v>
      </c>
      <c r="C4320" s="323" t="s">
        <v>12432</v>
      </c>
      <c r="D4320" s="326" t="s">
        <v>12430</v>
      </c>
    </row>
    <row r="4321" spans="1:4">
      <c r="A4321" s="324" t="s">
        <v>12433</v>
      </c>
      <c r="B4321" s="324" t="s">
        <v>12434</v>
      </c>
      <c r="C4321" s="323" t="s">
        <v>12435</v>
      </c>
      <c r="D4321" s="326" t="s">
        <v>12433</v>
      </c>
    </row>
    <row r="4322" spans="1:4">
      <c r="A4322" s="324" t="s">
        <v>12436</v>
      </c>
      <c r="B4322" s="324" t="s">
        <v>12437</v>
      </c>
      <c r="C4322" s="323" t="s">
        <v>12438</v>
      </c>
      <c r="D4322" s="326" t="s">
        <v>12436</v>
      </c>
    </row>
    <row r="4323" spans="1:4">
      <c r="A4323" s="324" t="s">
        <v>8295</v>
      </c>
      <c r="B4323" s="324" t="s">
        <v>12439</v>
      </c>
      <c r="C4323" s="323" t="s">
        <v>12440</v>
      </c>
      <c r="D4323" s="326" t="s">
        <v>8295</v>
      </c>
    </row>
    <row r="4324" spans="1:4">
      <c r="A4324" s="324" t="s">
        <v>7035</v>
      </c>
      <c r="B4324" s="324" t="s">
        <v>7034</v>
      </c>
      <c r="C4324" s="323" t="s">
        <v>12441</v>
      </c>
      <c r="D4324" s="326" t="s">
        <v>7035</v>
      </c>
    </row>
    <row r="4325" spans="1:4">
      <c r="A4325" s="324" t="s">
        <v>2879</v>
      </c>
      <c r="B4325" s="324" t="s">
        <v>12442</v>
      </c>
      <c r="C4325" s="323" t="s">
        <v>12443</v>
      </c>
      <c r="D4325" s="326" t="s">
        <v>2879</v>
      </c>
    </row>
    <row r="4326" spans="1:4">
      <c r="A4326" s="324" t="s">
        <v>6267</v>
      </c>
      <c r="B4326" s="324" t="s">
        <v>8287</v>
      </c>
      <c r="C4326" s="323" t="s">
        <v>12444</v>
      </c>
      <c r="D4326" s="326" t="s">
        <v>6267</v>
      </c>
    </row>
    <row r="4327" spans="1:4">
      <c r="A4327" s="324" t="s">
        <v>8293</v>
      </c>
      <c r="B4327" s="324" t="s">
        <v>8292</v>
      </c>
      <c r="C4327" s="323" t="s">
        <v>12445</v>
      </c>
      <c r="D4327" s="326" t="s">
        <v>8293</v>
      </c>
    </row>
    <row r="4328" spans="1:4">
      <c r="A4328" s="324" t="s">
        <v>6269</v>
      </c>
      <c r="B4328" s="324" t="s">
        <v>8286</v>
      </c>
      <c r="C4328" s="323" t="s">
        <v>12446</v>
      </c>
      <c r="D4328" s="326" t="s">
        <v>6269</v>
      </c>
    </row>
    <row r="4329" spans="1:4">
      <c r="A4329" s="324" t="s">
        <v>8291</v>
      </c>
      <c r="B4329" s="324" t="s">
        <v>8290</v>
      </c>
      <c r="C4329" s="323" t="s">
        <v>12447</v>
      </c>
      <c r="D4329" s="326" t="s">
        <v>8291</v>
      </c>
    </row>
    <row r="4330" spans="1:4">
      <c r="A4330" s="324" t="s">
        <v>6966</v>
      </c>
      <c r="B4330" s="324" t="s">
        <v>6965</v>
      </c>
      <c r="C4330" s="323" t="s">
        <v>12448</v>
      </c>
      <c r="D4330" s="326" t="s">
        <v>6966</v>
      </c>
    </row>
    <row r="4331" spans="1:4">
      <c r="A4331" s="324" t="s">
        <v>12449</v>
      </c>
      <c r="B4331" s="324" t="s">
        <v>12450</v>
      </c>
      <c r="C4331" s="323" t="s">
        <v>12451</v>
      </c>
      <c r="D4331" s="326" t="s">
        <v>12449</v>
      </c>
    </row>
    <row r="4332" spans="1:4">
      <c r="A4332" s="324" t="s">
        <v>8241</v>
      </c>
      <c r="B4332" s="324" t="s">
        <v>8240</v>
      </c>
      <c r="C4332" s="323" t="s">
        <v>12452</v>
      </c>
      <c r="D4332" s="326" t="s">
        <v>8241</v>
      </c>
    </row>
    <row r="4333" spans="1:4">
      <c r="A4333" s="324" t="s">
        <v>8243</v>
      </c>
      <c r="B4333" s="324" t="s">
        <v>8242</v>
      </c>
      <c r="C4333" s="323" t="s">
        <v>12453</v>
      </c>
      <c r="D4333" s="326" t="s">
        <v>8243</v>
      </c>
    </row>
    <row r="4334" spans="1:4">
      <c r="A4334" s="324" t="s">
        <v>2899</v>
      </c>
      <c r="B4334" s="324" t="s">
        <v>2900</v>
      </c>
      <c r="C4334" s="323" t="s">
        <v>12454</v>
      </c>
      <c r="D4334" s="326" t="s">
        <v>2899</v>
      </c>
    </row>
    <row r="4335" spans="1:4">
      <c r="A4335" s="324" t="s">
        <v>12455</v>
      </c>
      <c r="B4335" s="324" t="s">
        <v>12456</v>
      </c>
      <c r="C4335" s="323" t="s">
        <v>12457</v>
      </c>
      <c r="D4335" s="326" t="s">
        <v>12455</v>
      </c>
    </row>
    <row r="4336" spans="1:4">
      <c r="A4336" s="324" t="s">
        <v>2905</v>
      </c>
      <c r="B4336" s="324" t="s">
        <v>2906</v>
      </c>
      <c r="C4336" s="323" t="s">
        <v>12458</v>
      </c>
      <c r="D4336" s="326" t="s">
        <v>2905</v>
      </c>
    </row>
    <row r="4337" spans="1:4">
      <c r="A4337" s="324" t="s">
        <v>12459</v>
      </c>
      <c r="B4337" s="324" t="s">
        <v>12460</v>
      </c>
      <c r="C4337" s="323" t="s">
        <v>12461</v>
      </c>
      <c r="D4337" s="326" t="s">
        <v>12459</v>
      </c>
    </row>
    <row r="4338" spans="1:4">
      <c r="A4338" s="324" t="s">
        <v>4221</v>
      </c>
      <c r="B4338" s="324" t="s">
        <v>12462</v>
      </c>
      <c r="C4338" s="323" t="s">
        <v>12463</v>
      </c>
      <c r="D4338" s="326" t="s">
        <v>4221</v>
      </c>
    </row>
    <row r="4339" spans="1:4">
      <c r="A4339" s="324" t="s">
        <v>12464</v>
      </c>
      <c r="B4339" s="324" t="s">
        <v>12465</v>
      </c>
      <c r="C4339" s="323" t="s">
        <v>12466</v>
      </c>
      <c r="D4339" s="326" t="s">
        <v>12464</v>
      </c>
    </row>
    <row r="4340" spans="1:4">
      <c r="A4340" s="324" t="s">
        <v>12467</v>
      </c>
      <c r="B4340" s="324" t="s">
        <v>12468</v>
      </c>
      <c r="C4340" s="323" t="s">
        <v>12469</v>
      </c>
      <c r="D4340" s="326" t="s">
        <v>12470</v>
      </c>
    </row>
    <row r="4341" spans="1:4">
      <c r="A4341" s="324" t="s">
        <v>7347</v>
      </c>
      <c r="B4341" s="324" t="s">
        <v>7346</v>
      </c>
      <c r="C4341" s="323" t="s">
        <v>12471</v>
      </c>
      <c r="D4341" s="326" t="s">
        <v>7347</v>
      </c>
    </row>
    <row r="4342" spans="1:4">
      <c r="A4342" s="324" t="s">
        <v>12472</v>
      </c>
      <c r="B4342" s="324" t="s">
        <v>12473</v>
      </c>
      <c r="C4342" s="323" t="s">
        <v>12474</v>
      </c>
      <c r="D4342" s="326" t="s">
        <v>12472</v>
      </c>
    </row>
    <row r="4343" spans="1:4">
      <c r="A4343" s="324" t="s">
        <v>2945</v>
      </c>
      <c r="B4343" s="324" t="s">
        <v>12475</v>
      </c>
      <c r="C4343" s="323" t="s">
        <v>12476</v>
      </c>
      <c r="D4343" s="326" t="s">
        <v>2945</v>
      </c>
    </row>
    <row r="4344" spans="1:4">
      <c r="A4344" s="324" t="s">
        <v>12477</v>
      </c>
      <c r="B4344" s="324" t="s">
        <v>12478</v>
      </c>
      <c r="C4344" s="323" t="s">
        <v>12479</v>
      </c>
      <c r="D4344" s="326" t="s">
        <v>12477</v>
      </c>
    </row>
    <row r="4345" spans="1:4">
      <c r="A4345" s="324" t="s">
        <v>8223</v>
      </c>
      <c r="B4345" s="324" t="s">
        <v>8222</v>
      </c>
      <c r="C4345" s="323" t="s">
        <v>12480</v>
      </c>
      <c r="D4345" s="326" t="s">
        <v>8223</v>
      </c>
    </row>
    <row r="4346" spans="1:4">
      <c r="A4346" s="324" t="s">
        <v>12481</v>
      </c>
      <c r="B4346" s="324" t="s">
        <v>12482</v>
      </c>
      <c r="C4346" s="323" t="s">
        <v>12483</v>
      </c>
      <c r="D4346" s="326" t="s">
        <v>12481</v>
      </c>
    </row>
    <row r="4347" spans="1:4">
      <c r="A4347" s="324" t="s">
        <v>8225</v>
      </c>
      <c r="B4347" s="324" t="s">
        <v>8224</v>
      </c>
      <c r="C4347" s="323" t="s">
        <v>12484</v>
      </c>
      <c r="D4347" s="326" t="s">
        <v>8225</v>
      </c>
    </row>
    <row r="4348" spans="1:4">
      <c r="A4348" s="324" t="s">
        <v>12485</v>
      </c>
      <c r="B4348" s="324" t="s">
        <v>12486</v>
      </c>
      <c r="C4348" s="323" t="s">
        <v>12487</v>
      </c>
      <c r="D4348" s="326" t="s">
        <v>12485</v>
      </c>
    </row>
    <row r="4349" spans="1:4">
      <c r="A4349" s="324" t="s">
        <v>12488</v>
      </c>
      <c r="B4349" s="324" t="s">
        <v>12489</v>
      </c>
      <c r="C4349" s="323" t="s">
        <v>12490</v>
      </c>
      <c r="D4349" s="326" t="s">
        <v>12488</v>
      </c>
    </row>
    <row r="4350" spans="1:4">
      <c r="A4350" s="324" t="s">
        <v>12491</v>
      </c>
      <c r="B4350" s="324" t="s">
        <v>12492</v>
      </c>
      <c r="C4350" s="323" t="s">
        <v>12493</v>
      </c>
      <c r="D4350" s="326" t="s">
        <v>12491</v>
      </c>
    </row>
    <row r="4351" spans="1:4">
      <c r="A4351" s="324" t="s">
        <v>12494</v>
      </c>
      <c r="B4351" s="324" t="s">
        <v>12495</v>
      </c>
      <c r="C4351" s="323" t="s">
        <v>12496</v>
      </c>
      <c r="D4351" s="326" t="s">
        <v>12494</v>
      </c>
    </row>
    <row r="4352" spans="1:4">
      <c r="A4352" s="324" t="s">
        <v>6964</v>
      </c>
      <c r="B4352" s="324" t="s">
        <v>6963</v>
      </c>
      <c r="C4352" s="323" t="s">
        <v>12497</v>
      </c>
      <c r="D4352" s="326" t="s">
        <v>6964</v>
      </c>
    </row>
    <row r="4353" spans="1:4">
      <c r="A4353" s="324" t="s">
        <v>12498</v>
      </c>
      <c r="B4353" s="324" t="s">
        <v>12499</v>
      </c>
      <c r="C4353" s="323" t="s">
        <v>12500</v>
      </c>
      <c r="D4353" s="326" t="s">
        <v>12498</v>
      </c>
    </row>
    <row r="4354" spans="1:4">
      <c r="A4354" s="324" t="s">
        <v>12501</v>
      </c>
      <c r="B4354" s="324" t="s">
        <v>12502</v>
      </c>
      <c r="C4354" s="323" t="s">
        <v>12503</v>
      </c>
      <c r="D4354" s="326" t="s">
        <v>12501</v>
      </c>
    </row>
    <row r="4355" spans="1:4">
      <c r="A4355" s="324" t="s">
        <v>12504</v>
      </c>
      <c r="B4355" s="324" t="s">
        <v>12505</v>
      </c>
      <c r="C4355" s="323" t="s">
        <v>12506</v>
      </c>
      <c r="D4355" s="326" t="s">
        <v>12504</v>
      </c>
    </row>
    <row r="4356" spans="1:4">
      <c r="A4356" s="324" t="s">
        <v>12507</v>
      </c>
      <c r="B4356" s="324" t="s">
        <v>12508</v>
      </c>
      <c r="C4356" s="323" t="s">
        <v>12509</v>
      </c>
      <c r="D4356" s="326" t="s">
        <v>12507</v>
      </c>
    </row>
    <row r="4357" spans="1:4">
      <c r="A4357" s="324" t="s">
        <v>12510</v>
      </c>
      <c r="B4357" s="324" t="s">
        <v>12511</v>
      </c>
      <c r="C4357" s="323" t="s">
        <v>12512</v>
      </c>
      <c r="D4357" s="326" t="s">
        <v>12510</v>
      </c>
    </row>
    <row r="4358" spans="1:4">
      <c r="A4358" s="324" t="s">
        <v>12513</v>
      </c>
      <c r="B4358" s="324" t="s">
        <v>12514</v>
      </c>
      <c r="C4358" s="323" t="s">
        <v>12515</v>
      </c>
      <c r="D4358" s="326" t="s">
        <v>12513</v>
      </c>
    </row>
    <row r="4359" spans="1:4">
      <c r="A4359" s="324" t="s">
        <v>12516</v>
      </c>
      <c r="B4359" s="324" t="s">
        <v>12517</v>
      </c>
      <c r="C4359" s="323" t="s">
        <v>12518</v>
      </c>
      <c r="D4359" s="326" t="s">
        <v>12516</v>
      </c>
    </row>
    <row r="4360" spans="1:4">
      <c r="A4360" s="324" t="s">
        <v>12519</v>
      </c>
      <c r="B4360" s="324" t="s">
        <v>12520</v>
      </c>
      <c r="C4360" s="323" t="s">
        <v>12521</v>
      </c>
      <c r="D4360" s="326" t="s">
        <v>12519</v>
      </c>
    </row>
    <row r="4361" spans="1:4">
      <c r="A4361" s="324" t="s">
        <v>12522</v>
      </c>
      <c r="B4361" s="324" t="s">
        <v>12523</v>
      </c>
      <c r="C4361" s="323" t="s">
        <v>12524</v>
      </c>
      <c r="D4361" s="326" t="s">
        <v>12522</v>
      </c>
    </row>
    <row r="4362" spans="1:4">
      <c r="A4362" s="324" t="s">
        <v>12525</v>
      </c>
      <c r="B4362" s="324" t="s">
        <v>12526</v>
      </c>
      <c r="C4362" s="323" t="s">
        <v>12527</v>
      </c>
      <c r="D4362" s="326" t="s">
        <v>12525</v>
      </c>
    </row>
    <row r="4363" spans="1:4">
      <c r="A4363" s="324" t="s">
        <v>3069</v>
      </c>
      <c r="B4363" s="324" t="s">
        <v>3070</v>
      </c>
      <c r="C4363" s="323" t="s">
        <v>3071</v>
      </c>
      <c r="D4363" s="326" t="s">
        <v>3069</v>
      </c>
    </row>
    <row r="4364" spans="1:4">
      <c r="A4364" s="324" t="s">
        <v>12528</v>
      </c>
      <c r="B4364" s="324" t="s">
        <v>12529</v>
      </c>
      <c r="C4364" s="323" t="s">
        <v>12530</v>
      </c>
      <c r="D4364" s="326" t="s">
        <v>12528</v>
      </c>
    </row>
    <row r="4365" spans="1:4">
      <c r="A4365" s="324" t="s">
        <v>12531</v>
      </c>
      <c r="B4365" s="324" t="s">
        <v>12532</v>
      </c>
      <c r="C4365" s="323" t="s">
        <v>12533</v>
      </c>
      <c r="D4365" s="326" t="s">
        <v>12531</v>
      </c>
    </row>
    <row r="4366" spans="1:4">
      <c r="A4366" s="324" t="s">
        <v>12534</v>
      </c>
      <c r="B4366" s="324" t="s">
        <v>12535</v>
      </c>
      <c r="C4366" s="323" t="s">
        <v>12536</v>
      </c>
      <c r="D4366" s="326" t="s">
        <v>12534</v>
      </c>
    </row>
    <row r="4367" spans="1:4">
      <c r="A4367" s="324" t="s">
        <v>5001</v>
      </c>
      <c r="B4367" s="324" t="s">
        <v>12537</v>
      </c>
      <c r="C4367" s="323" t="s">
        <v>12538</v>
      </c>
      <c r="D4367" s="326" t="s">
        <v>5001</v>
      </c>
    </row>
    <row r="4368" spans="1:4">
      <c r="A4368" s="324" t="s">
        <v>12539</v>
      </c>
      <c r="B4368" s="324" t="s">
        <v>12540</v>
      </c>
      <c r="C4368" s="323" t="s">
        <v>12541</v>
      </c>
      <c r="D4368" s="326" t="s">
        <v>12539</v>
      </c>
    </row>
    <row r="4369" spans="1:4">
      <c r="A4369" s="324" t="s">
        <v>12542</v>
      </c>
      <c r="B4369" s="324" t="s">
        <v>12543</v>
      </c>
      <c r="C4369" s="323" t="s">
        <v>12544</v>
      </c>
      <c r="D4369" s="326" t="s">
        <v>12542</v>
      </c>
    </row>
    <row r="4370" spans="1:4">
      <c r="A4370" s="324" t="s">
        <v>12545</v>
      </c>
      <c r="B4370" s="324" t="s">
        <v>12546</v>
      </c>
      <c r="C4370" s="323" t="s">
        <v>12547</v>
      </c>
      <c r="D4370" s="326" t="s">
        <v>12545</v>
      </c>
    </row>
    <row r="4371" spans="1:4">
      <c r="A4371" s="324" t="s">
        <v>12548</v>
      </c>
      <c r="B4371" s="324" t="s">
        <v>12549</v>
      </c>
      <c r="C4371" s="323" t="s">
        <v>12550</v>
      </c>
      <c r="D4371" s="326" t="s">
        <v>12548</v>
      </c>
    </row>
    <row r="4372" spans="1:4">
      <c r="A4372" s="324" t="s">
        <v>12551</v>
      </c>
      <c r="B4372" s="324" t="s">
        <v>12552</v>
      </c>
      <c r="C4372" s="323" t="s">
        <v>12527</v>
      </c>
      <c r="D4372" s="326" t="s">
        <v>12553</v>
      </c>
    </row>
    <row r="4373" spans="1:4">
      <c r="A4373" s="324" t="s">
        <v>12554</v>
      </c>
      <c r="B4373" s="324" t="s">
        <v>12555</v>
      </c>
      <c r="C4373" s="323" t="s">
        <v>12556</v>
      </c>
      <c r="D4373" s="326" t="s">
        <v>12554</v>
      </c>
    </row>
    <row r="4374" spans="1:4">
      <c r="A4374" s="324" t="s">
        <v>12557</v>
      </c>
      <c r="B4374" s="324" t="s">
        <v>12558</v>
      </c>
      <c r="C4374" s="323" t="s">
        <v>12559</v>
      </c>
      <c r="D4374" s="326" t="s">
        <v>12557</v>
      </c>
    </row>
    <row r="4375" spans="1:4">
      <c r="A4375" s="324" t="s">
        <v>12560</v>
      </c>
      <c r="B4375" s="324" t="s">
        <v>12561</v>
      </c>
      <c r="C4375" s="323" t="s">
        <v>12562</v>
      </c>
      <c r="D4375" s="326" t="s">
        <v>12560</v>
      </c>
    </row>
    <row r="4376" spans="1:4">
      <c r="A4376" s="324" t="s">
        <v>12563</v>
      </c>
      <c r="B4376" s="324" t="s">
        <v>12564</v>
      </c>
      <c r="C4376" s="323" t="s">
        <v>12565</v>
      </c>
      <c r="D4376" s="326" t="s">
        <v>12563</v>
      </c>
    </row>
    <row r="4377" spans="1:4">
      <c r="A4377" s="324" t="s">
        <v>12566</v>
      </c>
      <c r="B4377" s="324" t="s">
        <v>12567</v>
      </c>
      <c r="C4377" s="323" t="s">
        <v>12568</v>
      </c>
      <c r="D4377" s="326" t="s">
        <v>12566</v>
      </c>
    </row>
    <row r="4378" spans="1:4">
      <c r="A4378" s="324" t="s">
        <v>12569</v>
      </c>
      <c r="B4378" s="324" t="s">
        <v>12570</v>
      </c>
      <c r="C4378" s="323" t="s">
        <v>12571</v>
      </c>
      <c r="D4378" s="326" t="s">
        <v>12569</v>
      </c>
    </row>
    <row r="4379" spans="1:4">
      <c r="A4379" s="324" t="s">
        <v>12572</v>
      </c>
      <c r="B4379" s="324" t="s">
        <v>12573</v>
      </c>
      <c r="C4379" s="323" t="s">
        <v>12574</v>
      </c>
      <c r="D4379" s="326" t="s">
        <v>12572</v>
      </c>
    </row>
    <row r="4380" spans="1:4">
      <c r="A4380" s="324" t="s">
        <v>12575</v>
      </c>
      <c r="B4380" s="324" t="s">
        <v>12576</v>
      </c>
      <c r="C4380" s="323" t="s">
        <v>12577</v>
      </c>
      <c r="D4380" s="326" t="s">
        <v>12575</v>
      </c>
    </row>
    <row r="4381" spans="1:4">
      <c r="A4381" s="324" t="s">
        <v>12578</v>
      </c>
      <c r="B4381" s="324" t="s">
        <v>12579</v>
      </c>
      <c r="C4381" s="323" t="s">
        <v>12580</v>
      </c>
      <c r="D4381" s="326" t="s">
        <v>12578</v>
      </c>
    </row>
    <row r="4382" spans="1:4">
      <c r="A4382" s="324" t="s">
        <v>12581</v>
      </c>
      <c r="B4382" s="324" t="s">
        <v>12582</v>
      </c>
      <c r="C4382" s="323" t="s">
        <v>12583</v>
      </c>
      <c r="D4382" s="326" t="s">
        <v>12581</v>
      </c>
    </row>
    <row r="4383" spans="1:4">
      <c r="A4383" s="324" t="s">
        <v>12584</v>
      </c>
      <c r="B4383" s="324" t="s">
        <v>12585</v>
      </c>
      <c r="C4383" s="323" t="s">
        <v>12586</v>
      </c>
      <c r="D4383" s="326" t="s">
        <v>12584</v>
      </c>
    </row>
    <row r="4384" spans="1:4">
      <c r="A4384" s="324" t="s">
        <v>12587</v>
      </c>
      <c r="B4384" s="324" t="s">
        <v>12588</v>
      </c>
      <c r="C4384" s="323" t="s">
        <v>12589</v>
      </c>
      <c r="D4384" s="326" t="s">
        <v>12587</v>
      </c>
    </row>
    <row r="4385" spans="1:4">
      <c r="A4385" s="324" t="s">
        <v>12590</v>
      </c>
      <c r="B4385" s="324" t="s">
        <v>12591</v>
      </c>
      <c r="C4385" s="323" t="s">
        <v>12592</v>
      </c>
      <c r="D4385" s="326" t="s">
        <v>12590</v>
      </c>
    </row>
    <row r="4386" spans="1:4">
      <c r="A4386" s="324" t="s">
        <v>12593</v>
      </c>
      <c r="B4386" s="324" t="s">
        <v>12594</v>
      </c>
      <c r="C4386" s="323" t="s">
        <v>12595</v>
      </c>
      <c r="D4386" s="326" t="s">
        <v>12593</v>
      </c>
    </row>
    <row r="4387" spans="1:4">
      <c r="A4387" s="324" t="s">
        <v>12596</v>
      </c>
      <c r="B4387" s="324" t="s">
        <v>12597</v>
      </c>
      <c r="C4387" s="323" t="s">
        <v>12598</v>
      </c>
      <c r="D4387" s="326" t="s">
        <v>12596</v>
      </c>
    </row>
    <row r="4388" spans="1:4">
      <c r="A4388" s="324" t="s">
        <v>12599</v>
      </c>
      <c r="B4388" s="324" t="s">
        <v>12600</v>
      </c>
      <c r="C4388" s="323" t="s">
        <v>12601</v>
      </c>
      <c r="D4388" s="326" t="s">
        <v>12599</v>
      </c>
    </row>
    <row r="4389" spans="1:4">
      <c r="A4389" s="324" t="s">
        <v>12602</v>
      </c>
      <c r="B4389" s="324" t="s">
        <v>12603</v>
      </c>
      <c r="C4389" s="323" t="s">
        <v>12604</v>
      </c>
      <c r="D4389" s="326" t="s">
        <v>12602</v>
      </c>
    </row>
    <row r="4390" spans="1:4">
      <c r="A4390" s="324" t="s">
        <v>12605</v>
      </c>
      <c r="B4390" s="324" t="s">
        <v>12606</v>
      </c>
      <c r="C4390" s="323" t="s">
        <v>12607</v>
      </c>
      <c r="D4390" s="326" t="s">
        <v>12605</v>
      </c>
    </row>
    <row r="4391" spans="1:4">
      <c r="A4391" s="324" t="s">
        <v>12608</v>
      </c>
      <c r="B4391" s="324" t="s">
        <v>12609</v>
      </c>
      <c r="C4391" s="323" t="s">
        <v>12610</v>
      </c>
      <c r="D4391" s="326" t="s">
        <v>12608</v>
      </c>
    </row>
    <row r="4392" spans="1:4">
      <c r="A4392" s="324" t="s">
        <v>12611</v>
      </c>
      <c r="B4392" s="324" t="s">
        <v>12612</v>
      </c>
      <c r="C4392" s="323" t="s">
        <v>12613</v>
      </c>
      <c r="D4392" s="326" t="s">
        <v>12611</v>
      </c>
    </row>
    <row r="4393" spans="1:4">
      <c r="A4393" s="324" t="s">
        <v>12614</v>
      </c>
      <c r="B4393" s="324" t="s">
        <v>12615</v>
      </c>
      <c r="C4393" s="323" t="s">
        <v>12616</v>
      </c>
      <c r="D4393" s="326" t="s">
        <v>12614</v>
      </c>
    </row>
    <row r="4394" spans="1:4">
      <c r="A4394" s="324" t="s">
        <v>12617</v>
      </c>
      <c r="B4394" s="324" t="s">
        <v>12618</v>
      </c>
      <c r="C4394" s="323" t="s">
        <v>12619</v>
      </c>
      <c r="D4394" s="326" t="s">
        <v>12617</v>
      </c>
    </row>
    <row r="4395" spans="1:4">
      <c r="A4395" s="324" t="s">
        <v>12620</v>
      </c>
      <c r="B4395" s="324" t="s">
        <v>12621</v>
      </c>
      <c r="C4395" s="323" t="s">
        <v>12622</v>
      </c>
      <c r="D4395" s="326" t="s">
        <v>12620</v>
      </c>
    </row>
    <row r="4396" spans="1:4">
      <c r="A4396" s="324" t="s">
        <v>12623</v>
      </c>
      <c r="B4396" s="324" t="s">
        <v>12624</v>
      </c>
      <c r="C4396" s="323" t="s">
        <v>12625</v>
      </c>
      <c r="D4396" s="326" t="s">
        <v>12623</v>
      </c>
    </row>
    <row r="4397" spans="1:4">
      <c r="A4397" s="324" t="s">
        <v>5290</v>
      </c>
      <c r="B4397" s="324" t="s">
        <v>12626</v>
      </c>
      <c r="C4397" s="323" t="s">
        <v>12627</v>
      </c>
      <c r="D4397" s="326" t="s">
        <v>5290</v>
      </c>
    </row>
    <row r="4398" spans="1:4">
      <c r="A4398" s="324" t="s">
        <v>12628</v>
      </c>
      <c r="B4398" s="324" t="s">
        <v>12629</v>
      </c>
      <c r="C4398" s="323" t="s">
        <v>12630</v>
      </c>
      <c r="D4398" s="326" t="s">
        <v>12628</v>
      </c>
    </row>
    <row r="4399" spans="1:4">
      <c r="A4399" s="324" t="s">
        <v>12631</v>
      </c>
      <c r="B4399" s="324" t="s">
        <v>12632</v>
      </c>
      <c r="C4399" s="323" t="s">
        <v>12633</v>
      </c>
      <c r="D4399" s="326" t="s">
        <v>12631</v>
      </c>
    </row>
    <row r="4400" spans="1:4">
      <c r="A4400" s="324" t="s">
        <v>3231</v>
      </c>
      <c r="B4400" s="324" t="s">
        <v>12634</v>
      </c>
      <c r="C4400" s="323" t="s">
        <v>12635</v>
      </c>
      <c r="D4400" s="326" t="s">
        <v>3231</v>
      </c>
    </row>
    <row r="4401" spans="1:4">
      <c r="A4401" s="324" t="s">
        <v>3140</v>
      </c>
      <c r="B4401" s="324" t="s">
        <v>8234</v>
      </c>
      <c r="C4401" s="323" t="s">
        <v>12636</v>
      </c>
      <c r="D4401" s="326" t="s">
        <v>3140</v>
      </c>
    </row>
    <row r="4402" spans="1:4">
      <c r="A4402" s="324" t="s">
        <v>8235</v>
      </c>
      <c r="B4402" s="324" t="s">
        <v>8234</v>
      </c>
      <c r="C4402" s="323" t="s">
        <v>12636</v>
      </c>
      <c r="D4402" s="326" t="s">
        <v>8235</v>
      </c>
    </row>
    <row r="4403" spans="1:4">
      <c r="A4403" s="324" t="s">
        <v>8245</v>
      </c>
      <c r="B4403" s="324" t="s">
        <v>8244</v>
      </c>
      <c r="C4403" s="323" t="s">
        <v>12637</v>
      </c>
      <c r="D4403" s="326" t="s">
        <v>8245</v>
      </c>
    </row>
    <row r="4404" spans="1:4">
      <c r="A4404" s="324" t="s">
        <v>8247</v>
      </c>
      <c r="B4404" s="324" t="s">
        <v>8246</v>
      </c>
      <c r="C4404" s="323" t="s">
        <v>12638</v>
      </c>
      <c r="D4404" s="326" t="s">
        <v>8247</v>
      </c>
    </row>
    <row r="4405" spans="1:4">
      <c r="A4405" s="324" t="s">
        <v>3134</v>
      </c>
      <c r="B4405" s="324" t="s">
        <v>12639</v>
      </c>
      <c r="C4405" s="323" t="s">
        <v>12640</v>
      </c>
      <c r="D4405" s="326" t="s">
        <v>3134</v>
      </c>
    </row>
    <row r="4406" spans="1:4">
      <c r="A4406" s="324" t="s">
        <v>12641</v>
      </c>
      <c r="B4406" s="324" t="s">
        <v>12642</v>
      </c>
      <c r="C4406" s="323" t="s">
        <v>12643</v>
      </c>
      <c r="D4406" s="326" t="s">
        <v>12641</v>
      </c>
    </row>
    <row r="4407" spans="1:4">
      <c r="A4407" s="324" t="s">
        <v>7011</v>
      </c>
      <c r="B4407" s="324" t="s">
        <v>7010</v>
      </c>
      <c r="C4407" s="323" t="s">
        <v>12644</v>
      </c>
      <c r="D4407" s="326" t="s">
        <v>7011</v>
      </c>
    </row>
    <row r="4408" spans="1:4">
      <c r="A4408" s="324" t="s">
        <v>7009</v>
      </c>
      <c r="B4408" s="324" t="s">
        <v>7008</v>
      </c>
      <c r="C4408" s="323" t="s">
        <v>12645</v>
      </c>
      <c r="D4408" s="326" t="s">
        <v>7009</v>
      </c>
    </row>
    <row r="4409" spans="1:4">
      <c r="A4409" s="324" t="s">
        <v>3191</v>
      </c>
      <c r="B4409" s="324" t="s">
        <v>3192</v>
      </c>
      <c r="C4409" s="323" t="s">
        <v>12646</v>
      </c>
      <c r="D4409" s="326" t="s">
        <v>3191</v>
      </c>
    </row>
    <row r="4410" spans="1:4">
      <c r="A4410" s="324" t="s">
        <v>12647</v>
      </c>
      <c r="B4410" s="324" t="s">
        <v>12648</v>
      </c>
      <c r="C4410" s="323" t="s">
        <v>12649</v>
      </c>
      <c r="D4410" s="326" t="s">
        <v>12647</v>
      </c>
    </row>
    <row r="4411" spans="1:4">
      <c r="A4411" s="324" t="s">
        <v>7013</v>
      </c>
      <c r="B4411" s="324" t="s">
        <v>7012</v>
      </c>
      <c r="C4411" s="323" t="s">
        <v>12650</v>
      </c>
      <c r="D4411" s="326" t="s">
        <v>7013</v>
      </c>
    </row>
    <row r="4412" spans="1:4">
      <c r="A4412" s="324" t="s">
        <v>12651</v>
      </c>
      <c r="B4412" s="324" t="s">
        <v>12652</v>
      </c>
      <c r="C4412" s="323" t="s">
        <v>12653</v>
      </c>
      <c r="D4412" s="326" t="s">
        <v>12651</v>
      </c>
    </row>
    <row r="4413" spans="1:4">
      <c r="A4413" s="324" t="s">
        <v>12654</v>
      </c>
      <c r="B4413" s="324" t="s">
        <v>12655</v>
      </c>
      <c r="C4413" s="323" t="s">
        <v>12656</v>
      </c>
      <c r="D4413" s="326" t="s">
        <v>12654</v>
      </c>
    </row>
    <row r="4414" spans="1:4">
      <c r="A4414" s="324" t="s">
        <v>12657</v>
      </c>
      <c r="B4414" s="324" t="s">
        <v>12658</v>
      </c>
      <c r="C4414" s="323" t="s">
        <v>12659</v>
      </c>
      <c r="D4414" s="326" t="s">
        <v>12657</v>
      </c>
    </row>
    <row r="4415" spans="1:4">
      <c r="A4415" s="324" t="s">
        <v>12660</v>
      </c>
      <c r="B4415" s="324" t="s">
        <v>12661</v>
      </c>
      <c r="C4415" s="323" t="s">
        <v>12662</v>
      </c>
      <c r="D4415" s="326" t="s">
        <v>12660</v>
      </c>
    </row>
    <row r="4416" spans="1:4">
      <c r="A4416" s="324" t="s">
        <v>12663</v>
      </c>
      <c r="B4416" s="324" t="s">
        <v>12664</v>
      </c>
      <c r="C4416" s="323" t="s">
        <v>12665</v>
      </c>
      <c r="D4416" s="326" t="s">
        <v>12663</v>
      </c>
    </row>
    <row r="4417" spans="1:4">
      <c r="A4417" s="324" t="s">
        <v>12666</v>
      </c>
      <c r="B4417" s="324" t="s">
        <v>12667</v>
      </c>
      <c r="C4417" s="323" t="s">
        <v>12668</v>
      </c>
      <c r="D4417" s="326" t="s">
        <v>12666</v>
      </c>
    </row>
    <row r="4418" spans="1:4">
      <c r="A4418" s="324" t="s">
        <v>12669</v>
      </c>
      <c r="B4418" s="324" t="s">
        <v>12670</v>
      </c>
      <c r="C4418" s="323" t="s">
        <v>12671</v>
      </c>
      <c r="D4418" s="326" t="s">
        <v>12669</v>
      </c>
    </row>
    <row r="4419" spans="1:4">
      <c r="A4419" s="324" t="s">
        <v>12672</v>
      </c>
      <c r="B4419" s="324" t="s">
        <v>12673</v>
      </c>
      <c r="C4419" s="323" t="s">
        <v>12674</v>
      </c>
      <c r="D4419" s="326" t="s">
        <v>12672</v>
      </c>
    </row>
    <row r="4420" spans="1:4">
      <c r="A4420" s="324" t="s">
        <v>12675</v>
      </c>
      <c r="B4420" s="324" t="s">
        <v>12673</v>
      </c>
      <c r="C4420" s="323" t="s">
        <v>12674</v>
      </c>
      <c r="D4420" s="326" t="s">
        <v>12675</v>
      </c>
    </row>
    <row r="4421" spans="1:4">
      <c r="A4421" s="324" t="s">
        <v>12676</v>
      </c>
      <c r="B4421" s="324" t="s">
        <v>12677</v>
      </c>
      <c r="C4421" s="323" t="s">
        <v>12674</v>
      </c>
      <c r="D4421" s="326" t="s">
        <v>12676</v>
      </c>
    </row>
    <row r="4422" spans="1:4">
      <c r="A4422" s="324" t="s">
        <v>12678</v>
      </c>
      <c r="B4422" s="324" t="s">
        <v>12679</v>
      </c>
      <c r="C4422" s="323" t="s">
        <v>12679</v>
      </c>
      <c r="D4422" s="326" t="s">
        <v>12678</v>
      </c>
    </row>
    <row r="4423" spans="1:4">
      <c r="A4423" s="324" t="s">
        <v>12680</v>
      </c>
      <c r="B4423" s="324" t="s">
        <v>12681</v>
      </c>
      <c r="C4423" s="323" t="s">
        <v>12682</v>
      </c>
      <c r="D4423" s="326" t="s">
        <v>12683</v>
      </c>
    </row>
    <row r="4424" spans="1:4">
      <c r="A4424" s="324" t="s">
        <v>12680</v>
      </c>
      <c r="B4424" s="324" t="s">
        <v>6954</v>
      </c>
      <c r="C4424" s="323" t="s">
        <v>12684</v>
      </c>
      <c r="D4424" s="326" t="s">
        <v>12685</v>
      </c>
    </row>
    <row r="4425" spans="1:4">
      <c r="A4425" s="324" t="s">
        <v>12686</v>
      </c>
      <c r="B4425" s="324" t="s">
        <v>6957</v>
      </c>
      <c r="C4425" s="323" t="s">
        <v>12687</v>
      </c>
      <c r="D4425" s="326" t="s">
        <v>12686</v>
      </c>
    </row>
    <row r="4426" spans="1:4">
      <c r="A4426" s="324" t="s">
        <v>12688</v>
      </c>
      <c r="B4426" s="324" t="s">
        <v>12689</v>
      </c>
      <c r="C4426" s="323" t="s">
        <v>12690</v>
      </c>
      <c r="D4426" s="326" t="s">
        <v>12688</v>
      </c>
    </row>
    <row r="4427" spans="1:4">
      <c r="A4427" s="324" t="s">
        <v>12691</v>
      </c>
      <c r="B4427" s="324" t="s">
        <v>12692</v>
      </c>
      <c r="C4427" s="323" t="s">
        <v>12693</v>
      </c>
      <c r="D4427" s="326" t="s">
        <v>12691</v>
      </c>
    </row>
    <row r="4428" spans="1:4">
      <c r="A4428" s="324" t="s">
        <v>12694</v>
      </c>
      <c r="B4428" s="324" t="s">
        <v>12695</v>
      </c>
      <c r="C4428" s="323" t="s">
        <v>12696</v>
      </c>
      <c r="D4428" s="326" t="s">
        <v>12697</v>
      </c>
    </row>
    <row r="4429" spans="1:4">
      <c r="A4429" s="324" t="s">
        <v>12698</v>
      </c>
      <c r="B4429" s="324" t="s">
        <v>12699</v>
      </c>
      <c r="C4429" s="323" t="s">
        <v>12700</v>
      </c>
      <c r="D4429" s="326" t="s">
        <v>12698</v>
      </c>
    </row>
    <row r="4430" spans="1:4">
      <c r="A4430" s="324" t="s">
        <v>12701</v>
      </c>
      <c r="B4430" s="324" t="s">
        <v>12702</v>
      </c>
      <c r="C4430" s="323" t="s">
        <v>12703</v>
      </c>
      <c r="D4430" s="326" t="s">
        <v>12701</v>
      </c>
    </row>
    <row r="4431" spans="1:4">
      <c r="A4431" s="324" t="s">
        <v>12704</v>
      </c>
      <c r="B4431" s="324" t="s">
        <v>12705</v>
      </c>
      <c r="C4431" s="323" t="s">
        <v>12706</v>
      </c>
      <c r="D4431" s="326" t="s">
        <v>12704</v>
      </c>
    </row>
    <row r="4432" spans="1:4">
      <c r="A4432" s="324" t="s">
        <v>12707</v>
      </c>
      <c r="B4432" s="324" t="s">
        <v>12708</v>
      </c>
      <c r="C4432" s="323" t="s">
        <v>12709</v>
      </c>
      <c r="D4432" s="326" t="s">
        <v>12707</v>
      </c>
    </row>
    <row r="4433" spans="1:4">
      <c r="A4433" s="324" t="s">
        <v>12710</v>
      </c>
      <c r="B4433" s="324" t="s">
        <v>12711</v>
      </c>
      <c r="C4433" s="323" t="s">
        <v>12712</v>
      </c>
      <c r="D4433" s="326" t="s">
        <v>12710</v>
      </c>
    </row>
    <row r="4434" spans="1:4">
      <c r="A4434" s="324" t="s">
        <v>3313</v>
      </c>
      <c r="B4434" s="324" t="s">
        <v>12713</v>
      </c>
      <c r="C4434" s="323" t="s">
        <v>12714</v>
      </c>
      <c r="D4434" s="326" t="s">
        <v>3313</v>
      </c>
    </row>
    <row r="4435" spans="1:4">
      <c r="A4435" s="324" t="s">
        <v>6971</v>
      </c>
      <c r="B4435" s="324" t="s">
        <v>6970</v>
      </c>
      <c r="C4435" s="323" t="s">
        <v>12715</v>
      </c>
      <c r="D4435" s="326" t="s">
        <v>6971</v>
      </c>
    </row>
    <row r="4436" spans="1:4">
      <c r="A4436" s="324" t="s">
        <v>3316</v>
      </c>
      <c r="B4436" s="324" t="s">
        <v>12716</v>
      </c>
      <c r="C4436" s="323" t="s">
        <v>12717</v>
      </c>
      <c r="D4436" s="326" t="s">
        <v>3316</v>
      </c>
    </row>
    <row r="4437" spans="1:4">
      <c r="A4437" s="324" t="s">
        <v>12718</v>
      </c>
      <c r="B4437" s="324" t="s">
        <v>12719</v>
      </c>
      <c r="C4437" s="323" t="s">
        <v>12720</v>
      </c>
      <c r="D4437" s="326" t="s">
        <v>12718</v>
      </c>
    </row>
    <row r="4438" spans="1:4">
      <c r="A4438" s="324" t="s">
        <v>12721</v>
      </c>
      <c r="B4438" s="324" t="s">
        <v>12722</v>
      </c>
      <c r="C4438" s="323" t="s">
        <v>12723</v>
      </c>
      <c r="D4438" s="326" t="s">
        <v>12721</v>
      </c>
    </row>
    <row r="4439" spans="1:4">
      <c r="A4439" s="324" t="s">
        <v>12724</v>
      </c>
      <c r="B4439" s="324" t="s">
        <v>12725</v>
      </c>
      <c r="C4439" s="323" t="s">
        <v>12726</v>
      </c>
      <c r="D4439" s="326" t="s">
        <v>12724</v>
      </c>
    </row>
    <row r="4440" spans="1:4">
      <c r="A4440" s="324" t="s">
        <v>12727</v>
      </c>
      <c r="B4440" s="324" t="s">
        <v>12728</v>
      </c>
      <c r="C4440" s="323" t="s">
        <v>12729</v>
      </c>
      <c r="D4440" s="326" t="s">
        <v>12727</v>
      </c>
    </row>
    <row r="4441" spans="1:4">
      <c r="A4441" s="324" t="s">
        <v>12730</v>
      </c>
      <c r="B4441" s="324" t="s">
        <v>12731</v>
      </c>
      <c r="C4441" s="323" t="s">
        <v>12732</v>
      </c>
      <c r="D4441" s="326" t="s">
        <v>12730</v>
      </c>
    </row>
    <row r="4442" spans="1:4">
      <c r="A4442" s="324" t="s">
        <v>3231</v>
      </c>
      <c r="B4442" s="324" t="s">
        <v>12733</v>
      </c>
      <c r="C4442" s="323" t="s">
        <v>12635</v>
      </c>
      <c r="D4442" s="326" t="s">
        <v>3231</v>
      </c>
    </row>
    <row r="4443" spans="1:4">
      <c r="A4443" s="324" t="s">
        <v>12734</v>
      </c>
      <c r="B4443" s="324" t="s">
        <v>12735</v>
      </c>
      <c r="C4443" s="323" t="s">
        <v>12736</v>
      </c>
      <c r="D4443" s="326" t="s">
        <v>12734</v>
      </c>
    </row>
    <row r="4444" spans="1:4">
      <c r="A4444" s="324" t="s">
        <v>12737</v>
      </c>
      <c r="B4444" s="324" t="s">
        <v>12738</v>
      </c>
      <c r="C4444" s="323" t="s">
        <v>12739</v>
      </c>
      <c r="D4444" s="326" t="s">
        <v>12737</v>
      </c>
    </row>
    <row r="4445" spans="1:4">
      <c r="A4445" s="324" t="s">
        <v>12740</v>
      </c>
      <c r="B4445" s="324" t="s">
        <v>12741</v>
      </c>
      <c r="C4445" s="323" t="s">
        <v>12742</v>
      </c>
      <c r="D4445" s="326" t="s">
        <v>12740</v>
      </c>
    </row>
    <row r="4446" spans="1:4">
      <c r="A4446" s="324" t="s">
        <v>12743</v>
      </c>
      <c r="B4446" s="324" t="s">
        <v>12744</v>
      </c>
      <c r="C4446" s="323" t="s">
        <v>12745</v>
      </c>
      <c r="D4446" s="326" t="s">
        <v>12743</v>
      </c>
    </row>
    <row r="4447" spans="1:4">
      <c r="A4447" s="324" t="s">
        <v>12746</v>
      </c>
      <c r="B4447" s="324" t="s">
        <v>12747</v>
      </c>
      <c r="C4447" s="323" t="s">
        <v>12748</v>
      </c>
      <c r="D4447" s="326" t="s">
        <v>12746</v>
      </c>
    </row>
    <row r="4448" spans="1:4">
      <c r="A4448" s="324" t="s">
        <v>3353</v>
      </c>
      <c r="B4448" s="324" t="s">
        <v>3354</v>
      </c>
      <c r="C4448" s="323" t="s">
        <v>3354</v>
      </c>
      <c r="D4448" s="326" t="s">
        <v>12749</v>
      </c>
    </row>
    <row r="4449" spans="1:4">
      <c r="A4449" s="324" t="s">
        <v>12750</v>
      </c>
      <c r="B4449" s="324" t="s">
        <v>12751</v>
      </c>
      <c r="C4449" s="323" t="s">
        <v>12752</v>
      </c>
      <c r="D4449" s="326" t="s">
        <v>12753</v>
      </c>
    </row>
    <row r="4450" spans="1:4">
      <c r="A4450" s="324" t="s">
        <v>12754</v>
      </c>
      <c r="B4450" s="324" t="s">
        <v>12755</v>
      </c>
      <c r="C4450" s="323" t="s">
        <v>12756</v>
      </c>
      <c r="D4450" s="326" t="s">
        <v>12754</v>
      </c>
    </row>
    <row r="4451" spans="1:4">
      <c r="A4451" s="324" t="s">
        <v>12757</v>
      </c>
      <c r="B4451" s="324" t="s">
        <v>12758</v>
      </c>
      <c r="C4451" s="323" t="s">
        <v>12759</v>
      </c>
      <c r="D4451" s="326" t="s">
        <v>12757</v>
      </c>
    </row>
    <row r="4452" spans="1:4">
      <c r="A4452" s="324" t="s">
        <v>12760</v>
      </c>
      <c r="B4452" s="324" t="s">
        <v>12761</v>
      </c>
      <c r="C4452" s="323" t="s">
        <v>12762</v>
      </c>
      <c r="D4452" s="326" t="s">
        <v>12760</v>
      </c>
    </row>
    <row r="4453" spans="1:4">
      <c r="A4453" s="324" t="s">
        <v>12763</v>
      </c>
      <c r="B4453" s="324" t="s">
        <v>12764</v>
      </c>
      <c r="C4453" s="323" t="s">
        <v>12765</v>
      </c>
      <c r="D4453" s="326" t="s">
        <v>12763</v>
      </c>
    </row>
    <row r="4454" spans="1:4">
      <c r="A4454" s="324" t="s">
        <v>12766</v>
      </c>
      <c r="B4454" s="324" t="s">
        <v>12767</v>
      </c>
      <c r="C4454" s="323" t="s">
        <v>12768</v>
      </c>
      <c r="D4454" s="326" t="s">
        <v>12766</v>
      </c>
    </row>
    <row r="4455" spans="1:4">
      <c r="A4455" s="324" t="s">
        <v>12769</v>
      </c>
      <c r="B4455" s="324" t="s">
        <v>6900</v>
      </c>
      <c r="C4455" s="323" t="s">
        <v>12770</v>
      </c>
      <c r="D4455" s="326" t="s">
        <v>12771</v>
      </c>
    </row>
    <row r="4456" spans="1:4">
      <c r="A4456" s="324" t="s">
        <v>12772</v>
      </c>
      <c r="B4456" s="324" t="s">
        <v>12773</v>
      </c>
      <c r="C4456" s="323" t="s">
        <v>12774</v>
      </c>
      <c r="D4456" s="326" t="s">
        <v>12772</v>
      </c>
    </row>
    <row r="4457" spans="1:4">
      <c r="A4457" s="324" t="s">
        <v>12775</v>
      </c>
      <c r="B4457" s="324" t="s">
        <v>12776</v>
      </c>
      <c r="C4457" s="323" t="s">
        <v>12777</v>
      </c>
      <c r="D4457" s="326" t="s">
        <v>12775</v>
      </c>
    </row>
    <row r="4458" spans="1:4">
      <c r="A4458" s="324" t="s">
        <v>12778</v>
      </c>
      <c r="B4458" s="324" t="s">
        <v>12779</v>
      </c>
      <c r="C4458" s="323" t="s">
        <v>12780</v>
      </c>
      <c r="D4458" s="326" t="s">
        <v>12781</v>
      </c>
    </row>
    <row r="4459" spans="1:4">
      <c r="A4459" s="324" t="s">
        <v>11254</v>
      </c>
      <c r="B4459" s="324" t="s">
        <v>12782</v>
      </c>
      <c r="C4459" s="323" t="s">
        <v>12783</v>
      </c>
      <c r="D4459" s="326" t="s">
        <v>11254</v>
      </c>
    </row>
    <row r="4460" spans="1:4">
      <c r="A4460" s="324" t="s">
        <v>12784</v>
      </c>
      <c r="B4460" s="324" t="s">
        <v>12785</v>
      </c>
      <c r="C4460" s="323" t="s">
        <v>12786</v>
      </c>
      <c r="D4460" s="326" t="s">
        <v>12784</v>
      </c>
    </row>
    <row r="4461" spans="1:4">
      <c r="A4461" s="324" t="s">
        <v>11257</v>
      </c>
      <c r="B4461" s="324" t="s">
        <v>12787</v>
      </c>
      <c r="C4461" s="323" t="s">
        <v>12788</v>
      </c>
      <c r="D4461" s="326" t="s">
        <v>11257</v>
      </c>
    </row>
    <row r="4462" spans="1:4">
      <c r="A4462" s="324" t="s">
        <v>11254</v>
      </c>
      <c r="B4462" s="324" t="s">
        <v>12789</v>
      </c>
      <c r="C4462" s="323" t="s">
        <v>12790</v>
      </c>
      <c r="D4462" s="326" t="s">
        <v>11254</v>
      </c>
    </row>
    <row r="4463" spans="1:4">
      <c r="A4463" s="324" t="s">
        <v>12791</v>
      </c>
      <c r="B4463" s="324" t="s">
        <v>12792</v>
      </c>
      <c r="C4463" s="323" t="s">
        <v>12793</v>
      </c>
      <c r="D4463" s="326" t="s">
        <v>12791</v>
      </c>
    </row>
    <row r="4464" spans="1:4">
      <c r="A4464" s="324" t="s">
        <v>12794</v>
      </c>
      <c r="B4464" s="324" t="s">
        <v>12795</v>
      </c>
      <c r="C4464" s="323" t="s">
        <v>12796</v>
      </c>
      <c r="D4464" s="326" t="s">
        <v>12794</v>
      </c>
    </row>
    <row r="4465" spans="1:4">
      <c r="A4465" s="324" t="s">
        <v>141</v>
      </c>
      <c r="B4465" s="324" t="s">
        <v>12797</v>
      </c>
      <c r="C4465" s="323" t="s">
        <v>12797</v>
      </c>
      <c r="D4465" s="326" t="s">
        <v>141</v>
      </c>
    </row>
    <row r="4466" spans="1:4">
      <c r="A4466" s="324" t="s">
        <v>12798</v>
      </c>
      <c r="B4466" s="324" t="s">
        <v>12799</v>
      </c>
      <c r="C4466" s="323" t="s">
        <v>12800</v>
      </c>
      <c r="D4466" s="326" t="s">
        <v>12798</v>
      </c>
    </row>
    <row r="4467" spans="1:4">
      <c r="A4467" s="324" t="s">
        <v>12801</v>
      </c>
      <c r="B4467" s="324" t="s">
        <v>12802</v>
      </c>
      <c r="C4467" s="323" t="s">
        <v>12803</v>
      </c>
      <c r="D4467" s="326" t="s">
        <v>12801</v>
      </c>
    </row>
    <row r="4468" spans="1:4">
      <c r="A4468" s="324" t="s">
        <v>3443</v>
      </c>
      <c r="B4468" s="324" t="s">
        <v>12804</v>
      </c>
      <c r="C4468" s="323" t="s">
        <v>12805</v>
      </c>
      <c r="D4468" s="326" t="s">
        <v>3443</v>
      </c>
    </row>
    <row r="4469" spans="1:4">
      <c r="A4469" s="324" t="s">
        <v>12806</v>
      </c>
      <c r="B4469" s="324" t="s">
        <v>12807</v>
      </c>
      <c r="C4469" s="323" t="s">
        <v>12808</v>
      </c>
      <c r="D4469" s="326" t="s">
        <v>12806</v>
      </c>
    </row>
    <row r="4470" spans="1:4">
      <c r="A4470" s="324" t="s">
        <v>6191</v>
      </c>
      <c r="B4470" s="324" t="s">
        <v>12809</v>
      </c>
      <c r="C4470" s="323" t="s">
        <v>12810</v>
      </c>
      <c r="D4470" s="326" t="s">
        <v>6191</v>
      </c>
    </row>
    <row r="4471" spans="1:4">
      <c r="A4471" s="324" t="s">
        <v>12811</v>
      </c>
      <c r="B4471" s="324" t="s">
        <v>12812</v>
      </c>
      <c r="C4471" s="323" t="s">
        <v>12813</v>
      </c>
      <c r="D4471" s="326" t="s">
        <v>12811</v>
      </c>
    </row>
    <row r="4472" spans="1:4">
      <c r="A4472" s="324" t="s">
        <v>12678</v>
      </c>
      <c r="B4472" s="324" t="s">
        <v>12814</v>
      </c>
      <c r="C4472" s="323" t="s">
        <v>12815</v>
      </c>
      <c r="D4472" s="326" t="s">
        <v>12678</v>
      </c>
    </row>
    <row r="4473" spans="1:4">
      <c r="A4473" s="324" t="s">
        <v>7349</v>
      </c>
      <c r="B4473" s="324" t="s">
        <v>7348</v>
      </c>
      <c r="C4473" s="323" t="s">
        <v>12816</v>
      </c>
      <c r="D4473" s="326" t="s">
        <v>7349</v>
      </c>
    </row>
    <row r="4474" spans="1:4">
      <c r="A4474" s="324" t="s">
        <v>12817</v>
      </c>
      <c r="B4474" s="324" t="s">
        <v>12818</v>
      </c>
      <c r="C4474" s="323" t="s">
        <v>12819</v>
      </c>
      <c r="D4474" s="326" t="s">
        <v>12817</v>
      </c>
    </row>
    <row r="4475" spans="1:4">
      <c r="A4475" s="324" t="s">
        <v>3443</v>
      </c>
      <c r="B4475" s="324" t="s">
        <v>3496</v>
      </c>
      <c r="C4475" s="323" t="s">
        <v>12820</v>
      </c>
      <c r="D4475" s="326" t="s">
        <v>3443</v>
      </c>
    </row>
    <row r="4476" spans="1:4">
      <c r="A4476" s="324" t="s">
        <v>7739</v>
      </c>
      <c r="B4476" s="324" t="s">
        <v>12821</v>
      </c>
      <c r="C4476" s="323" t="s">
        <v>12822</v>
      </c>
      <c r="D4476" s="326" t="s">
        <v>7739</v>
      </c>
    </row>
    <row r="4477" spans="1:4">
      <c r="A4477" s="324" t="s">
        <v>3502</v>
      </c>
      <c r="B4477" s="324" t="s">
        <v>3503</v>
      </c>
      <c r="C4477" s="323" t="s">
        <v>3504</v>
      </c>
      <c r="D4477" s="326" t="s">
        <v>3502</v>
      </c>
    </row>
    <row r="4478" spans="1:4">
      <c r="A4478" s="324" t="s">
        <v>3517</v>
      </c>
      <c r="B4478" s="324" t="s">
        <v>12823</v>
      </c>
      <c r="C4478" s="323" t="s">
        <v>12824</v>
      </c>
      <c r="D4478" s="326" t="s">
        <v>3517</v>
      </c>
    </row>
    <row r="4479" spans="1:4">
      <c r="A4479" s="324" t="s">
        <v>6998</v>
      </c>
      <c r="B4479" s="324" t="s">
        <v>6997</v>
      </c>
      <c r="C4479" s="323" t="s">
        <v>12825</v>
      </c>
      <c r="D4479" s="326" t="s">
        <v>6998</v>
      </c>
    </row>
    <row r="4480" spans="1:4">
      <c r="A4480" s="324" t="s">
        <v>12826</v>
      </c>
      <c r="B4480" s="324" t="s">
        <v>12827</v>
      </c>
      <c r="C4480" s="323" t="s">
        <v>12828</v>
      </c>
      <c r="D4480" s="325" t="s">
        <v>12829</v>
      </c>
    </row>
    <row r="4481" spans="1:4">
      <c r="A4481" s="324" t="s">
        <v>12830</v>
      </c>
      <c r="B4481" s="324" t="s">
        <v>12831</v>
      </c>
      <c r="C4481" s="323" t="s">
        <v>12832</v>
      </c>
      <c r="D4481" s="325" t="s">
        <v>12833</v>
      </c>
    </row>
    <row r="4482" spans="1:4">
      <c r="A4482" s="324" t="s">
        <v>12834</v>
      </c>
      <c r="B4482" s="324" t="s">
        <v>12835</v>
      </c>
      <c r="C4482" s="323" t="s">
        <v>12836</v>
      </c>
      <c r="D4482" s="326" t="s">
        <v>12834</v>
      </c>
    </row>
    <row r="4483" spans="1:4">
      <c r="A4483" s="324" t="s">
        <v>7015</v>
      </c>
      <c r="B4483" s="324" t="s">
        <v>7014</v>
      </c>
      <c r="C4483" s="323" t="s">
        <v>12837</v>
      </c>
      <c r="D4483" s="326" t="s">
        <v>12838</v>
      </c>
    </row>
    <row r="4484" spans="1:4">
      <c r="A4484" s="324" t="s">
        <v>6960</v>
      </c>
      <c r="B4484" s="324" t="s">
        <v>6959</v>
      </c>
      <c r="C4484" s="323" t="s">
        <v>12839</v>
      </c>
      <c r="D4484" s="326" t="s">
        <v>6960</v>
      </c>
    </row>
    <row r="4485" spans="1:4">
      <c r="A4485" s="324" t="s">
        <v>8461</v>
      </c>
      <c r="B4485" s="324" t="s">
        <v>12840</v>
      </c>
      <c r="C4485" s="323" t="s">
        <v>12841</v>
      </c>
      <c r="D4485" s="326" t="s">
        <v>12842</v>
      </c>
    </row>
    <row r="4486" spans="1:4">
      <c r="A4486" s="324" t="s">
        <v>12843</v>
      </c>
      <c r="B4486" s="324" t="s">
        <v>12844</v>
      </c>
      <c r="C4486" s="323" t="s">
        <v>12845</v>
      </c>
      <c r="D4486" s="326" t="s">
        <v>12846</v>
      </c>
    </row>
    <row r="4487" spans="1:4">
      <c r="A4487" s="324" t="s">
        <v>12631</v>
      </c>
      <c r="B4487" s="324" t="s">
        <v>6589</v>
      </c>
      <c r="C4487" s="323" t="s">
        <v>12847</v>
      </c>
      <c r="D4487" s="326" t="s">
        <v>12631</v>
      </c>
    </row>
    <row r="4488" spans="1:4">
      <c r="A4488" s="324" t="s">
        <v>6241</v>
      </c>
      <c r="B4488" s="324" t="s">
        <v>7028</v>
      </c>
      <c r="C4488" s="323" t="s">
        <v>12848</v>
      </c>
      <c r="D4488" s="326" t="s">
        <v>6241</v>
      </c>
    </row>
    <row r="4489" spans="1:4">
      <c r="A4489" s="324" t="s">
        <v>8289</v>
      </c>
      <c r="B4489" s="324" t="s">
        <v>8288</v>
      </c>
      <c r="C4489" s="323" t="s">
        <v>12849</v>
      </c>
      <c r="D4489" s="326" t="s">
        <v>8289</v>
      </c>
    </row>
    <row r="4490" spans="1:4">
      <c r="A4490" s="324" t="s">
        <v>142</v>
      </c>
      <c r="B4490" s="324" t="s">
        <v>6902</v>
      </c>
      <c r="C4490" s="323" t="s">
        <v>12850</v>
      </c>
      <c r="D4490" s="326" t="s">
        <v>142</v>
      </c>
    </row>
    <row r="4491" spans="1:4">
      <c r="A4491" s="324" t="s">
        <v>7033</v>
      </c>
      <c r="B4491" s="324" t="s">
        <v>7032</v>
      </c>
      <c r="C4491" s="323" t="s">
        <v>12851</v>
      </c>
      <c r="D4491" s="326" t="s">
        <v>7033</v>
      </c>
    </row>
    <row r="4492" spans="1:4">
      <c r="A4492" s="324" t="s">
        <v>8306</v>
      </c>
      <c r="B4492" s="324" t="s">
        <v>8305</v>
      </c>
      <c r="C4492" s="323" t="s">
        <v>12852</v>
      </c>
      <c r="D4492" s="329" t="s">
        <v>12853</v>
      </c>
    </row>
    <row r="4493" spans="1:4">
      <c r="A4493" s="324" t="s">
        <v>3637</v>
      </c>
      <c r="B4493" s="324" t="s">
        <v>3638</v>
      </c>
      <c r="C4493" s="323" t="s">
        <v>7</v>
      </c>
      <c r="D4493" s="326" t="s">
        <v>3637</v>
      </c>
    </row>
    <row r="4494" spans="1:4">
      <c r="A4494" s="324" t="s">
        <v>12854</v>
      </c>
      <c r="B4494" s="324" t="s">
        <v>12855</v>
      </c>
      <c r="C4494" s="323" t="s">
        <v>12856</v>
      </c>
      <c r="D4494" s="326" t="s">
        <v>12854</v>
      </c>
    </row>
    <row r="4495" spans="1:4">
      <c r="A4495" s="324" t="s">
        <v>12857</v>
      </c>
      <c r="B4495" s="324" t="s">
        <v>12858</v>
      </c>
      <c r="C4495" s="323" t="s">
        <v>12859</v>
      </c>
      <c r="D4495" s="328" t="s">
        <v>12860</v>
      </c>
    </row>
    <row r="4496" spans="1:4">
      <c r="A4496" s="324" t="s">
        <v>12861</v>
      </c>
      <c r="B4496" s="324" t="s">
        <v>12862</v>
      </c>
      <c r="C4496" s="323" t="s">
        <v>12863</v>
      </c>
      <c r="D4496" s="325" t="s">
        <v>12864</v>
      </c>
    </row>
    <row r="4497" spans="1:4">
      <c r="A4497" s="324" t="s">
        <v>6996</v>
      </c>
      <c r="B4497" s="324" t="s">
        <v>6995</v>
      </c>
      <c r="C4497" s="323" t="s">
        <v>12865</v>
      </c>
      <c r="D4497" s="325" t="s">
        <v>12866</v>
      </c>
    </row>
    <row r="4498" spans="1:4">
      <c r="A4498" s="324" t="s">
        <v>6282</v>
      </c>
      <c r="B4498" s="324" t="s">
        <v>6915</v>
      </c>
      <c r="C4498" s="323" t="s">
        <v>12867</v>
      </c>
      <c r="D4498" s="325" t="s">
        <v>12868</v>
      </c>
    </row>
    <row r="4499" spans="1:4">
      <c r="A4499" s="324" t="s">
        <v>12869</v>
      </c>
      <c r="B4499" s="324" t="s">
        <v>12870</v>
      </c>
      <c r="C4499" s="323" t="s">
        <v>12871</v>
      </c>
      <c r="D4499" s="325" t="s">
        <v>12872</v>
      </c>
    </row>
    <row r="4500" spans="1:4">
      <c r="A4500" s="324" t="s">
        <v>12873</v>
      </c>
      <c r="B4500" s="324" t="s">
        <v>12874</v>
      </c>
      <c r="C4500" s="323" t="s">
        <v>12875</v>
      </c>
      <c r="D4500" s="325" t="s">
        <v>12876</v>
      </c>
    </row>
    <row r="4501" spans="1:4">
      <c r="A4501" s="324" t="s">
        <v>7143</v>
      </c>
      <c r="B4501" s="324" t="s">
        <v>7142</v>
      </c>
      <c r="C4501" s="323" t="s">
        <v>12877</v>
      </c>
      <c r="D4501" s="325" t="s">
        <v>12878</v>
      </c>
    </row>
    <row r="4502" spans="1:4">
      <c r="A4502" s="324" t="s">
        <v>7374</v>
      </c>
      <c r="B4502" s="324" t="s">
        <v>7141</v>
      </c>
      <c r="C4502" s="323" t="s">
        <v>12879</v>
      </c>
      <c r="D4502" s="325" t="s">
        <v>12880</v>
      </c>
    </row>
    <row r="4503" spans="1:4">
      <c r="A4503" s="324" t="s">
        <v>7145</v>
      </c>
      <c r="B4503" s="324" t="s">
        <v>7144</v>
      </c>
      <c r="C4503" s="323" t="s">
        <v>12881</v>
      </c>
      <c r="D4503" s="325" t="s">
        <v>12882</v>
      </c>
    </row>
    <row r="4504" spans="1:4">
      <c r="A4504" s="324" t="s">
        <v>7155</v>
      </c>
      <c r="B4504" s="324" t="s">
        <v>7154</v>
      </c>
      <c r="C4504" s="323" t="s">
        <v>12883</v>
      </c>
      <c r="D4504" s="325" t="s">
        <v>12884</v>
      </c>
    </row>
    <row r="4505" spans="1:4">
      <c r="A4505" s="324" t="s">
        <v>7151</v>
      </c>
      <c r="B4505" s="324" t="s">
        <v>7150</v>
      </c>
      <c r="C4505" s="323" t="s">
        <v>12885</v>
      </c>
      <c r="D4505" s="325" t="s">
        <v>12886</v>
      </c>
    </row>
    <row r="4506" spans="1:4">
      <c r="A4506" s="324" t="s">
        <v>7147</v>
      </c>
      <c r="B4506" s="324" t="s">
        <v>7146</v>
      </c>
      <c r="C4506" s="323" t="s">
        <v>12887</v>
      </c>
      <c r="D4506" s="325" t="s">
        <v>12888</v>
      </c>
    </row>
    <row r="4507" spans="1:4">
      <c r="A4507" s="324" t="s">
        <v>7153</v>
      </c>
      <c r="B4507" s="324" t="s">
        <v>7152</v>
      </c>
      <c r="C4507" s="323" t="s">
        <v>12885</v>
      </c>
      <c r="D4507" s="325" t="s">
        <v>12889</v>
      </c>
    </row>
    <row r="4508" spans="1:4">
      <c r="A4508" s="324" t="s">
        <v>12890</v>
      </c>
      <c r="B4508" s="324" t="s">
        <v>12891</v>
      </c>
      <c r="C4508" s="323" t="s">
        <v>12892</v>
      </c>
      <c r="D4508" s="325" t="s">
        <v>12893</v>
      </c>
    </row>
    <row r="4509" spans="1:4">
      <c r="A4509" s="324" t="s">
        <v>3676</v>
      </c>
      <c r="B4509" s="324" t="s">
        <v>3677</v>
      </c>
      <c r="C4509" s="323" t="s">
        <v>5865</v>
      </c>
      <c r="D4509" s="325" t="s">
        <v>12894</v>
      </c>
    </row>
    <row r="4510" spans="1:4">
      <c r="A4510" s="324" t="s">
        <v>12895</v>
      </c>
      <c r="B4510" s="324" t="s">
        <v>12896</v>
      </c>
      <c r="C4510" s="323" t="s">
        <v>12897</v>
      </c>
      <c r="D4510" s="326" t="s">
        <v>12895</v>
      </c>
    </row>
    <row r="4511" spans="1:4">
      <c r="A4511" s="324" t="s">
        <v>6085</v>
      </c>
      <c r="B4511" s="324" t="s">
        <v>12898</v>
      </c>
      <c r="C4511" s="323" t="s">
        <v>12899</v>
      </c>
      <c r="D4511" s="326" t="s">
        <v>6085</v>
      </c>
    </row>
    <row r="4512" spans="1:4">
      <c r="A4512" s="324" t="s">
        <v>12900</v>
      </c>
      <c r="B4512" s="324" t="s">
        <v>12901</v>
      </c>
      <c r="C4512" s="323" t="s">
        <v>12902</v>
      </c>
      <c r="D4512" s="326" t="s">
        <v>12900</v>
      </c>
    </row>
    <row r="4513" spans="1:4">
      <c r="A4513" s="324" t="s">
        <v>12903</v>
      </c>
      <c r="B4513" s="324" t="s">
        <v>12904</v>
      </c>
      <c r="C4513" s="323" t="s">
        <v>12905</v>
      </c>
      <c r="D4513" s="326" t="s">
        <v>12903</v>
      </c>
    </row>
    <row r="4514" spans="1:4">
      <c r="A4514" s="324" t="s">
        <v>7003</v>
      </c>
      <c r="B4514" s="324" t="s">
        <v>3754</v>
      </c>
      <c r="C4514" s="323" t="s">
        <v>3755</v>
      </c>
      <c r="D4514" s="326" t="s">
        <v>7003</v>
      </c>
    </row>
    <row r="4515" spans="1:4">
      <c r="A4515" s="324" t="s">
        <v>12906</v>
      </c>
      <c r="B4515" s="324" t="s">
        <v>12907</v>
      </c>
      <c r="C4515" s="323" t="s">
        <v>12908</v>
      </c>
      <c r="D4515" s="326" t="s">
        <v>12906</v>
      </c>
    </row>
    <row r="4516" spans="1:4">
      <c r="A4516" s="324" t="s">
        <v>8191</v>
      </c>
      <c r="B4516" s="324" t="s">
        <v>8190</v>
      </c>
      <c r="C4516" s="323" t="s">
        <v>12909</v>
      </c>
      <c r="D4516" s="326" t="s">
        <v>8191</v>
      </c>
    </row>
    <row r="4517" spans="1:4">
      <c r="A4517" s="324" t="s">
        <v>8193</v>
      </c>
      <c r="B4517" s="324" t="s">
        <v>8192</v>
      </c>
      <c r="C4517" s="323" t="s">
        <v>12910</v>
      </c>
      <c r="D4517" s="326" t="s">
        <v>8193</v>
      </c>
    </row>
    <row r="4518" spans="1:4">
      <c r="A4518" s="324" t="s">
        <v>12911</v>
      </c>
      <c r="B4518" s="324" t="s">
        <v>12912</v>
      </c>
      <c r="C4518" s="323" t="s">
        <v>12913</v>
      </c>
      <c r="D4518" s="326" t="s">
        <v>12911</v>
      </c>
    </row>
    <row r="4519" spans="1:4">
      <c r="A4519" s="324" t="s">
        <v>3797</v>
      </c>
      <c r="B4519" s="324" t="s">
        <v>12914</v>
      </c>
      <c r="C4519" s="323" t="s">
        <v>12915</v>
      </c>
      <c r="D4519" s="326" t="s">
        <v>3797</v>
      </c>
    </row>
    <row r="4520" spans="1:4">
      <c r="A4520" s="324" t="s">
        <v>12916</v>
      </c>
      <c r="B4520" s="324" t="s">
        <v>12917</v>
      </c>
      <c r="C4520" s="323" t="s">
        <v>12918</v>
      </c>
      <c r="D4520" s="326" t="s">
        <v>12916</v>
      </c>
    </row>
    <row r="4521" spans="1:4">
      <c r="A4521" s="324" t="s">
        <v>12919</v>
      </c>
      <c r="B4521" s="324" t="s">
        <v>12920</v>
      </c>
      <c r="C4521" s="323" t="s">
        <v>12921</v>
      </c>
      <c r="D4521" s="326" t="s">
        <v>12919</v>
      </c>
    </row>
    <row r="4522" spans="1:4">
      <c r="A4522" s="324" t="s">
        <v>7023</v>
      </c>
      <c r="B4522" s="324" t="s">
        <v>7022</v>
      </c>
      <c r="C4522" s="323" t="s">
        <v>12922</v>
      </c>
      <c r="D4522" s="326" t="s">
        <v>7023</v>
      </c>
    </row>
    <row r="4523" spans="1:4">
      <c r="A4523" s="324" t="s">
        <v>12923</v>
      </c>
      <c r="B4523" s="324" t="s">
        <v>12924</v>
      </c>
      <c r="C4523" s="323" t="s">
        <v>12925</v>
      </c>
      <c r="D4523" s="326" t="s">
        <v>12926</v>
      </c>
    </row>
    <row r="4524" spans="1:4">
      <c r="A4524" s="324" t="s">
        <v>12927</v>
      </c>
      <c r="B4524" s="324" t="s">
        <v>12928</v>
      </c>
      <c r="C4524" s="323" t="s">
        <v>12929</v>
      </c>
      <c r="D4524" s="326" t="s">
        <v>12930</v>
      </c>
    </row>
    <row r="4525" spans="1:4">
      <c r="A4525" s="324" t="s">
        <v>6040</v>
      </c>
      <c r="B4525" s="324" t="s">
        <v>12931</v>
      </c>
      <c r="C4525" s="323" t="s">
        <v>12932</v>
      </c>
      <c r="D4525" s="326" t="s">
        <v>6040</v>
      </c>
    </row>
    <row r="4526" spans="1:4">
      <c r="A4526" s="324" t="s">
        <v>12933</v>
      </c>
      <c r="B4526" s="324" t="s">
        <v>12934</v>
      </c>
      <c r="C4526" s="323" t="s">
        <v>12935</v>
      </c>
      <c r="D4526" s="326" t="s">
        <v>12933</v>
      </c>
    </row>
    <row r="4527" spans="1:4">
      <c r="A4527" s="324" t="s">
        <v>164</v>
      </c>
      <c r="B4527" s="324" t="s">
        <v>12936</v>
      </c>
      <c r="C4527" s="323" t="s">
        <v>12937</v>
      </c>
      <c r="D4527" s="326" t="s">
        <v>164</v>
      </c>
    </row>
    <row r="4528" spans="1:4">
      <c r="A4528" s="324" t="s">
        <v>12938</v>
      </c>
      <c r="B4528" s="324" t="s">
        <v>12939</v>
      </c>
      <c r="C4528" s="323" t="s">
        <v>12940</v>
      </c>
      <c r="D4528" s="326" t="s">
        <v>12941</v>
      </c>
    </row>
    <row r="4529" spans="1:4">
      <c r="A4529" s="324" t="s">
        <v>12942</v>
      </c>
      <c r="B4529" s="324" t="s">
        <v>12943</v>
      </c>
      <c r="C4529" s="323" t="s">
        <v>12944</v>
      </c>
      <c r="D4529" s="326" t="s">
        <v>12942</v>
      </c>
    </row>
    <row r="4530" spans="1:4">
      <c r="A4530" s="324" t="s">
        <v>12945</v>
      </c>
      <c r="B4530" s="324" t="s">
        <v>12946</v>
      </c>
      <c r="C4530" s="323" t="s">
        <v>12947</v>
      </c>
      <c r="D4530" s="326" t="s">
        <v>12945</v>
      </c>
    </row>
    <row r="4531" spans="1:4">
      <c r="A4531" s="324" t="s">
        <v>1934</v>
      </c>
      <c r="B4531" s="324" t="s">
        <v>12948</v>
      </c>
      <c r="C4531" s="323" t="s">
        <v>12949</v>
      </c>
      <c r="D4531" s="326" t="s">
        <v>1934</v>
      </c>
    </row>
    <row r="4532" spans="1:4">
      <c r="A4532" s="324" t="s">
        <v>12950</v>
      </c>
      <c r="B4532" s="324" t="s">
        <v>12951</v>
      </c>
      <c r="C4532" s="323" t="s">
        <v>12952</v>
      </c>
      <c r="D4532" s="326" t="s">
        <v>12950</v>
      </c>
    </row>
    <row r="4533" spans="1:4">
      <c r="A4533" s="324" t="s">
        <v>12953</v>
      </c>
      <c r="B4533" s="324" t="s">
        <v>3842</v>
      </c>
      <c r="C4533" s="323" t="s">
        <v>12954</v>
      </c>
      <c r="D4533" s="326" t="s">
        <v>12953</v>
      </c>
    </row>
    <row r="4534" spans="1:4">
      <c r="A4534" s="324" t="s">
        <v>12955</v>
      </c>
      <c r="B4534" s="324" t="s">
        <v>12956</v>
      </c>
      <c r="C4534" s="323" t="s">
        <v>12957</v>
      </c>
      <c r="D4534" s="326" t="s">
        <v>12955</v>
      </c>
    </row>
    <row r="4535" spans="1:4">
      <c r="A4535" s="324" t="s">
        <v>12958</v>
      </c>
      <c r="B4535" s="324" t="s">
        <v>12959</v>
      </c>
      <c r="C4535" s="323" t="s">
        <v>12960</v>
      </c>
      <c r="D4535" s="326" t="s">
        <v>12958</v>
      </c>
    </row>
    <row r="4536" spans="1:4">
      <c r="A4536" s="324" t="s">
        <v>12961</v>
      </c>
      <c r="B4536" s="324" t="s">
        <v>12962</v>
      </c>
      <c r="C4536" s="323" t="s">
        <v>12963</v>
      </c>
      <c r="D4536" s="326" t="s">
        <v>12961</v>
      </c>
    </row>
    <row r="4537" spans="1:4">
      <c r="A4537" s="324" t="s">
        <v>12964</v>
      </c>
      <c r="B4537" s="324" t="s">
        <v>12965</v>
      </c>
      <c r="C4537" s="323" t="s">
        <v>12966</v>
      </c>
      <c r="D4537" s="329" t="s">
        <v>12967</v>
      </c>
    </row>
    <row r="4538" spans="1:4">
      <c r="A4538" s="324" t="s">
        <v>12968</v>
      </c>
      <c r="B4538" s="324" t="s">
        <v>12969</v>
      </c>
      <c r="C4538" s="323" t="s">
        <v>12970</v>
      </c>
      <c r="D4538" s="329" t="s">
        <v>12971</v>
      </c>
    </row>
    <row r="4539" spans="1:4">
      <c r="A4539" s="324" t="s">
        <v>12972</v>
      </c>
      <c r="B4539" s="324" t="s">
        <v>12973</v>
      </c>
      <c r="C4539" s="323" t="s">
        <v>12974</v>
      </c>
      <c r="D4539" s="329" t="s">
        <v>12975</v>
      </c>
    </row>
    <row r="4540" spans="1:4">
      <c r="A4540" s="324" t="s">
        <v>12976</v>
      </c>
      <c r="B4540" s="324" t="s">
        <v>12977</v>
      </c>
      <c r="C4540" s="323" t="s">
        <v>12978</v>
      </c>
      <c r="D4540" s="329" t="s">
        <v>12979</v>
      </c>
    </row>
    <row r="4541" spans="1:4">
      <c r="A4541" s="324" t="s">
        <v>12980</v>
      </c>
      <c r="B4541" s="324" t="s">
        <v>12981</v>
      </c>
      <c r="C4541" s="323" t="s">
        <v>12982</v>
      </c>
      <c r="D4541" s="329" t="s">
        <v>12983</v>
      </c>
    </row>
    <row r="4542" spans="1:4">
      <c r="A4542" s="324" t="s">
        <v>12984</v>
      </c>
      <c r="B4542" s="324" t="s">
        <v>12985</v>
      </c>
      <c r="C4542" s="323" t="s">
        <v>12986</v>
      </c>
      <c r="D4542" s="329" t="s">
        <v>12987</v>
      </c>
    </row>
    <row r="4543" spans="1:4">
      <c r="A4543" s="324" t="s">
        <v>12988</v>
      </c>
      <c r="B4543" s="324" t="s">
        <v>12989</v>
      </c>
      <c r="C4543" s="323" t="s">
        <v>12990</v>
      </c>
      <c r="D4543" s="329" t="s">
        <v>12991</v>
      </c>
    </row>
    <row r="4544" spans="1:4">
      <c r="A4544" s="324" t="s">
        <v>12992</v>
      </c>
      <c r="B4544" s="324" t="s">
        <v>12993</v>
      </c>
      <c r="C4544" s="323" t="s">
        <v>12994</v>
      </c>
      <c r="D4544" s="325" t="s">
        <v>12995</v>
      </c>
    </row>
    <row r="4545" spans="1:4">
      <c r="A4545" s="324" t="s">
        <v>12996</v>
      </c>
      <c r="B4545" s="324" t="s">
        <v>12997</v>
      </c>
      <c r="C4545" s="323" t="s">
        <v>12998</v>
      </c>
      <c r="D4545" s="325" t="s">
        <v>12999</v>
      </c>
    </row>
    <row r="4546" spans="1:4">
      <c r="A4546" s="324" t="s">
        <v>13000</v>
      </c>
      <c r="B4546" s="324" t="s">
        <v>13001</v>
      </c>
      <c r="C4546" s="323" t="s">
        <v>13002</v>
      </c>
      <c r="D4546" s="325" t="s">
        <v>13003</v>
      </c>
    </row>
    <row r="4547" spans="1:4">
      <c r="A4547" s="324" t="s">
        <v>13004</v>
      </c>
      <c r="B4547" s="324" t="s">
        <v>13005</v>
      </c>
      <c r="C4547" s="323" t="s">
        <v>13006</v>
      </c>
      <c r="D4547" s="330" t="s">
        <v>13007</v>
      </c>
    </row>
    <row r="4548" spans="1:4">
      <c r="A4548" s="324" t="s">
        <v>13008</v>
      </c>
      <c r="B4548" s="324" t="s">
        <v>13009</v>
      </c>
      <c r="C4548" s="323" t="s">
        <v>13010</v>
      </c>
      <c r="D4548" s="325" t="s">
        <v>13011</v>
      </c>
    </row>
    <row r="4549" spans="1:4">
      <c r="A4549" s="324" t="s">
        <v>13012</v>
      </c>
      <c r="B4549" s="324" t="s">
        <v>13013</v>
      </c>
      <c r="C4549" s="323" t="s">
        <v>13014</v>
      </c>
      <c r="D4549" s="325" t="s">
        <v>13015</v>
      </c>
    </row>
    <row r="4550" spans="1:4">
      <c r="A4550" s="324" t="s">
        <v>13016</v>
      </c>
      <c r="B4550" s="324" t="s">
        <v>13017</v>
      </c>
      <c r="C4550" s="323" t="s">
        <v>13018</v>
      </c>
      <c r="D4550" s="326" t="s">
        <v>13016</v>
      </c>
    </row>
    <row r="4551" spans="1:4">
      <c r="A4551" s="324" t="s">
        <v>13019</v>
      </c>
      <c r="B4551" s="324" t="s">
        <v>13020</v>
      </c>
      <c r="C4551" s="323" t="s">
        <v>13021</v>
      </c>
      <c r="D4551" s="329" t="s">
        <v>13022</v>
      </c>
    </row>
    <row r="4552" spans="1:4">
      <c r="A4552" s="324" t="s">
        <v>13023</v>
      </c>
      <c r="B4552" s="324" t="s">
        <v>13024</v>
      </c>
      <c r="C4552" s="323" t="s">
        <v>13025</v>
      </c>
      <c r="D4552" s="326" t="s">
        <v>13023</v>
      </c>
    </row>
    <row r="4553" spans="1:4">
      <c r="A4553" s="324" t="s">
        <v>13026</v>
      </c>
      <c r="B4553" s="324" t="s">
        <v>13027</v>
      </c>
      <c r="C4553" s="323" t="s">
        <v>13028</v>
      </c>
      <c r="D4553" s="325" t="s">
        <v>13029</v>
      </c>
    </row>
    <row r="4554" spans="1:4">
      <c r="A4554" s="324" t="s">
        <v>7061</v>
      </c>
      <c r="B4554" s="324" t="s">
        <v>13030</v>
      </c>
      <c r="C4554" s="323" t="s">
        <v>13031</v>
      </c>
      <c r="D4554" s="326" t="s">
        <v>7061</v>
      </c>
    </row>
    <row r="4555" spans="1:4">
      <c r="A4555" s="324" t="s">
        <v>13032</v>
      </c>
      <c r="B4555" s="324" t="s">
        <v>13033</v>
      </c>
      <c r="C4555" s="323" t="s">
        <v>13034</v>
      </c>
      <c r="D4555" s="326" t="s">
        <v>13032</v>
      </c>
    </row>
    <row r="4556" spans="1:4">
      <c r="A4556" s="324" t="s">
        <v>13035</v>
      </c>
      <c r="B4556" s="324" t="s">
        <v>13036</v>
      </c>
      <c r="C4556" s="323" t="s">
        <v>13037</v>
      </c>
      <c r="D4556" s="325" t="s">
        <v>13038</v>
      </c>
    </row>
    <row r="4557" spans="1:4">
      <c r="A4557" s="324" t="s">
        <v>13039</v>
      </c>
      <c r="B4557" s="324" t="s">
        <v>13040</v>
      </c>
      <c r="C4557" s="323" t="s">
        <v>13041</v>
      </c>
      <c r="D4557" s="325" t="s">
        <v>13042</v>
      </c>
    </row>
    <row r="4558" spans="1:4">
      <c r="A4558" s="324" t="s">
        <v>8638</v>
      </c>
      <c r="B4558" s="324" t="s">
        <v>4011</v>
      </c>
      <c r="C4558" s="323" t="s">
        <v>4011</v>
      </c>
      <c r="D4558" s="326" t="s">
        <v>13043</v>
      </c>
    </row>
    <row r="4559" spans="1:4">
      <c r="A4559" s="324" t="s">
        <v>4757</v>
      </c>
      <c r="B4559" s="324" t="s">
        <v>13044</v>
      </c>
      <c r="C4559" s="323" t="s">
        <v>13045</v>
      </c>
      <c r="D4559" s="326" t="s">
        <v>4757</v>
      </c>
    </row>
    <row r="4560" spans="1:4">
      <c r="A4560" s="324" t="s">
        <v>13046</v>
      </c>
      <c r="B4560" s="324" t="s">
        <v>13047</v>
      </c>
      <c r="C4560" s="323" t="s">
        <v>13048</v>
      </c>
      <c r="D4560" s="326" t="s">
        <v>13046</v>
      </c>
    </row>
    <row r="4561" spans="1:4">
      <c r="A4561" s="324" t="s">
        <v>4266</v>
      </c>
      <c r="B4561" s="324" t="s">
        <v>13049</v>
      </c>
      <c r="C4561" s="323" t="s">
        <v>4268</v>
      </c>
      <c r="D4561" s="326" t="s">
        <v>4266</v>
      </c>
    </row>
    <row r="4562" spans="1:4">
      <c r="A4562" s="324" t="s">
        <v>4025</v>
      </c>
      <c r="B4562" s="324" t="s">
        <v>4026</v>
      </c>
      <c r="C4562" s="323" t="s">
        <v>4027</v>
      </c>
      <c r="D4562" s="326" t="s">
        <v>4025</v>
      </c>
    </row>
    <row r="4563" spans="1:4">
      <c r="A4563" s="324" t="s">
        <v>4028</v>
      </c>
      <c r="B4563" s="324" t="s">
        <v>13050</v>
      </c>
      <c r="C4563" s="323" t="s">
        <v>13051</v>
      </c>
      <c r="D4563" s="325" t="s">
        <v>13052</v>
      </c>
    </row>
    <row r="4564" spans="1:4">
      <c r="A4564" s="324" t="s">
        <v>13053</v>
      </c>
      <c r="B4564" s="324" t="s">
        <v>13054</v>
      </c>
      <c r="C4564" s="323" t="s">
        <v>13055</v>
      </c>
      <c r="D4564" s="325" t="s">
        <v>13056</v>
      </c>
    </row>
    <row r="4565" spans="1:4">
      <c r="A4565" s="324" t="s">
        <v>13057</v>
      </c>
      <c r="B4565" s="324" t="s">
        <v>13058</v>
      </c>
      <c r="C4565" s="323" t="s">
        <v>13059</v>
      </c>
      <c r="D4565" s="325" t="s">
        <v>13060</v>
      </c>
    </row>
    <row r="4566" spans="1:4">
      <c r="A4566" s="324" t="s">
        <v>13061</v>
      </c>
      <c r="B4566" s="324" t="s">
        <v>13062</v>
      </c>
      <c r="C4566" s="323" t="s">
        <v>13063</v>
      </c>
      <c r="D4566" s="325" t="s">
        <v>13064</v>
      </c>
    </row>
    <row r="4567" spans="1:4">
      <c r="A4567" s="324" t="s">
        <v>13065</v>
      </c>
      <c r="B4567" s="324" t="s">
        <v>13066</v>
      </c>
      <c r="C4567" s="323" t="s">
        <v>13067</v>
      </c>
      <c r="D4567" s="325" t="s">
        <v>13068</v>
      </c>
    </row>
    <row r="4568" spans="1:4">
      <c r="A4568" s="324" t="s">
        <v>13069</v>
      </c>
      <c r="B4568" s="324" t="s">
        <v>6980</v>
      </c>
      <c r="C4568" s="323" t="s">
        <v>12940</v>
      </c>
      <c r="D4568" s="325" t="s">
        <v>13070</v>
      </c>
    </row>
    <row r="4569" spans="1:4">
      <c r="A4569" s="324" t="s">
        <v>6698</v>
      </c>
      <c r="B4569" s="324" t="s">
        <v>6696</v>
      </c>
      <c r="C4569" s="323" t="s">
        <v>13071</v>
      </c>
      <c r="D4569" s="326" t="s">
        <v>6698</v>
      </c>
    </row>
    <row r="4570" spans="1:4">
      <c r="A4570" s="324" t="s">
        <v>8580</v>
      </c>
      <c r="B4570" s="324" t="s">
        <v>8579</v>
      </c>
      <c r="C4570" s="323" t="s">
        <v>13072</v>
      </c>
      <c r="D4570" s="326" t="s">
        <v>8580</v>
      </c>
    </row>
    <row r="4571" spans="1:4">
      <c r="A4571" s="324" t="s">
        <v>13073</v>
      </c>
      <c r="B4571" s="324" t="s">
        <v>6987</v>
      </c>
      <c r="C4571" s="323" t="s">
        <v>12944</v>
      </c>
      <c r="D4571" s="326" t="s">
        <v>13074</v>
      </c>
    </row>
    <row r="4572" spans="1:4">
      <c r="A4572" s="324" t="s">
        <v>6317</v>
      </c>
      <c r="B4572" s="324" t="s">
        <v>6494</v>
      </c>
      <c r="C4572" s="323" t="s">
        <v>13075</v>
      </c>
      <c r="D4572" s="326" t="s">
        <v>6317</v>
      </c>
    </row>
    <row r="4573" spans="1:4">
      <c r="A4573" s="324" t="s">
        <v>13076</v>
      </c>
      <c r="B4573" s="324" t="s">
        <v>13077</v>
      </c>
      <c r="C4573" s="323" t="s">
        <v>13078</v>
      </c>
      <c r="D4573" s="326" t="s">
        <v>13076</v>
      </c>
    </row>
    <row r="4574" spans="1:4">
      <c r="A4574" s="324" t="s">
        <v>6698</v>
      </c>
      <c r="B4574" s="324" t="s">
        <v>6694</v>
      </c>
      <c r="C4574" s="323" t="s">
        <v>13079</v>
      </c>
      <c r="D4574" s="326" t="s">
        <v>6698</v>
      </c>
    </row>
    <row r="4575" spans="1:4">
      <c r="A4575" s="324" t="s">
        <v>13080</v>
      </c>
      <c r="B4575" s="324" t="s">
        <v>8407</v>
      </c>
      <c r="C4575" s="323" t="s">
        <v>13081</v>
      </c>
      <c r="D4575" s="326" t="s">
        <v>13080</v>
      </c>
    </row>
    <row r="4576" spans="1:4">
      <c r="A4576" s="324" t="s">
        <v>6962</v>
      </c>
      <c r="B4576" s="324" t="s">
        <v>6961</v>
      </c>
      <c r="C4576" s="323" t="s">
        <v>13082</v>
      </c>
      <c r="D4576" s="326" t="s">
        <v>6962</v>
      </c>
    </row>
    <row r="4577" spans="1:4">
      <c r="A4577" s="324" t="s">
        <v>13083</v>
      </c>
      <c r="B4577" s="324" t="s">
        <v>6497</v>
      </c>
      <c r="C4577" s="323" t="s">
        <v>13084</v>
      </c>
      <c r="D4577" s="326" t="s">
        <v>13085</v>
      </c>
    </row>
    <row r="4578" spans="1:4">
      <c r="A4578" s="324" t="s">
        <v>8428</v>
      </c>
      <c r="B4578" s="324" t="s">
        <v>8427</v>
      </c>
      <c r="C4578" s="323" t="s">
        <v>13086</v>
      </c>
      <c r="D4578" s="326" t="s">
        <v>8428</v>
      </c>
    </row>
    <row r="4579" spans="1:4">
      <c r="A4579" s="324" t="s">
        <v>6493</v>
      </c>
      <c r="B4579" s="324" t="s">
        <v>6491</v>
      </c>
      <c r="C4579" s="323" t="s">
        <v>13087</v>
      </c>
      <c r="D4579" s="326" t="s">
        <v>6493</v>
      </c>
    </row>
    <row r="4580" spans="1:4">
      <c r="A4580" s="324" t="s">
        <v>13088</v>
      </c>
      <c r="B4580" s="324" t="s">
        <v>13089</v>
      </c>
      <c r="C4580" s="323" t="s">
        <v>13090</v>
      </c>
      <c r="D4580" s="326" t="s">
        <v>13088</v>
      </c>
    </row>
    <row r="4581" spans="1:4">
      <c r="A4581" s="324" t="s">
        <v>6493</v>
      </c>
      <c r="B4581" s="324" t="s">
        <v>8799</v>
      </c>
      <c r="C4581" s="323" t="s">
        <v>13091</v>
      </c>
      <c r="D4581" s="326" t="s">
        <v>6493</v>
      </c>
    </row>
    <row r="4582" spans="1:4">
      <c r="A4582" s="324" t="s">
        <v>13092</v>
      </c>
      <c r="B4582" s="324" t="s">
        <v>13093</v>
      </c>
      <c r="C4582" s="323" t="s">
        <v>13094</v>
      </c>
      <c r="D4582" s="326" t="s">
        <v>13092</v>
      </c>
    </row>
    <row r="4583" spans="1:4">
      <c r="A4583" s="324" t="s">
        <v>8424</v>
      </c>
      <c r="B4583" s="324" t="s">
        <v>8423</v>
      </c>
      <c r="C4583" s="323" t="s">
        <v>13095</v>
      </c>
      <c r="D4583" s="326" t="s">
        <v>8424</v>
      </c>
    </row>
    <row r="4584" spans="1:4">
      <c r="A4584" s="324" t="s">
        <v>8418</v>
      </c>
      <c r="B4584" s="324" t="s">
        <v>8417</v>
      </c>
      <c r="C4584" s="323" t="s">
        <v>13096</v>
      </c>
      <c r="D4584" s="326" t="s">
        <v>8418</v>
      </c>
    </row>
    <row r="4585" spans="1:4">
      <c r="A4585" s="324" t="s">
        <v>13097</v>
      </c>
      <c r="B4585" s="324" t="s">
        <v>13098</v>
      </c>
      <c r="C4585" s="323" t="s">
        <v>13099</v>
      </c>
      <c r="D4585" s="326" t="s">
        <v>13100</v>
      </c>
    </row>
    <row r="4586" spans="1:4">
      <c r="A4586" s="324" t="s">
        <v>8416</v>
      </c>
      <c r="B4586" s="324" t="s">
        <v>8415</v>
      </c>
      <c r="C4586" s="323" t="s">
        <v>13101</v>
      </c>
      <c r="D4586" s="326" t="s">
        <v>8416</v>
      </c>
    </row>
    <row r="4587" spans="1:4">
      <c r="A4587" s="324" t="s">
        <v>13102</v>
      </c>
      <c r="B4587" s="324" t="s">
        <v>13103</v>
      </c>
      <c r="C4587" s="323" t="s">
        <v>13104</v>
      </c>
      <c r="D4587" s="326" t="s">
        <v>13102</v>
      </c>
    </row>
    <row r="4588" spans="1:4">
      <c r="A4588" s="324" t="s">
        <v>13105</v>
      </c>
      <c r="B4588" s="324" t="s">
        <v>13106</v>
      </c>
      <c r="C4588" s="323" t="s">
        <v>13107</v>
      </c>
      <c r="D4588" s="326" t="s">
        <v>13105</v>
      </c>
    </row>
    <row r="4589" spans="1:4">
      <c r="A4589" s="324" t="s">
        <v>13108</v>
      </c>
      <c r="B4589" s="324" t="s">
        <v>13109</v>
      </c>
      <c r="C4589" s="323" t="s">
        <v>13110</v>
      </c>
      <c r="D4589" s="326" t="s">
        <v>13108</v>
      </c>
    </row>
    <row r="4590" spans="1:4">
      <c r="A4590" s="324" t="s">
        <v>13111</v>
      </c>
      <c r="B4590" s="324" t="s">
        <v>13112</v>
      </c>
      <c r="C4590" s="323" t="s">
        <v>13113</v>
      </c>
      <c r="D4590" s="326" t="s">
        <v>13111</v>
      </c>
    </row>
    <row r="4591" spans="1:4">
      <c r="A4591" s="324" t="s">
        <v>13114</v>
      </c>
      <c r="B4591" s="324" t="s">
        <v>13115</v>
      </c>
      <c r="C4591" s="323" t="s">
        <v>13116</v>
      </c>
      <c r="D4591" s="326" t="s">
        <v>13114</v>
      </c>
    </row>
    <row r="4592" spans="1:4">
      <c r="A4592" s="324" t="s">
        <v>13117</v>
      </c>
      <c r="B4592" s="324" t="s">
        <v>13118</v>
      </c>
      <c r="C4592" s="323" t="s">
        <v>13119</v>
      </c>
      <c r="D4592" s="326" t="s">
        <v>13117</v>
      </c>
    </row>
    <row r="4593" spans="1:4">
      <c r="A4593" s="324" t="s">
        <v>13120</v>
      </c>
      <c r="B4593" s="324" t="s">
        <v>13121</v>
      </c>
      <c r="C4593" s="323" t="s">
        <v>13122</v>
      </c>
      <c r="D4593" s="326" t="s">
        <v>13120</v>
      </c>
    </row>
    <row r="4594" spans="1:4">
      <c r="A4594" s="324" t="s">
        <v>13123</v>
      </c>
      <c r="B4594" s="324" t="s">
        <v>13124</v>
      </c>
      <c r="C4594" s="323" t="s">
        <v>13125</v>
      </c>
      <c r="D4594" s="326" t="s">
        <v>13123</v>
      </c>
    </row>
    <row r="4595" spans="1:4">
      <c r="A4595" s="324" t="s">
        <v>13126</v>
      </c>
      <c r="B4595" s="324" t="s">
        <v>13127</v>
      </c>
      <c r="C4595" s="323" t="s">
        <v>13128</v>
      </c>
      <c r="D4595" s="326" t="s">
        <v>13126</v>
      </c>
    </row>
    <row r="4596" spans="1:4">
      <c r="A4596" s="324" t="s">
        <v>13129</v>
      </c>
      <c r="B4596" s="324" t="s">
        <v>8210</v>
      </c>
      <c r="C4596" s="323" t="s">
        <v>13130</v>
      </c>
      <c r="D4596" s="326" t="s">
        <v>13129</v>
      </c>
    </row>
    <row r="4597" spans="1:4">
      <c r="A4597" s="324" t="s">
        <v>7162</v>
      </c>
      <c r="B4597" s="324" t="s">
        <v>8212</v>
      </c>
      <c r="C4597" s="323" t="s">
        <v>13131</v>
      </c>
      <c r="D4597" s="326" t="s">
        <v>7162</v>
      </c>
    </row>
    <row r="4598" spans="1:4">
      <c r="A4598" s="324" t="s">
        <v>13132</v>
      </c>
      <c r="B4598" s="324" t="s">
        <v>13133</v>
      </c>
      <c r="C4598" s="323" t="s">
        <v>13134</v>
      </c>
      <c r="D4598" s="326" t="s">
        <v>13135</v>
      </c>
    </row>
    <row r="4599" spans="1:4">
      <c r="A4599" s="324" t="s">
        <v>13136</v>
      </c>
      <c r="B4599" s="324" t="s">
        <v>13137</v>
      </c>
      <c r="C4599" s="323" t="s">
        <v>13138</v>
      </c>
      <c r="D4599" s="326" t="s">
        <v>13139</v>
      </c>
    </row>
    <row r="4600" spans="1:4">
      <c r="A4600" s="324" t="s">
        <v>13140</v>
      </c>
      <c r="B4600" s="324" t="s">
        <v>13141</v>
      </c>
      <c r="C4600" s="323" t="s">
        <v>13142</v>
      </c>
      <c r="D4600" s="326" t="s">
        <v>13143</v>
      </c>
    </row>
    <row r="4601" spans="1:4">
      <c r="A4601" s="324" t="s">
        <v>13144</v>
      </c>
      <c r="B4601" s="324" t="s">
        <v>13145</v>
      </c>
      <c r="C4601" s="323" t="s">
        <v>13146</v>
      </c>
      <c r="D4601" s="326" t="s">
        <v>13147</v>
      </c>
    </row>
    <row r="4602" spans="1:4">
      <c r="A4602" s="324" t="s">
        <v>13148</v>
      </c>
      <c r="B4602" s="324" t="s">
        <v>13149</v>
      </c>
      <c r="C4602" s="323" t="s">
        <v>13150</v>
      </c>
      <c r="D4602" s="326" t="s">
        <v>13148</v>
      </c>
    </row>
    <row r="4603" spans="1:4">
      <c r="A4603" s="324" t="s">
        <v>13151</v>
      </c>
      <c r="B4603" s="324" t="s">
        <v>13152</v>
      </c>
      <c r="C4603" s="323" t="s">
        <v>13153</v>
      </c>
      <c r="D4603" s="326" t="s">
        <v>13151</v>
      </c>
    </row>
    <row r="4604" spans="1:4">
      <c r="A4604" s="324" t="s">
        <v>13154</v>
      </c>
      <c r="B4604" s="324" t="s">
        <v>13155</v>
      </c>
      <c r="C4604" s="323" t="s">
        <v>13156</v>
      </c>
      <c r="D4604" s="326" t="s">
        <v>13154</v>
      </c>
    </row>
    <row r="4605" spans="1:4">
      <c r="A4605" s="324" t="s">
        <v>13157</v>
      </c>
      <c r="B4605" s="324" t="s">
        <v>13158</v>
      </c>
      <c r="C4605" s="323" t="s">
        <v>13159</v>
      </c>
      <c r="D4605" s="326" t="s">
        <v>13157</v>
      </c>
    </row>
    <row r="4606" spans="1:4">
      <c r="A4606" s="324" t="s">
        <v>13160</v>
      </c>
      <c r="B4606" s="324" t="s">
        <v>13161</v>
      </c>
      <c r="C4606" s="323" t="s">
        <v>13162</v>
      </c>
      <c r="D4606" s="326" t="s">
        <v>13160</v>
      </c>
    </row>
    <row r="4607" spans="1:4">
      <c r="A4607" s="324" t="s">
        <v>6105</v>
      </c>
      <c r="B4607" s="324" t="s">
        <v>13163</v>
      </c>
      <c r="C4607" s="323" t="s">
        <v>13164</v>
      </c>
      <c r="D4607" s="326" t="s">
        <v>6105</v>
      </c>
    </row>
    <row r="4608" spans="1:4">
      <c r="A4608" s="324" t="s">
        <v>6133</v>
      </c>
      <c r="B4608" s="324" t="s">
        <v>13165</v>
      </c>
      <c r="C4608" s="323" t="s">
        <v>13166</v>
      </c>
      <c r="D4608" s="326" t="s">
        <v>6133</v>
      </c>
    </row>
    <row r="4609" spans="1:4">
      <c r="A4609" s="324" t="s">
        <v>13167</v>
      </c>
      <c r="B4609" s="324" t="s">
        <v>13168</v>
      </c>
      <c r="C4609" s="323" t="s">
        <v>13169</v>
      </c>
      <c r="D4609" s="326" t="s">
        <v>13167</v>
      </c>
    </row>
    <row r="4610" spans="1:4">
      <c r="A4610" s="324" t="s">
        <v>1156</v>
      </c>
      <c r="B4610" s="324" t="s">
        <v>13170</v>
      </c>
      <c r="C4610" s="323" t="s">
        <v>13171</v>
      </c>
      <c r="D4610" s="326" t="s">
        <v>1156</v>
      </c>
    </row>
    <row r="4611" spans="1:4">
      <c r="A4611" s="324" t="s">
        <v>13172</v>
      </c>
      <c r="B4611" s="324" t="s">
        <v>13173</v>
      </c>
      <c r="C4611" s="323" t="s">
        <v>13174</v>
      </c>
      <c r="D4611" s="326" t="s">
        <v>13172</v>
      </c>
    </row>
    <row r="4612" spans="1:4">
      <c r="A4612" s="324" t="s">
        <v>13175</v>
      </c>
      <c r="B4612" s="324" t="s">
        <v>13176</v>
      </c>
      <c r="C4612" s="323" t="s">
        <v>13177</v>
      </c>
      <c r="D4612" s="326" t="s">
        <v>13175</v>
      </c>
    </row>
    <row r="4613" spans="1:4">
      <c r="A4613" s="324" t="s">
        <v>13178</v>
      </c>
      <c r="B4613" s="324" t="s">
        <v>13179</v>
      </c>
      <c r="C4613" s="323" t="s">
        <v>13180</v>
      </c>
      <c r="D4613" s="326" t="s">
        <v>13178</v>
      </c>
    </row>
    <row r="4614" spans="1:4">
      <c r="A4614" s="324" t="s">
        <v>13181</v>
      </c>
      <c r="B4614" s="324" t="s">
        <v>13182</v>
      </c>
      <c r="C4614" s="323" t="s">
        <v>13183</v>
      </c>
      <c r="D4614" s="326" t="s">
        <v>13181</v>
      </c>
    </row>
    <row r="4615" spans="1:4">
      <c r="A4615" s="324" t="s">
        <v>13184</v>
      </c>
      <c r="B4615" s="324" t="s">
        <v>13185</v>
      </c>
      <c r="C4615" s="323" t="s">
        <v>13186</v>
      </c>
      <c r="D4615" s="326" t="s">
        <v>13184</v>
      </c>
    </row>
    <row r="4616" spans="1:4">
      <c r="A4616" s="324" t="s">
        <v>6099</v>
      </c>
      <c r="B4616" s="324" t="s">
        <v>13187</v>
      </c>
      <c r="C4616" s="323" t="s">
        <v>13188</v>
      </c>
      <c r="D4616" s="326" t="s">
        <v>6099</v>
      </c>
    </row>
    <row r="4617" spans="1:4">
      <c r="A4617" s="324" t="s">
        <v>13189</v>
      </c>
      <c r="B4617" s="324" t="s">
        <v>13190</v>
      </c>
      <c r="C4617" s="323" t="s">
        <v>13191</v>
      </c>
      <c r="D4617" s="326" t="s">
        <v>13189</v>
      </c>
    </row>
    <row r="4618" spans="1:4">
      <c r="A4618" s="324" t="s">
        <v>13192</v>
      </c>
      <c r="B4618" s="324" t="s">
        <v>13193</v>
      </c>
      <c r="C4618" s="323" t="s">
        <v>13194</v>
      </c>
      <c r="D4618" s="326" t="s">
        <v>13192</v>
      </c>
    </row>
    <row r="4619" spans="1:4">
      <c r="A4619" s="324" t="s">
        <v>13195</v>
      </c>
      <c r="B4619" s="324" t="s">
        <v>13196</v>
      </c>
      <c r="C4619" s="323" t="s">
        <v>13197</v>
      </c>
      <c r="D4619" s="326" t="s">
        <v>13198</v>
      </c>
    </row>
    <row r="4620" spans="1:4">
      <c r="A4620" s="324" t="s">
        <v>13199</v>
      </c>
      <c r="B4620" s="324" t="s">
        <v>13200</v>
      </c>
      <c r="C4620" s="323" t="s">
        <v>13201</v>
      </c>
      <c r="D4620" s="326" t="s">
        <v>13202</v>
      </c>
    </row>
    <row r="4621" spans="1:4">
      <c r="A4621" s="324" t="s">
        <v>13203</v>
      </c>
      <c r="B4621" s="324" t="s">
        <v>13204</v>
      </c>
      <c r="C4621" s="323" t="s">
        <v>13205</v>
      </c>
      <c r="D4621" s="326" t="s">
        <v>13206</v>
      </c>
    </row>
    <row r="4622" spans="1:4">
      <c r="A4622" s="324" t="s">
        <v>13207</v>
      </c>
      <c r="B4622" s="324" t="s">
        <v>13208</v>
      </c>
      <c r="C4622" s="323" t="s">
        <v>13209</v>
      </c>
      <c r="D4622" s="326" t="s">
        <v>13207</v>
      </c>
    </row>
    <row r="4623" spans="1:4">
      <c r="A4623" s="324" t="s">
        <v>13210</v>
      </c>
      <c r="B4623" s="324" t="s">
        <v>13211</v>
      </c>
      <c r="C4623" s="323" t="s">
        <v>13212</v>
      </c>
      <c r="D4623" s="326" t="s">
        <v>13210</v>
      </c>
    </row>
    <row r="4624" spans="1:4">
      <c r="A4624" s="324" t="s">
        <v>13213</v>
      </c>
      <c r="B4624" s="324" t="s">
        <v>13214</v>
      </c>
      <c r="C4624" s="323" t="s">
        <v>13215</v>
      </c>
      <c r="D4624" s="326" t="s">
        <v>13213</v>
      </c>
    </row>
    <row r="4625" spans="1:4">
      <c r="A4625" s="324" t="s">
        <v>13216</v>
      </c>
      <c r="B4625" s="324" t="s">
        <v>13217</v>
      </c>
      <c r="C4625" s="323" t="s">
        <v>13218</v>
      </c>
      <c r="D4625" s="326" t="s">
        <v>13219</v>
      </c>
    </row>
    <row r="4626" spans="1:4">
      <c r="A4626" s="324" t="s">
        <v>13220</v>
      </c>
      <c r="B4626" s="324" t="s">
        <v>13221</v>
      </c>
      <c r="C4626" s="323" t="s">
        <v>13222</v>
      </c>
      <c r="D4626" s="326" t="s">
        <v>13220</v>
      </c>
    </row>
    <row r="4627" spans="1:4">
      <c r="A4627" s="324" t="s">
        <v>13223</v>
      </c>
      <c r="B4627" s="324" t="s">
        <v>13224</v>
      </c>
      <c r="C4627" s="323" t="s">
        <v>13225</v>
      </c>
      <c r="D4627" s="326" t="s">
        <v>13223</v>
      </c>
    </row>
    <row r="4628" spans="1:4">
      <c r="A4628" s="324" t="s">
        <v>13226</v>
      </c>
      <c r="B4628" s="324" t="s">
        <v>13227</v>
      </c>
      <c r="C4628" s="323" t="s">
        <v>13228</v>
      </c>
      <c r="D4628" s="326" t="s">
        <v>13226</v>
      </c>
    </row>
    <row r="4629" spans="1:4">
      <c r="A4629" s="324" t="s">
        <v>13229</v>
      </c>
      <c r="B4629" s="324" t="s">
        <v>13230</v>
      </c>
      <c r="C4629" s="323" t="s">
        <v>13231</v>
      </c>
      <c r="D4629" s="326" t="s">
        <v>13229</v>
      </c>
    </row>
    <row r="4630" spans="1:4">
      <c r="A4630" s="324" t="s">
        <v>13232</v>
      </c>
      <c r="B4630" s="324" t="s">
        <v>13233</v>
      </c>
      <c r="C4630" s="323" t="s">
        <v>13234</v>
      </c>
      <c r="D4630" s="326" t="s">
        <v>13232</v>
      </c>
    </row>
    <row r="4631" spans="1:4">
      <c r="A4631" s="324" t="s">
        <v>13226</v>
      </c>
      <c r="B4631" s="324" t="s">
        <v>13235</v>
      </c>
      <c r="C4631" s="323" t="s">
        <v>13228</v>
      </c>
      <c r="D4631" s="326" t="s">
        <v>13226</v>
      </c>
    </row>
    <row r="4632" spans="1:4">
      <c r="A4632" s="324" t="s">
        <v>13236</v>
      </c>
      <c r="B4632" s="324" t="s">
        <v>13237</v>
      </c>
      <c r="C4632" s="323" t="s">
        <v>13238</v>
      </c>
      <c r="D4632" s="326" t="s">
        <v>13239</v>
      </c>
    </row>
    <row r="4633" spans="1:4">
      <c r="A4633" s="324" t="s">
        <v>13220</v>
      </c>
      <c r="B4633" s="324" t="s">
        <v>13240</v>
      </c>
      <c r="C4633" s="323" t="s">
        <v>13241</v>
      </c>
      <c r="D4633" s="326" t="s">
        <v>13220</v>
      </c>
    </row>
    <row r="4634" spans="1:4">
      <c r="A4634" s="324" t="s">
        <v>4117</v>
      </c>
      <c r="B4634" s="324" t="s">
        <v>13242</v>
      </c>
      <c r="C4634" s="323" t="s">
        <v>13243</v>
      </c>
      <c r="D4634" s="326" t="s">
        <v>4117</v>
      </c>
    </row>
    <row r="4635" spans="1:4">
      <c r="A4635" s="324" t="s">
        <v>13151</v>
      </c>
      <c r="B4635" s="324" t="s">
        <v>13244</v>
      </c>
      <c r="C4635" s="323" t="s">
        <v>13153</v>
      </c>
      <c r="D4635" s="326" t="s">
        <v>13151</v>
      </c>
    </row>
    <row r="4636" spans="1:4">
      <c r="A4636" s="324" t="s">
        <v>8617</v>
      </c>
      <c r="B4636" s="324" t="s">
        <v>8616</v>
      </c>
      <c r="C4636" s="323" t="s">
        <v>13245</v>
      </c>
      <c r="D4636" s="326" t="s">
        <v>8617</v>
      </c>
    </row>
    <row r="4637" spans="1:4">
      <c r="A4637" s="324" t="s">
        <v>8621</v>
      </c>
      <c r="B4637" s="324" t="s">
        <v>8620</v>
      </c>
      <c r="C4637" s="323" t="s">
        <v>13246</v>
      </c>
      <c r="D4637" s="326" t="s">
        <v>8621</v>
      </c>
    </row>
    <row r="4638" spans="1:4">
      <c r="A4638" s="324" t="s">
        <v>8623</v>
      </c>
      <c r="B4638" s="324" t="s">
        <v>8622</v>
      </c>
      <c r="C4638" s="323" t="s">
        <v>13247</v>
      </c>
      <c r="D4638" s="326" t="s">
        <v>8623</v>
      </c>
    </row>
    <row r="4639" spans="1:4">
      <c r="A4639" s="324" t="s">
        <v>8640</v>
      </c>
      <c r="B4639" s="324" t="s">
        <v>8639</v>
      </c>
      <c r="C4639" s="323" t="s">
        <v>13248</v>
      </c>
      <c r="D4639" s="326" t="s">
        <v>8640</v>
      </c>
    </row>
    <row r="4640" spans="1:4">
      <c r="A4640" s="324" t="s">
        <v>8619</v>
      </c>
      <c r="B4640" s="324" t="s">
        <v>8618</v>
      </c>
      <c r="C4640" s="323" t="s">
        <v>13249</v>
      </c>
      <c r="D4640" s="326" t="s">
        <v>8619</v>
      </c>
    </row>
    <row r="4641" spans="1:4">
      <c r="A4641" s="324" t="s">
        <v>4134</v>
      </c>
      <c r="B4641" s="324" t="s">
        <v>13250</v>
      </c>
      <c r="C4641" s="323" t="s">
        <v>13251</v>
      </c>
      <c r="D4641" s="326" t="s">
        <v>4134</v>
      </c>
    </row>
    <row r="4642" spans="1:4">
      <c r="A4642" s="324" t="s">
        <v>13252</v>
      </c>
      <c r="B4642" s="324" t="s">
        <v>13253</v>
      </c>
      <c r="C4642" s="323" t="s">
        <v>13254</v>
      </c>
      <c r="D4642" s="326" t="s">
        <v>13252</v>
      </c>
    </row>
    <row r="4643" spans="1:4">
      <c r="A4643" s="324" t="s">
        <v>13255</v>
      </c>
      <c r="B4643" s="324" t="s">
        <v>13256</v>
      </c>
      <c r="C4643" s="323" t="s">
        <v>13257</v>
      </c>
      <c r="D4643" s="326" t="s">
        <v>13255</v>
      </c>
    </row>
    <row r="4644" spans="1:4">
      <c r="A4644" s="324" t="s">
        <v>13258</v>
      </c>
      <c r="B4644" s="324" t="s">
        <v>13259</v>
      </c>
      <c r="C4644" s="323" t="s">
        <v>13260</v>
      </c>
      <c r="D4644" s="326" t="s">
        <v>13258</v>
      </c>
    </row>
    <row r="4645" spans="1:4">
      <c r="A4645" s="324" t="s">
        <v>13261</v>
      </c>
      <c r="B4645" s="324" t="s">
        <v>13262</v>
      </c>
      <c r="C4645" s="323" t="s">
        <v>13263</v>
      </c>
      <c r="D4645" s="326" t="s">
        <v>13261</v>
      </c>
    </row>
    <row r="4646" spans="1:4">
      <c r="A4646" s="324" t="s">
        <v>13264</v>
      </c>
      <c r="B4646" s="324" t="s">
        <v>13265</v>
      </c>
      <c r="C4646" s="323" t="s">
        <v>13266</v>
      </c>
      <c r="D4646" s="326" t="s">
        <v>13264</v>
      </c>
    </row>
    <row r="4647" spans="1:4">
      <c r="A4647" s="324" t="s">
        <v>13267</v>
      </c>
      <c r="B4647" s="324" t="s">
        <v>13268</v>
      </c>
      <c r="C4647" s="323" t="s">
        <v>13269</v>
      </c>
      <c r="D4647" s="326" t="s">
        <v>13267</v>
      </c>
    </row>
    <row r="4648" spans="1:4">
      <c r="A4648" s="324" t="s">
        <v>13270</v>
      </c>
      <c r="B4648" s="324" t="s">
        <v>13271</v>
      </c>
      <c r="C4648" s="323" t="s">
        <v>13272</v>
      </c>
      <c r="D4648" s="326" t="s">
        <v>13270</v>
      </c>
    </row>
    <row r="4649" spans="1:4">
      <c r="A4649" s="324" t="s">
        <v>13273</v>
      </c>
      <c r="B4649" s="324" t="s">
        <v>13274</v>
      </c>
      <c r="C4649" s="323" t="s">
        <v>13275</v>
      </c>
      <c r="D4649" s="326" t="s">
        <v>13273</v>
      </c>
    </row>
    <row r="4650" spans="1:4">
      <c r="A4650" s="324" t="s">
        <v>13276</v>
      </c>
      <c r="B4650" s="324" t="s">
        <v>13277</v>
      </c>
      <c r="C4650" s="323" t="s">
        <v>13278</v>
      </c>
      <c r="D4650" s="326" t="s">
        <v>13276</v>
      </c>
    </row>
    <row r="4651" spans="1:4">
      <c r="A4651" s="324" t="s">
        <v>13279</v>
      </c>
      <c r="B4651" s="324" t="s">
        <v>13280</v>
      </c>
      <c r="C4651" s="323" t="s">
        <v>13281</v>
      </c>
      <c r="D4651" s="326" t="s">
        <v>13279</v>
      </c>
    </row>
    <row r="4652" spans="1:4">
      <c r="A4652" s="324" t="s">
        <v>13282</v>
      </c>
      <c r="B4652" s="324" t="s">
        <v>13283</v>
      </c>
      <c r="C4652" s="323" t="s">
        <v>13284</v>
      </c>
      <c r="D4652" s="326" t="s">
        <v>13282</v>
      </c>
    </row>
    <row r="4653" spans="1:4">
      <c r="A4653" s="324" t="s">
        <v>8637</v>
      </c>
      <c r="B4653" s="324" t="s">
        <v>8636</v>
      </c>
      <c r="C4653" s="323" t="s">
        <v>8636</v>
      </c>
      <c r="D4653" s="326" t="s">
        <v>8637</v>
      </c>
    </row>
    <row r="4654" spans="1:4">
      <c r="A4654" s="324" t="s">
        <v>13285</v>
      </c>
      <c r="B4654" s="324" t="s">
        <v>13286</v>
      </c>
      <c r="C4654" s="323" t="s">
        <v>13287</v>
      </c>
      <c r="D4654" s="326" t="s">
        <v>13285</v>
      </c>
    </row>
    <row r="4655" spans="1:4">
      <c r="A4655" s="324" t="s">
        <v>13288</v>
      </c>
      <c r="B4655" s="324" t="s">
        <v>13289</v>
      </c>
      <c r="C4655" s="323" t="s">
        <v>13290</v>
      </c>
      <c r="D4655" s="326" t="s">
        <v>13288</v>
      </c>
    </row>
    <row r="4656" spans="1:4">
      <c r="A4656" s="324" t="s">
        <v>13291</v>
      </c>
      <c r="B4656" s="324" t="s">
        <v>13292</v>
      </c>
      <c r="C4656" s="323" t="s">
        <v>13293</v>
      </c>
      <c r="D4656" s="326" t="s">
        <v>13291</v>
      </c>
    </row>
    <row r="4657" spans="1:4">
      <c r="A4657" s="324" t="s">
        <v>13294</v>
      </c>
      <c r="B4657" s="324" t="s">
        <v>13295</v>
      </c>
      <c r="C4657" s="323" t="s">
        <v>13296</v>
      </c>
      <c r="D4657" s="326" t="s">
        <v>13294</v>
      </c>
    </row>
    <row r="4658" spans="1:4">
      <c r="A4658" s="324" t="s">
        <v>13297</v>
      </c>
      <c r="B4658" s="324" t="s">
        <v>13298</v>
      </c>
      <c r="C4658" s="323" t="s">
        <v>13299</v>
      </c>
      <c r="D4658" s="326" t="s">
        <v>13297</v>
      </c>
    </row>
    <row r="4659" spans="1:4">
      <c r="A4659" s="324" t="s">
        <v>4247</v>
      </c>
      <c r="B4659" s="324" t="s">
        <v>4248</v>
      </c>
      <c r="C4659" s="323" t="s">
        <v>4199</v>
      </c>
      <c r="D4659" s="326" t="s">
        <v>4247</v>
      </c>
    </row>
    <row r="4660" spans="1:4">
      <c r="A4660" s="324" t="s">
        <v>13300</v>
      </c>
      <c r="B4660" s="324" t="s">
        <v>13301</v>
      </c>
      <c r="C4660" s="323" t="s">
        <v>13302</v>
      </c>
      <c r="D4660" s="326" t="s">
        <v>13300</v>
      </c>
    </row>
    <row r="4661" spans="1:4">
      <c r="A4661" s="324" t="s">
        <v>13303</v>
      </c>
      <c r="B4661" s="324" t="s">
        <v>13304</v>
      </c>
      <c r="C4661" s="323" t="s">
        <v>13305</v>
      </c>
      <c r="D4661" s="326" t="s">
        <v>13303</v>
      </c>
    </row>
    <row r="4662" spans="1:4">
      <c r="A4662" s="324" t="s">
        <v>4283</v>
      </c>
      <c r="B4662" s="324" t="s">
        <v>13306</v>
      </c>
      <c r="C4662" s="323" t="s">
        <v>4285</v>
      </c>
      <c r="D4662" s="326" t="s">
        <v>4283</v>
      </c>
    </row>
    <row r="4663" spans="1:4">
      <c r="A4663" s="324" t="s">
        <v>4277</v>
      </c>
      <c r="B4663" s="324" t="s">
        <v>13307</v>
      </c>
      <c r="C4663" s="323" t="s">
        <v>13308</v>
      </c>
      <c r="D4663" s="326" t="s">
        <v>4277</v>
      </c>
    </row>
    <row r="4664" spans="1:4">
      <c r="A4664" s="324" t="s">
        <v>4286</v>
      </c>
      <c r="B4664" s="324" t="s">
        <v>13309</v>
      </c>
      <c r="C4664" s="323" t="s">
        <v>13310</v>
      </c>
      <c r="D4664" s="326" t="s">
        <v>4286</v>
      </c>
    </row>
    <row r="4665" spans="1:4">
      <c r="A4665" s="324" t="s">
        <v>13311</v>
      </c>
      <c r="B4665" s="324" t="s">
        <v>13312</v>
      </c>
      <c r="C4665" s="323" t="s">
        <v>13313</v>
      </c>
      <c r="D4665" s="326" t="s">
        <v>13311</v>
      </c>
    </row>
    <row r="4666" spans="1:4">
      <c r="A4666" s="324" t="s">
        <v>13314</v>
      </c>
      <c r="B4666" s="324" t="s">
        <v>13315</v>
      </c>
      <c r="C4666" s="323" t="s">
        <v>13316</v>
      </c>
      <c r="D4666" s="326" t="s">
        <v>13314</v>
      </c>
    </row>
    <row r="4667" spans="1:4">
      <c r="A4667" s="324" t="s">
        <v>13317</v>
      </c>
      <c r="B4667" s="324" t="s">
        <v>13318</v>
      </c>
      <c r="C4667" s="323" t="s">
        <v>13319</v>
      </c>
      <c r="D4667" s="326" t="s">
        <v>13317</v>
      </c>
    </row>
    <row r="4668" spans="1:4">
      <c r="A4668" s="324" t="s">
        <v>13320</v>
      </c>
      <c r="B4668" s="324" t="s">
        <v>13321</v>
      </c>
      <c r="C4668" s="323" t="s">
        <v>13316</v>
      </c>
      <c r="D4668" s="326" t="s">
        <v>13320</v>
      </c>
    </row>
    <row r="4669" spans="1:4">
      <c r="A4669" s="324" t="s">
        <v>13322</v>
      </c>
      <c r="B4669" s="324" t="s">
        <v>13323</v>
      </c>
      <c r="C4669" s="323" t="s">
        <v>13324</v>
      </c>
      <c r="D4669" s="326" t="s">
        <v>13325</v>
      </c>
    </row>
    <row r="4670" spans="1:4">
      <c r="A4670" s="324" t="s">
        <v>13326</v>
      </c>
      <c r="B4670" s="324" t="s">
        <v>13327</v>
      </c>
      <c r="C4670" s="323" t="s">
        <v>13328</v>
      </c>
      <c r="D4670" s="326" t="s">
        <v>13326</v>
      </c>
    </row>
    <row r="4671" spans="1:4">
      <c r="A4671" s="324" t="s">
        <v>13329</v>
      </c>
      <c r="B4671" s="324" t="s">
        <v>13330</v>
      </c>
      <c r="C4671" s="323" t="s">
        <v>13331</v>
      </c>
      <c r="D4671" s="326" t="s">
        <v>13329</v>
      </c>
    </row>
    <row r="4672" spans="1:4">
      <c r="A4672" s="324" t="s">
        <v>13332</v>
      </c>
      <c r="B4672" s="324" t="s">
        <v>13333</v>
      </c>
      <c r="C4672" s="323" t="s">
        <v>13334</v>
      </c>
      <c r="D4672" s="326" t="s">
        <v>13332</v>
      </c>
    </row>
    <row r="4673" spans="1:4">
      <c r="A4673" s="324" t="s">
        <v>13335</v>
      </c>
      <c r="B4673" s="324" t="s">
        <v>13336</v>
      </c>
      <c r="C4673" s="323" t="s">
        <v>13337</v>
      </c>
      <c r="D4673" s="326" t="s">
        <v>13335</v>
      </c>
    </row>
    <row r="4674" spans="1:4">
      <c r="A4674" s="324" t="s">
        <v>8180</v>
      </c>
      <c r="B4674" s="324" t="s">
        <v>8179</v>
      </c>
      <c r="C4674" s="323" t="s">
        <v>13338</v>
      </c>
      <c r="D4674" s="326" t="s">
        <v>8180</v>
      </c>
    </row>
    <row r="4675" spans="1:4">
      <c r="A4675" s="324" t="s">
        <v>13339</v>
      </c>
      <c r="B4675" s="324" t="s">
        <v>13340</v>
      </c>
      <c r="C4675" s="323" t="s">
        <v>13341</v>
      </c>
      <c r="D4675" s="326" t="s">
        <v>13339</v>
      </c>
    </row>
    <row r="4676" spans="1:4">
      <c r="A4676" s="324" t="s">
        <v>8178</v>
      </c>
      <c r="B4676" s="324" t="s">
        <v>8177</v>
      </c>
      <c r="C4676" s="323" t="s">
        <v>13342</v>
      </c>
      <c r="D4676" s="326" t="s">
        <v>8178</v>
      </c>
    </row>
    <row r="4677" spans="1:4">
      <c r="A4677" s="324" t="s">
        <v>13343</v>
      </c>
      <c r="B4677" s="324" t="s">
        <v>13344</v>
      </c>
      <c r="C4677" s="323" t="s">
        <v>13345</v>
      </c>
      <c r="D4677" s="326" t="s">
        <v>13343</v>
      </c>
    </row>
    <row r="4678" spans="1:4">
      <c r="A4678" s="324" t="s">
        <v>13346</v>
      </c>
      <c r="B4678" s="324" t="s">
        <v>13347</v>
      </c>
      <c r="C4678" s="323" t="s">
        <v>13348</v>
      </c>
      <c r="D4678" s="326" t="s">
        <v>13346</v>
      </c>
    </row>
    <row r="4679" spans="1:4">
      <c r="A4679" s="324" t="s">
        <v>4504</v>
      </c>
      <c r="B4679" s="324" t="s">
        <v>13349</v>
      </c>
      <c r="C4679" s="323" t="s">
        <v>13349</v>
      </c>
      <c r="D4679" s="326" t="s">
        <v>4504</v>
      </c>
    </row>
    <row r="4680" spans="1:4">
      <c r="A4680" s="324" t="s">
        <v>4323</v>
      </c>
      <c r="B4680" s="324" t="s">
        <v>13350</v>
      </c>
      <c r="C4680" s="323" t="s">
        <v>13351</v>
      </c>
      <c r="D4680" s="326" t="s">
        <v>4323</v>
      </c>
    </row>
    <row r="4681" spans="1:4">
      <c r="A4681" s="324" t="s">
        <v>6994</v>
      </c>
      <c r="B4681" s="324" t="s">
        <v>6993</v>
      </c>
      <c r="C4681" s="323" t="s">
        <v>13352</v>
      </c>
      <c r="D4681" s="326" t="s">
        <v>6994</v>
      </c>
    </row>
    <row r="4682" spans="1:4">
      <c r="A4682" s="324" t="s">
        <v>13353</v>
      </c>
      <c r="B4682" s="324" t="s">
        <v>13354</v>
      </c>
      <c r="C4682" s="323" t="s">
        <v>13355</v>
      </c>
      <c r="D4682" s="326" t="s">
        <v>13353</v>
      </c>
    </row>
    <row r="4683" spans="1:4">
      <c r="A4683" s="324" t="s">
        <v>13356</v>
      </c>
      <c r="B4683" s="324" t="s">
        <v>13357</v>
      </c>
      <c r="C4683" s="323" t="s">
        <v>13358</v>
      </c>
      <c r="D4683" s="326" t="s">
        <v>13356</v>
      </c>
    </row>
    <row r="4684" spans="1:4">
      <c r="A4684" s="324" t="s">
        <v>6572</v>
      </c>
      <c r="B4684" s="324" t="s">
        <v>13359</v>
      </c>
      <c r="C4684" s="323" t="s">
        <v>13360</v>
      </c>
      <c r="D4684" s="326" t="s">
        <v>6572</v>
      </c>
    </row>
    <row r="4685" spans="1:4">
      <c r="A4685" s="324" t="s">
        <v>13361</v>
      </c>
      <c r="B4685" s="324" t="s">
        <v>13362</v>
      </c>
      <c r="C4685" s="323" t="s">
        <v>13363</v>
      </c>
      <c r="D4685" s="326" t="s">
        <v>13361</v>
      </c>
    </row>
    <row r="4686" spans="1:4">
      <c r="A4686" s="324" t="s">
        <v>13364</v>
      </c>
      <c r="B4686" s="324" t="s">
        <v>13365</v>
      </c>
      <c r="C4686" s="323" t="s">
        <v>13366</v>
      </c>
      <c r="D4686" s="326" t="s">
        <v>13364</v>
      </c>
    </row>
    <row r="4687" spans="1:4">
      <c r="A4687" s="324" t="s">
        <v>13367</v>
      </c>
      <c r="B4687" s="324" t="s">
        <v>13368</v>
      </c>
      <c r="C4687" s="323" t="s">
        <v>13369</v>
      </c>
      <c r="D4687" s="326" t="s">
        <v>13367</v>
      </c>
    </row>
    <row r="4688" spans="1:4">
      <c r="A4688" s="324" t="s">
        <v>13370</v>
      </c>
      <c r="B4688" s="324" t="s">
        <v>13371</v>
      </c>
      <c r="C4688" s="323" t="s">
        <v>13372</v>
      </c>
      <c r="D4688" s="326" t="s">
        <v>13370</v>
      </c>
    </row>
    <row r="4689" spans="1:4">
      <c r="A4689" s="324" t="s">
        <v>13373</v>
      </c>
      <c r="B4689" s="324" t="s">
        <v>13374</v>
      </c>
      <c r="C4689" s="323" t="s">
        <v>13375</v>
      </c>
      <c r="D4689" s="326" t="s">
        <v>13373</v>
      </c>
    </row>
    <row r="4690" spans="1:4">
      <c r="A4690" s="324" t="s">
        <v>13376</v>
      </c>
      <c r="B4690" s="324" t="s">
        <v>13377</v>
      </c>
      <c r="C4690" s="323" t="s">
        <v>13378</v>
      </c>
      <c r="D4690" s="326" t="s">
        <v>13376</v>
      </c>
    </row>
    <row r="4691" spans="1:4">
      <c r="A4691" s="324" t="s">
        <v>13379</v>
      </c>
      <c r="B4691" s="324" t="s">
        <v>13380</v>
      </c>
      <c r="C4691" s="323" t="s">
        <v>13381</v>
      </c>
      <c r="D4691" s="326" t="s">
        <v>13379</v>
      </c>
    </row>
    <row r="4692" spans="1:4">
      <c r="A4692" s="324" t="s">
        <v>13382</v>
      </c>
      <c r="B4692" s="324" t="s">
        <v>13383</v>
      </c>
      <c r="C4692" s="323" t="s">
        <v>13384</v>
      </c>
      <c r="D4692" s="326" t="s">
        <v>13382</v>
      </c>
    </row>
    <row r="4693" spans="1:4">
      <c r="A4693" s="324" t="s">
        <v>13385</v>
      </c>
      <c r="B4693" s="324" t="s">
        <v>13386</v>
      </c>
      <c r="C4693" s="323" t="s">
        <v>13387</v>
      </c>
      <c r="D4693" s="326" t="s">
        <v>13385</v>
      </c>
    </row>
    <row r="4694" spans="1:4">
      <c r="A4694" s="324" t="s">
        <v>13388</v>
      </c>
      <c r="B4694" s="324" t="s">
        <v>13389</v>
      </c>
      <c r="C4694" s="323" t="s">
        <v>13390</v>
      </c>
      <c r="D4694" s="326" t="s">
        <v>13388</v>
      </c>
    </row>
    <row r="4695" spans="1:4">
      <c r="A4695" s="324" t="s">
        <v>13391</v>
      </c>
      <c r="B4695" s="324" t="s">
        <v>13392</v>
      </c>
      <c r="C4695" s="323" t="s">
        <v>13393</v>
      </c>
      <c r="D4695" s="326" t="s">
        <v>13391</v>
      </c>
    </row>
    <row r="4696" spans="1:4">
      <c r="A4696" s="324" t="s">
        <v>13394</v>
      </c>
      <c r="B4696" s="324" t="s">
        <v>13395</v>
      </c>
      <c r="C4696" s="323" t="s">
        <v>13396</v>
      </c>
      <c r="D4696" s="326" t="s">
        <v>13394</v>
      </c>
    </row>
    <row r="4697" spans="1:4">
      <c r="A4697" s="324" t="s">
        <v>13397</v>
      </c>
      <c r="B4697" s="324" t="s">
        <v>13398</v>
      </c>
      <c r="C4697" s="323" t="s">
        <v>13399</v>
      </c>
      <c r="D4697" s="326" t="s">
        <v>13397</v>
      </c>
    </row>
    <row r="4698" spans="1:4">
      <c r="A4698" s="324" t="s">
        <v>13400</v>
      </c>
      <c r="B4698" s="324" t="s">
        <v>13401</v>
      </c>
      <c r="C4698" s="323" t="s">
        <v>13402</v>
      </c>
      <c r="D4698" s="326" t="s">
        <v>13400</v>
      </c>
    </row>
    <row r="4699" spans="1:4">
      <c r="A4699" s="324" t="s">
        <v>13403</v>
      </c>
      <c r="B4699" s="324" t="s">
        <v>13404</v>
      </c>
      <c r="C4699" s="323" t="s">
        <v>13405</v>
      </c>
      <c r="D4699" s="326" t="s">
        <v>13403</v>
      </c>
    </row>
    <row r="4700" spans="1:4">
      <c r="A4700" s="324" t="s">
        <v>13406</v>
      </c>
      <c r="B4700" s="324" t="s">
        <v>13407</v>
      </c>
      <c r="C4700" s="323" t="s">
        <v>13408</v>
      </c>
      <c r="D4700" s="326" t="s">
        <v>13406</v>
      </c>
    </row>
    <row r="4701" spans="1:4">
      <c r="A4701" s="324" t="s">
        <v>13409</v>
      </c>
      <c r="B4701" s="324" t="s">
        <v>13410</v>
      </c>
      <c r="C4701" s="323" t="s">
        <v>13411</v>
      </c>
      <c r="D4701" s="326" t="s">
        <v>13409</v>
      </c>
    </row>
    <row r="4702" spans="1:4">
      <c r="A4702" s="324" t="s">
        <v>13412</v>
      </c>
      <c r="B4702" s="324" t="s">
        <v>13413</v>
      </c>
      <c r="C4702" s="323" t="s">
        <v>13414</v>
      </c>
      <c r="D4702" s="326" t="s">
        <v>13412</v>
      </c>
    </row>
    <row r="4703" spans="1:4">
      <c r="A4703" s="324" t="s">
        <v>13415</v>
      </c>
      <c r="B4703" s="324" t="s">
        <v>13416</v>
      </c>
      <c r="C4703" s="323" t="s">
        <v>13417</v>
      </c>
      <c r="D4703" s="326" t="s">
        <v>13415</v>
      </c>
    </row>
    <row r="4704" spans="1:4">
      <c r="A4704" s="324" t="s">
        <v>13418</v>
      </c>
      <c r="B4704" s="324" t="s">
        <v>13419</v>
      </c>
      <c r="C4704" s="323" t="s">
        <v>13420</v>
      </c>
      <c r="D4704" s="326" t="s">
        <v>13418</v>
      </c>
    </row>
    <row r="4705" spans="1:4">
      <c r="A4705" s="324" t="s">
        <v>13421</v>
      </c>
      <c r="B4705" s="324" t="s">
        <v>13422</v>
      </c>
      <c r="C4705" s="323" t="s">
        <v>13423</v>
      </c>
      <c r="D4705" s="326" t="s">
        <v>13421</v>
      </c>
    </row>
    <row r="4706" spans="1:4">
      <c r="A4706" s="324" t="s">
        <v>13424</v>
      </c>
      <c r="B4706" s="324" t="s">
        <v>13425</v>
      </c>
      <c r="C4706" s="323" t="s">
        <v>13426</v>
      </c>
      <c r="D4706" s="326" t="s">
        <v>13424</v>
      </c>
    </row>
    <row r="4707" spans="1:4">
      <c r="A4707" s="324" t="s">
        <v>13427</v>
      </c>
      <c r="B4707" s="324" t="s">
        <v>13428</v>
      </c>
      <c r="C4707" s="323" t="s">
        <v>13429</v>
      </c>
      <c r="D4707" s="326" t="s">
        <v>13427</v>
      </c>
    </row>
    <row r="4708" spans="1:4">
      <c r="A4708" s="324" t="s">
        <v>13430</v>
      </c>
      <c r="B4708" s="324" t="s">
        <v>13431</v>
      </c>
      <c r="C4708" s="323" t="s">
        <v>13432</v>
      </c>
      <c r="D4708" s="325" t="s">
        <v>13433</v>
      </c>
    </row>
    <row r="4709" spans="1:4">
      <c r="A4709" s="324" t="s">
        <v>13434</v>
      </c>
      <c r="B4709" s="324" t="s">
        <v>13435</v>
      </c>
      <c r="C4709" s="323" t="s">
        <v>13436</v>
      </c>
      <c r="D4709" s="326" t="s">
        <v>13434</v>
      </c>
    </row>
    <row r="4710" spans="1:4">
      <c r="A4710" s="324" t="s">
        <v>13437</v>
      </c>
      <c r="B4710" s="324" t="s">
        <v>6931</v>
      </c>
      <c r="C4710" s="323" t="s">
        <v>13438</v>
      </c>
      <c r="D4710" s="325" t="s">
        <v>13439</v>
      </c>
    </row>
    <row r="4711" spans="1:4">
      <c r="A4711" s="324" t="s">
        <v>13440</v>
      </c>
      <c r="B4711" s="324" t="s">
        <v>7358</v>
      </c>
      <c r="C4711" s="323" t="s">
        <v>13441</v>
      </c>
      <c r="D4711" s="325" t="s">
        <v>13442</v>
      </c>
    </row>
    <row r="4712" spans="1:4">
      <c r="A4712" s="324" t="s">
        <v>13443</v>
      </c>
      <c r="B4712" s="324" t="s">
        <v>6967</v>
      </c>
      <c r="C4712" s="323" t="s">
        <v>13444</v>
      </c>
      <c r="D4712" s="331" t="s">
        <v>13445</v>
      </c>
    </row>
    <row r="4713" spans="1:4">
      <c r="A4713" s="324" t="s">
        <v>4426</v>
      </c>
      <c r="B4713" s="324" t="s">
        <v>13446</v>
      </c>
      <c r="C4713" s="323" t="s">
        <v>13447</v>
      </c>
      <c r="D4713" s="326" t="s">
        <v>4426</v>
      </c>
    </row>
    <row r="4714" spans="1:4">
      <c r="A4714" s="324" t="s">
        <v>4432</v>
      </c>
      <c r="B4714" s="324" t="s">
        <v>13448</v>
      </c>
      <c r="C4714" s="323" t="s">
        <v>13449</v>
      </c>
      <c r="D4714" s="326" t="s">
        <v>4432</v>
      </c>
    </row>
    <row r="4715" spans="1:4">
      <c r="A4715" s="324" t="s">
        <v>13450</v>
      </c>
      <c r="B4715" s="324" t="s">
        <v>13451</v>
      </c>
      <c r="C4715" s="323" t="s">
        <v>13360</v>
      </c>
      <c r="D4715" s="326" t="s">
        <v>13450</v>
      </c>
    </row>
    <row r="4716" spans="1:4">
      <c r="A4716" s="324" t="s">
        <v>13452</v>
      </c>
      <c r="B4716" s="324" t="s">
        <v>13453</v>
      </c>
      <c r="C4716" s="323" t="s">
        <v>13454</v>
      </c>
      <c r="D4716" s="325" t="s">
        <v>13455</v>
      </c>
    </row>
    <row r="4717" spans="1:4">
      <c r="A4717" s="324" t="s">
        <v>13456</v>
      </c>
      <c r="B4717" s="324" t="s">
        <v>13457</v>
      </c>
      <c r="C4717" s="323" t="s">
        <v>13458</v>
      </c>
      <c r="D4717" s="326" t="s">
        <v>13456</v>
      </c>
    </row>
    <row r="4718" spans="1:4">
      <c r="A4718" s="324" t="s">
        <v>13459</v>
      </c>
      <c r="B4718" s="324" t="s">
        <v>13460</v>
      </c>
      <c r="C4718" s="323" t="s">
        <v>13461</v>
      </c>
      <c r="D4718" s="326" t="s">
        <v>13459</v>
      </c>
    </row>
    <row r="4719" spans="1:4">
      <c r="A4719" s="324" t="s">
        <v>13462</v>
      </c>
      <c r="B4719" s="324" t="s">
        <v>13463</v>
      </c>
      <c r="C4719" s="323" t="s">
        <v>13464</v>
      </c>
      <c r="D4719" s="326" t="s">
        <v>13462</v>
      </c>
    </row>
    <row r="4720" spans="1:4">
      <c r="A4720" s="324" t="s">
        <v>13465</v>
      </c>
      <c r="B4720" s="324" t="s">
        <v>13466</v>
      </c>
      <c r="C4720" s="323" t="s">
        <v>13467</v>
      </c>
      <c r="D4720" s="326" t="s">
        <v>13465</v>
      </c>
    </row>
    <row r="4721" spans="1:4">
      <c r="A4721" s="324" t="s">
        <v>13468</v>
      </c>
      <c r="B4721" s="324" t="s">
        <v>13469</v>
      </c>
      <c r="C4721" s="323" t="s">
        <v>13470</v>
      </c>
      <c r="D4721" s="326" t="s">
        <v>13468</v>
      </c>
    </row>
    <row r="4722" spans="1:4">
      <c r="A4722" s="324" t="s">
        <v>6324</v>
      </c>
      <c r="B4722" s="324" t="s">
        <v>6568</v>
      </c>
      <c r="C4722" s="323" t="s">
        <v>13471</v>
      </c>
      <c r="D4722" s="326" t="s">
        <v>6324</v>
      </c>
    </row>
    <row r="4723" spans="1:4">
      <c r="A4723" s="324" t="s">
        <v>4478</v>
      </c>
      <c r="B4723" s="324" t="s">
        <v>8572</v>
      </c>
      <c r="C4723" s="323" t="s">
        <v>13472</v>
      </c>
      <c r="D4723" s="326" t="s">
        <v>4478</v>
      </c>
    </row>
    <row r="4724" spans="1:4">
      <c r="A4724" s="324" t="s">
        <v>13473</v>
      </c>
      <c r="B4724" s="324" t="s">
        <v>13474</v>
      </c>
      <c r="C4724" s="323" t="s">
        <v>13475</v>
      </c>
      <c r="D4724" s="326" t="s">
        <v>13473</v>
      </c>
    </row>
    <row r="4725" spans="1:4">
      <c r="A4725" s="324" t="s">
        <v>7021</v>
      </c>
      <c r="B4725" s="324" t="s">
        <v>13476</v>
      </c>
      <c r="C4725" s="323" t="s">
        <v>13477</v>
      </c>
      <c r="D4725" s="326" t="s">
        <v>7021</v>
      </c>
    </row>
    <row r="4726" spans="1:4">
      <c r="A4726" s="324" t="s">
        <v>13478</v>
      </c>
      <c r="B4726" s="324" t="s">
        <v>13479</v>
      </c>
      <c r="C4726" s="323" t="s">
        <v>13480</v>
      </c>
      <c r="D4726" s="326" t="s">
        <v>13478</v>
      </c>
    </row>
    <row r="4727" spans="1:4">
      <c r="A4727" s="324" t="s">
        <v>13481</v>
      </c>
      <c r="B4727" s="324" t="s">
        <v>13482</v>
      </c>
      <c r="C4727" s="323" t="s">
        <v>13483</v>
      </c>
      <c r="D4727" s="326" t="s">
        <v>13481</v>
      </c>
    </row>
    <row r="4728" spans="1:4">
      <c r="A4728" s="324" t="s">
        <v>13484</v>
      </c>
      <c r="B4728" s="324" t="s">
        <v>7020</v>
      </c>
      <c r="C4728" s="323" t="s">
        <v>13477</v>
      </c>
      <c r="D4728" s="325" t="s">
        <v>13485</v>
      </c>
    </row>
    <row r="4729" spans="1:4">
      <c r="A4729" s="324" t="s">
        <v>13486</v>
      </c>
      <c r="B4729" s="324" t="s">
        <v>6897</v>
      </c>
      <c r="C4729" s="323" t="s">
        <v>13487</v>
      </c>
      <c r="D4729" s="325" t="s">
        <v>13488</v>
      </c>
    </row>
    <row r="4730" spans="1:4">
      <c r="A4730" s="324" t="s">
        <v>13489</v>
      </c>
      <c r="B4730" s="324" t="s">
        <v>13490</v>
      </c>
      <c r="C4730" s="323" t="s">
        <v>13491</v>
      </c>
      <c r="D4730" s="325" t="s">
        <v>13492</v>
      </c>
    </row>
    <row r="4731" spans="1:4">
      <c r="A4731" s="324" t="s">
        <v>7019</v>
      </c>
      <c r="B4731" s="324" t="s">
        <v>7018</v>
      </c>
      <c r="C4731" s="323" t="s">
        <v>13493</v>
      </c>
      <c r="D4731" s="325" t="s">
        <v>13494</v>
      </c>
    </row>
    <row r="4732" spans="1:4">
      <c r="A4732" s="324" t="s">
        <v>13495</v>
      </c>
      <c r="B4732" s="324" t="s">
        <v>13496</v>
      </c>
      <c r="C4732" s="323" t="s">
        <v>13497</v>
      </c>
      <c r="D4732" s="326" t="s">
        <v>13495</v>
      </c>
    </row>
    <row r="4733" spans="1:4">
      <c r="A4733" s="324" t="s">
        <v>6977</v>
      </c>
      <c r="B4733" s="324" t="s">
        <v>6976</v>
      </c>
      <c r="C4733" s="323" t="s">
        <v>13498</v>
      </c>
      <c r="D4733" s="326" t="s">
        <v>13499</v>
      </c>
    </row>
    <row r="4734" spans="1:4">
      <c r="A4734" s="324" t="s">
        <v>6982</v>
      </c>
      <c r="B4734" s="324" t="s">
        <v>6981</v>
      </c>
      <c r="C4734" s="323" t="s">
        <v>13500</v>
      </c>
      <c r="D4734" s="326" t="s">
        <v>6982</v>
      </c>
    </row>
    <row r="4735" spans="1:4">
      <c r="A4735" s="324" t="s">
        <v>8410</v>
      </c>
      <c r="B4735" s="324" t="s">
        <v>6981</v>
      </c>
      <c r="C4735" s="323" t="s">
        <v>13500</v>
      </c>
      <c r="D4735" s="326" t="s">
        <v>8410</v>
      </c>
    </row>
    <row r="4736" spans="1:4">
      <c r="A4736" s="324" t="s">
        <v>6320</v>
      </c>
      <c r="B4736" s="324" t="s">
        <v>13501</v>
      </c>
      <c r="C4736" s="323" t="s">
        <v>13502</v>
      </c>
      <c r="D4736" s="326" t="s">
        <v>6320</v>
      </c>
    </row>
    <row r="4737" spans="1:4">
      <c r="A4737" s="324" t="s">
        <v>13503</v>
      </c>
      <c r="B4737" s="324" t="s">
        <v>6989</v>
      </c>
      <c r="C4737" s="323" t="s">
        <v>13504</v>
      </c>
      <c r="D4737" s="326" t="s">
        <v>13505</v>
      </c>
    </row>
    <row r="4738" spans="1:4">
      <c r="A4738" s="324" t="s">
        <v>13506</v>
      </c>
      <c r="B4738" s="324" t="s">
        <v>13507</v>
      </c>
      <c r="C4738" s="323" t="s">
        <v>13508</v>
      </c>
      <c r="D4738" s="331" t="s">
        <v>13509</v>
      </c>
    </row>
    <row r="4739" spans="1:4">
      <c r="A4739" s="324" t="s">
        <v>13510</v>
      </c>
      <c r="B4739" s="324" t="s">
        <v>13511</v>
      </c>
      <c r="C4739" s="323" t="s">
        <v>13512</v>
      </c>
      <c r="D4739" s="326" t="s">
        <v>13513</v>
      </c>
    </row>
    <row r="4740" spans="1:4">
      <c r="A4740" s="324" t="s">
        <v>13514</v>
      </c>
      <c r="B4740" s="324" t="s">
        <v>13515</v>
      </c>
      <c r="C4740" s="323" t="s">
        <v>13516</v>
      </c>
      <c r="D4740" s="326" t="s">
        <v>13517</v>
      </c>
    </row>
    <row r="4741" spans="1:4">
      <c r="A4741" s="324" t="s">
        <v>13518</v>
      </c>
      <c r="B4741" s="324" t="s">
        <v>13519</v>
      </c>
      <c r="C4741" s="323" t="s">
        <v>13520</v>
      </c>
      <c r="D4741" s="326" t="s">
        <v>13521</v>
      </c>
    </row>
    <row r="4742" spans="1:4">
      <c r="A4742" s="324" t="s">
        <v>13522</v>
      </c>
      <c r="B4742" s="324" t="s">
        <v>13523</v>
      </c>
      <c r="C4742" s="323" t="s">
        <v>13524</v>
      </c>
      <c r="D4742" s="326" t="s">
        <v>13525</v>
      </c>
    </row>
    <row r="4743" spans="1:4">
      <c r="A4743" s="324" t="s">
        <v>13526</v>
      </c>
      <c r="B4743" s="324" t="s">
        <v>13527</v>
      </c>
      <c r="C4743" s="323" t="s">
        <v>13528</v>
      </c>
      <c r="D4743" s="326" t="s">
        <v>13529</v>
      </c>
    </row>
    <row r="4744" spans="1:4">
      <c r="A4744" s="324" t="s">
        <v>13530</v>
      </c>
      <c r="B4744" s="324" t="s">
        <v>13531</v>
      </c>
      <c r="C4744" s="323" t="s">
        <v>13532</v>
      </c>
      <c r="D4744" s="326" t="s">
        <v>13533</v>
      </c>
    </row>
    <row r="4745" spans="1:4">
      <c r="A4745" s="324" t="s">
        <v>13534</v>
      </c>
      <c r="B4745" s="324" t="s">
        <v>13535</v>
      </c>
      <c r="C4745" s="323" t="s">
        <v>13536</v>
      </c>
      <c r="D4745" s="326" t="s">
        <v>13537</v>
      </c>
    </row>
    <row r="4746" spans="1:4">
      <c r="A4746" s="324" t="s">
        <v>13538</v>
      </c>
      <c r="B4746" s="324" t="s">
        <v>13539</v>
      </c>
      <c r="C4746" s="323" t="s">
        <v>13540</v>
      </c>
      <c r="D4746" s="326" t="s">
        <v>13541</v>
      </c>
    </row>
    <row r="4747" spans="1:4">
      <c r="A4747" s="324" t="s">
        <v>13542</v>
      </c>
      <c r="B4747" s="324" t="s">
        <v>13543</v>
      </c>
      <c r="C4747" s="323" t="s">
        <v>13544</v>
      </c>
      <c r="D4747" s="326" t="s">
        <v>13545</v>
      </c>
    </row>
    <row r="4748" spans="1:4">
      <c r="A4748" s="324" t="s">
        <v>13546</v>
      </c>
      <c r="B4748" s="324" t="s">
        <v>13547</v>
      </c>
      <c r="C4748" s="323" t="s">
        <v>13548</v>
      </c>
      <c r="D4748" s="326" t="s">
        <v>13549</v>
      </c>
    </row>
    <row r="4749" spans="1:4">
      <c r="A4749" s="324" t="s">
        <v>13550</v>
      </c>
      <c r="B4749" s="324" t="s">
        <v>13551</v>
      </c>
      <c r="C4749" s="323" t="s">
        <v>13552</v>
      </c>
      <c r="D4749" s="326" t="s">
        <v>13553</v>
      </c>
    </row>
    <row r="4750" spans="1:4">
      <c r="A4750" s="324" t="s">
        <v>13554</v>
      </c>
      <c r="B4750" s="324" t="s">
        <v>13555</v>
      </c>
      <c r="C4750" s="323" t="s">
        <v>13556</v>
      </c>
      <c r="D4750" s="326" t="s">
        <v>13554</v>
      </c>
    </row>
    <row r="4751" spans="1:4">
      <c r="A4751" s="324" t="s">
        <v>13557</v>
      </c>
      <c r="B4751" s="324" t="s">
        <v>13558</v>
      </c>
      <c r="C4751" s="323" t="s">
        <v>13559</v>
      </c>
      <c r="D4751" s="326" t="s">
        <v>13557</v>
      </c>
    </row>
    <row r="4752" spans="1:4">
      <c r="A4752" s="324" t="s">
        <v>13560</v>
      </c>
      <c r="B4752" s="324" t="s">
        <v>13561</v>
      </c>
      <c r="C4752" s="323" t="s">
        <v>13562</v>
      </c>
      <c r="D4752" s="326" t="s">
        <v>13560</v>
      </c>
    </row>
    <row r="4753" spans="1:4">
      <c r="A4753" s="324" t="s">
        <v>13563</v>
      </c>
      <c r="B4753" s="324" t="s">
        <v>13564</v>
      </c>
      <c r="C4753" s="323" t="s">
        <v>13565</v>
      </c>
      <c r="D4753" s="326" t="s">
        <v>13563</v>
      </c>
    </row>
    <row r="4754" spans="1:4">
      <c r="A4754" s="324" t="s">
        <v>2723</v>
      </c>
      <c r="B4754" s="324" t="s">
        <v>13566</v>
      </c>
      <c r="C4754" s="323" t="s">
        <v>13567</v>
      </c>
      <c r="D4754" s="326" t="s">
        <v>2723</v>
      </c>
    </row>
    <row r="4755" spans="1:4">
      <c r="A4755" s="324" t="s">
        <v>13568</v>
      </c>
      <c r="B4755" s="324" t="s">
        <v>13569</v>
      </c>
      <c r="C4755" s="323" t="s">
        <v>13570</v>
      </c>
      <c r="D4755" s="326" t="s">
        <v>13568</v>
      </c>
    </row>
    <row r="4756" spans="1:4">
      <c r="A4756" s="324" t="s">
        <v>13571</v>
      </c>
      <c r="B4756" s="324" t="s">
        <v>13572</v>
      </c>
      <c r="C4756" s="323" t="s">
        <v>13573</v>
      </c>
      <c r="D4756" s="326" t="s">
        <v>13571</v>
      </c>
    </row>
    <row r="4757" spans="1:4">
      <c r="A4757" s="324" t="s">
        <v>8174</v>
      </c>
      <c r="B4757" s="324" t="s">
        <v>8173</v>
      </c>
      <c r="C4757" s="323" t="s">
        <v>13420</v>
      </c>
      <c r="D4757" s="326" t="s">
        <v>8174</v>
      </c>
    </row>
    <row r="4758" spans="1:4">
      <c r="A4758" s="324" t="s">
        <v>6947</v>
      </c>
      <c r="B4758" s="324" t="s">
        <v>6946</v>
      </c>
      <c r="C4758" s="323" t="s">
        <v>13574</v>
      </c>
      <c r="D4758" s="326" t="s">
        <v>6947</v>
      </c>
    </row>
    <row r="4759" spans="1:4">
      <c r="A4759" s="324" t="s">
        <v>13575</v>
      </c>
      <c r="B4759" s="324" t="s">
        <v>13576</v>
      </c>
      <c r="C4759" s="323" t="s">
        <v>13577</v>
      </c>
      <c r="D4759" s="326" t="s">
        <v>13575</v>
      </c>
    </row>
    <row r="4760" spans="1:4">
      <c r="A4760" s="324" t="s">
        <v>13578</v>
      </c>
      <c r="B4760" s="324" t="s">
        <v>13579</v>
      </c>
      <c r="C4760" s="323" t="s">
        <v>13580</v>
      </c>
      <c r="D4760" s="326" t="s">
        <v>13578</v>
      </c>
    </row>
    <row r="4761" spans="1:4">
      <c r="A4761" s="324" t="s">
        <v>13581</v>
      </c>
      <c r="B4761" s="324" t="s">
        <v>13582</v>
      </c>
      <c r="C4761" s="323" t="s">
        <v>13583</v>
      </c>
      <c r="D4761" s="326" t="s">
        <v>13581</v>
      </c>
    </row>
    <row r="4762" spans="1:4">
      <c r="A4762" s="324" t="s">
        <v>13584</v>
      </c>
      <c r="B4762" s="324" t="s">
        <v>13585</v>
      </c>
      <c r="C4762" s="323" t="s">
        <v>13586</v>
      </c>
      <c r="D4762" s="326" t="s">
        <v>13584</v>
      </c>
    </row>
    <row r="4763" spans="1:4">
      <c r="A4763" s="324" t="s">
        <v>13587</v>
      </c>
      <c r="B4763" s="324" t="s">
        <v>13588</v>
      </c>
      <c r="C4763" s="323" t="s">
        <v>13589</v>
      </c>
      <c r="D4763" s="326" t="s">
        <v>13587</v>
      </c>
    </row>
    <row r="4764" spans="1:4">
      <c r="A4764" s="324" t="s">
        <v>13590</v>
      </c>
      <c r="B4764" s="324" t="s">
        <v>13591</v>
      </c>
      <c r="C4764" s="323" t="s">
        <v>13592</v>
      </c>
      <c r="D4764" s="326" t="s">
        <v>13590</v>
      </c>
    </row>
    <row r="4765" spans="1:4">
      <c r="A4765" s="324" t="s">
        <v>13593</v>
      </c>
      <c r="B4765" s="324" t="s">
        <v>13594</v>
      </c>
      <c r="C4765" s="323" t="s">
        <v>13595</v>
      </c>
      <c r="D4765" s="326" t="s">
        <v>13593</v>
      </c>
    </row>
    <row r="4766" spans="1:4">
      <c r="A4766" s="324" t="s">
        <v>6924</v>
      </c>
      <c r="B4766" s="324" t="s">
        <v>6923</v>
      </c>
      <c r="C4766" s="323" t="s">
        <v>13596</v>
      </c>
      <c r="D4766" s="326" t="s">
        <v>6924</v>
      </c>
    </row>
    <row r="4767" spans="1:4">
      <c r="A4767" s="324" t="s">
        <v>13597</v>
      </c>
      <c r="B4767" s="324" t="s">
        <v>13598</v>
      </c>
      <c r="C4767" s="323" t="s">
        <v>13599</v>
      </c>
      <c r="D4767" s="326" t="s">
        <v>13597</v>
      </c>
    </row>
    <row r="4768" spans="1:4">
      <c r="A4768" s="324" t="s">
        <v>13600</v>
      </c>
      <c r="B4768" s="324" t="s">
        <v>6933</v>
      </c>
      <c r="C4768" s="323" t="s">
        <v>13601</v>
      </c>
      <c r="D4768" s="326" t="s">
        <v>13602</v>
      </c>
    </row>
    <row r="4769" spans="1:4">
      <c r="A4769" s="324" t="s">
        <v>13603</v>
      </c>
      <c r="B4769" s="324" t="s">
        <v>13604</v>
      </c>
      <c r="C4769" s="323" t="s">
        <v>13605</v>
      </c>
      <c r="D4769" s="326" t="s">
        <v>13603</v>
      </c>
    </row>
    <row r="4770" spans="1:4">
      <c r="A4770" s="324" t="s">
        <v>6936</v>
      </c>
      <c r="B4770" s="324" t="s">
        <v>6935</v>
      </c>
      <c r="C4770" s="323" t="s">
        <v>13606</v>
      </c>
      <c r="D4770" s="326" t="s">
        <v>6936</v>
      </c>
    </row>
    <row r="4771" spans="1:4">
      <c r="A4771" s="324" t="s">
        <v>13607</v>
      </c>
      <c r="B4771" s="324" t="s">
        <v>13608</v>
      </c>
      <c r="C4771" s="323" t="s">
        <v>13609</v>
      </c>
      <c r="D4771" s="326" t="s">
        <v>13607</v>
      </c>
    </row>
    <row r="4772" spans="1:4">
      <c r="A4772" s="324" t="s">
        <v>13610</v>
      </c>
      <c r="B4772" s="324" t="s">
        <v>13611</v>
      </c>
      <c r="C4772" s="323" t="s">
        <v>13612</v>
      </c>
      <c r="D4772" s="326" t="s">
        <v>13610</v>
      </c>
    </row>
    <row r="4773" spans="1:4">
      <c r="A4773" s="324" t="s">
        <v>13613</v>
      </c>
      <c r="B4773" s="324" t="s">
        <v>13614</v>
      </c>
      <c r="C4773" s="323" t="s">
        <v>13615</v>
      </c>
      <c r="D4773" s="326" t="s">
        <v>13613</v>
      </c>
    </row>
    <row r="4774" spans="1:4">
      <c r="A4774" s="324" t="s">
        <v>4626</v>
      </c>
      <c r="B4774" s="324" t="s">
        <v>13616</v>
      </c>
      <c r="C4774" s="323" t="s">
        <v>13617</v>
      </c>
      <c r="D4774" s="326" t="s">
        <v>4626</v>
      </c>
    </row>
    <row r="4775" spans="1:4">
      <c r="A4775" s="324" t="s">
        <v>13618</v>
      </c>
      <c r="B4775" s="324" t="s">
        <v>13619</v>
      </c>
      <c r="C4775" s="323" t="s">
        <v>13620</v>
      </c>
      <c r="D4775" s="326" t="s">
        <v>13618</v>
      </c>
    </row>
    <row r="4776" spans="1:4">
      <c r="A4776" s="324" t="s">
        <v>13621</v>
      </c>
      <c r="B4776" s="324" t="s">
        <v>13622</v>
      </c>
      <c r="C4776" s="323" t="s">
        <v>13623</v>
      </c>
      <c r="D4776" s="326" t="s">
        <v>13621</v>
      </c>
    </row>
    <row r="4777" spans="1:4">
      <c r="A4777" s="324" t="s">
        <v>13624</v>
      </c>
      <c r="B4777" s="324" t="s">
        <v>13625</v>
      </c>
      <c r="C4777" s="323" t="s">
        <v>13626</v>
      </c>
      <c r="D4777" s="326" t="s">
        <v>13624</v>
      </c>
    </row>
    <row r="4778" spans="1:4">
      <c r="A4778" s="324" t="s">
        <v>13627</v>
      </c>
      <c r="B4778" s="324" t="s">
        <v>13628</v>
      </c>
      <c r="C4778" s="323" t="s">
        <v>13629</v>
      </c>
      <c r="D4778" s="326" t="s">
        <v>13627</v>
      </c>
    </row>
    <row r="4779" spans="1:4">
      <c r="A4779" s="324" t="s">
        <v>13630</v>
      </c>
      <c r="B4779" s="324" t="s">
        <v>13631</v>
      </c>
      <c r="C4779" s="323" t="s">
        <v>13632</v>
      </c>
      <c r="D4779" s="326" t="s">
        <v>13630</v>
      </c>
    </row>
    <row r="4780" spans="1:4">
      <c r="A4780" s="324" t="s">
        <v>13633</v>
      </c>
      <c r="B4780" s="324" t="s">
        <v>13634</v>
      </c>
      <c r="C4780" s="323" t="s">
        <v>13635</v>
      </c>
      <c r="D4780" s="326" t="s">
        <v>13633</v>
      </c>
    </row>
    <row r="4781" spans="1:4">
      <c r="A4781" s="324" t="s">
        <v>13636</v>
      </c>
      <c r="B4781" s="324" t="s">
        <v>13637</v>
      </c>
      <c r="C4781" s="323" t="s">
        <v>13638</v>
      </c>
      <c r="D4781" s="326" t="s">
        <v>13636</v>
      </c>
    </row>
    <row r="4782" spans="1:4">
      <c r="A4782" s="324" t="s">
        <v>13639</v>
      </c>
      <c r="B4782" s="324" t="s">
        <v>13640</v>
      </c>
      <c r="C4782" s="323" t="s">
        <v>13641</v>
      </c>
      <c r="D4782" s="326" t="s">
        <v>13639</v>
      </c>
    </row>
    <row r="4783" spans="1:4">
      <c r="A4783" s="324" t="s">
        <v>13642</v>
      </c>
      <c r="B4783" s="324" t="s">
        <v>13643</v>
      </c>
      <c r="C4783" s="323" t="s">
        <v>13644</v>
      </c>
      <c r="D4783" s="326" t="s">
        <v>13642</v>
      </c>
    </row>
    <row r="4784" spans="1:4">
      <c r="A4784" s="324" t="s">
        <v>13645</v>
      </c>
      <c r="B4784" s="324" t="s">
        <v>13646</v>
      </c>
      <c r="C4784" s="323" t="s">
        <v>13647</v>
      </c>
      <c r="D4784" s="326" t="s">
        <v>13645</v>
      </c>
    </row>
    <row r="4785" spans="1:4">
      <c r="A4785" s="324" t="s">
        <v>13648</v>
      </c>
      <c r="B4785" s="324" t="s">
        <v>13649</v>
      </c>
      <c r="C4785" s="323" t="s">
        <v>13650</v>
      </c>
      <c r="D4785" s="326" t="s">
        <v>13648</v>
      </c>
    </row>
    <row r="4786" spans="1:4">
      <c r="A4786" s="324" t="s">
        <v>8176</v>
      </c>
      <c r="B4786" s="324" t="s">
        <v>8175</v>
      </c>
      <c r="C4786" s="323" t="s">
        <v>13651</v>
      </c>
      <c r="D4786" s="326" t="s">
        <v>8176</v>
      </c>
    </row>
    <row r="4787" spans="1:4">
      <c r="A4787" s="324" t="s">
        <v>13367</v>
      </c>
      <c r="B4787" s="324" t="s">
        <v>13652</v>
      </c>
      <c r="C4787" s="323" t="s">
        <v>13653</v>
      </c>
      <c r="D4787" s="326" t="s">
        <v>13367</v>
      </c>
    </row>
    <row r="4788" spans="1:4">
      <c r="A4788" s="324" t="s">
        <v>13654</v>
      </c>
      <c r="B4788" s="324" t="s">
        <v>13655</v>
      </c>
      <c r="C4788" s="323" t="s">
        <v>13656</v>
      </c>
      <c r="D4788" s="326" t="s">
        <v>13654</v>
      </c>
    </row>
    <row r="4789" spans="1:4">
      <c r="A4789" s="324" t="s">
        <v>13657</v>
      </c>
      <c r="B4789" s="324" t="s">
        <v>13658</v>
      </c>
      <c r="C4789" s="323" t="s">
        <v>13659</v>
      </c>
      <c r="D4789" s="326" t="s">
        <v>13660</v>
      </c>
    </row>
    <row r="4790" spans="1:4">
      <c r="A4790" s="324" t="s">
        <v>13661</v>
      </c>
      <c r="B4790" s="324" t="s">
        <v>13662</v>
      </c>
      <c r="C4790" s="323" t="s">
        <v>13663</v>
      </c>
      <c r="D4790" s="326" t="s">
        <v>13661</v>
      </c>
    </row>
    <row r="4791" spans="1:4">
      <c r="A4791" s="324" t="s">
        <v>6121</v>
      </c>
      <c r="B4791" s="324" t="s">
        <v>13664</v>
      </c>
      <c r="C4791" s="323" t="s">
        <v>13665</v>
      </c>
      <c r="D4791" s="326" t="s">
        <v>6121</v>
      </c>
    </row>
    <row r="4792" spans="1:4">
      <c r="A4792" s="324" t="s">
        <v>13666</v>
      </c>
      <c r="B4792" s="324" t="s">
        <v>13667</v>
      </c>
      <c r="C4792" s="323" t="s">
        <v>13668</v>
      </c>
      <c r="D4792" s="326" t="s">
        <v>13666</v>
      </c>
    </row>
    <row r="4793" spans="1:4">
      <c r="A4793" s="324" t="s">
        <v>13669</v>
      </c>
      <c r="B4793" s="324" t="s">
        <v>13670</v>
      </c>
      <c r="C4793" s="323" t="s">
        <v>13671</v>
      </c>
      <c r="D4793" s="326" t="s">
        <v>13669</v>
      </c>
    </row>
    <row r="4794" spans="1:4">
      <c r="A4794" s="324" t="s">
        <v>13672</v>
      </c>
      <c r="B4794" s="324" t="s">
        <v>13673</v>
      </c>
      <c r="C4794" s="323" t="s">
        <v>13674</v>
      </c>
      <c r="D4794" s="326" t="s">
        <v>13672</v>
      </c>
    </row>
    <row r="4795" spans="1:4">
      <c r="A4795" s="324" t="s">
        <v>13675</v>
      </c>
      <c r="B4795" s="324" t="s">
        <v>13676</v>
      </c>
      <c r="C4795" s="323" t="s">
        <v>13677</v>
      </c>
      <c r="D4795" s="326" t="s">
        <v>13678</v>
      </c>
    </row>
    <row r="4796" spans="1:4">
      <c r="A4796" s="324" t="s">
        <v>4696</v>
      </c>
      <c r="B4796" s="324" t="s">
        <v>13679</v>
      </c>
      <c r="C4796" s="323" t="s">
        <v>13680</v>
      </c>
      <c r="D4796" s="326" t="s">
        <v>13681</v>
      </c>
    </row>
    <row r="4797" spans="1:4">
      <c r="A4797" s="324" t="s">
        <v>8215</v>
      </c>
      <c r="B4797" s="324" t="s">
        <v>8214</v>
      </c>
      <c r="C4797" s="323" t="s">
        <v>13682</v>
      </c>
      <c r="D4797" s="326" t="s">
        <v>8215</v>
      </c>
    </row>
    <row r="4798" spans="1:4">
      <c r="A4798" s="324" t="s">
        <v>13683</v>
      </c>
      <c r="B4798" s="324" t="s">
        <v>13684</v>
      </c>
      <c r="C4798" s="323" t="s">
        <v>10113</v>
      </c>
      <c r="D4798" s="326" t="s">
        <v>13685</v>
      </c>
    </row>
    <row r="4799" spans="1:4">
      <c r="A4799" s="324" t="s">
        <v>13686</v>
      </c>
      <c r="B4799" s="324" t="s">
        <v>13687</v>
      </c>
      <c r="C4799" s="323" t="s">
        <v>13688</v>
      </c>
      <c r="D4799" s="326" t="s">
        <v>13689</v>
      </c>
    </row>
    <row r="4800" spans="1:4">
      <c r="A4800" s="324" t="s">
        <v>13690</v>
      </c>
      <c r="B4800" s="324" t="s">
        <v>13691</v>
      </c>
      <c r="C4800" s="323" t="s">
        <v>13692</v>
      </c>
      <c r="D4800" s="326" t="s">
        <v>13690</v>
      </c>
    </row>
    <row r="4801" spans="1:4">
      <c r="A4801" s="324" t="s">
        <v>13693</v>
      </c>
      <c r="B4801" s="324" t="s">
        <v>13694</v>
      </c>
      <c r="C4801" s="323" t="s">
        <v>13695</v>
      </c>
      <c r="D4801" s="326" t="s">
        <v>13696</v>
      </c>
    </row>
    <row r="4802" spans="1:4">
      <c r="A4802" s="324" t="s">
        <v>4750</v>
      </c>
      <c r="B4802" s="324" t="s">
        <v>4751</v>
      </c>
      <c r="C4802" s="323" t="s">
        <v>5883</v>
      </c>
      <c r="D4802" s="326" t="s">
        <v>4750</v>
      </c>
    </row>
    <row r="4803" spans="1:4">
      <c r="A4803" s="324" t="s">
        <v>8229</v>
      </c>
      <c r="B4803" s="324" t="s">
        <v>8228</v>
      </c>
      <c r="C4803" s="323" t="s">
        <v>13697</v>
      </c>
      <c r="D4803" s="326" t="s">
        <v>8229</v>
      </c>
    </row>
    <row r="4804" spans="1:4">
      <c r="A4804" s="324" t="s">
        <v>8231</v>
      </c>
      <c r="B4804" s="324" t="s">
        <v>8230</v>
      </c>
      <c r="C4804" s="323" t="s">
        <v>13698</v>
      </c>
      <c r="D4804" s="326" t="s">
        <v>8231</v>
      </c>
    </row>
    <row r="4805" spans="1:4">
      <c r="A4805" s="324" t="s">
        <v>8229</v>
      </c>
      <c r="B4805" s="324" t="s">
        <v>13699</v>
      </c>
      <c r="C4805" s="323" t="s">
        <v>13697</v>
      </c>
      <c r="D4805" s="326" t="s">
        <v>8229</v>
      </c>
    </row>
    <row r="4806" spans="1:4">
      <c r="A4806" s="324" t="s">
        <v>13700</v>
      </c>
      <c r="B4806" s="324" t="s">
        <v>13701</v>
      </c>
      <c r="C4806" s="323" t="s">
        <v>13702</v>
      </c>
      <c r="D4806" s="326" t="s">
        <v>13700</v>
      </c>
    </row>
    <row r="4807" spans="1:4">
      <c r="A4807" s="324" t="s">
        <v>7128</v>
      </c>
      <c r="B4807" s="324" t="s">
        <v>13703</v>
      </c>
      <c r="C4807" s="323" t="s">
        <v>13704</v>
      </c>
      <c r="D4807" s="326" t="s">
        <v>7128</v>
      </c>
    </row>
    <row r="4808" spans="1:4">
      <c r="A4808" s="324" t="s">
        <v>8227</v>
      </c>
      <c r="B4808" s="324" t="s">
        <v>8226</v>
      </c>
      <c r="C4808" s="323" t="s">
        <v>13705</v>
      </c>
      <c r="D4808" s="326" t="s">
        <v>8227</v>
      </c>
    </row>
    <row r="4809" spans="1:4">
      <c r="A4809" s="324" t="s">
        <v>8517</v>
      </c>
      <c r="B4809" s="324" t="s">
        <v>8516</v>
      </c>
      <c r="C4809" s="323" t="s">
        <v>13706</v>
      </c>
      <c r="D4809" s="326" t="s">
        <v>8517</v>
      </c>
    </row>
    <row r="4810" spans="1:4">
      <c r="A4810" s="324" t="s">
        <v>13707</v>
      </c>
      <c r="B4810" s="324" t="s">
        <v>13708</v>
      </c>
      <c r="C4810" s="323" t="s">
        <v>13709</v>
      </c>
      <c r="D4810" s="326" t="s">
        <v>13707</v>
      </c>
    </row>
    <row r="4811" spans="1:4">
      <c r="A4811" s="324" t="s">
        <v>13710</v>
      </c>
      <c r="B4811" s="324" t="s">
        <v>4793</v>
      </c>
      <c r="C4811" s="323" t="s">
        <v>13711</v>
      </c>
      <c r="D4811" s="326" t="s">
        <v>13712</v>
      </c>
    </row>
    <row r="4812" spans="1:4">
      <c r="A4812" s="324" t="s">
        <v>13713</v>
      </c>
      <c r="B4812" s="324" t="s">
        <v>13714</v>
      </c>
      <c r="C4812" s="323" t="s">
        <v>13715</v>
      </c>
      <c r="D4812" s="326" t="s">
        <v>13716</v>
      </c>
    </row>
    <row r="4813" spans="1:4">
      <c r="A4813" s="324" t="s">
        <v>4802</v>
      </c>
      <c r="B4813" s="324" t="s">
        <v>4803</v>
      </c>
      <c r="C4813" s="323" t="s">
        <v>4803</v>
      </c>
      <c r="D4813" s="326" t="s">
        <v>13717</v>
      </c>
    </row>
    <row r="4814" spans="1:4">
      <c r="A4814" s="324" t="s">
        <v>13718</v>
      </c>
      <c r="B4814" s="324" t="s">
        <v>13719</v>
      </c>
      <c r="C4814" s="323" t="s">
        <v>13720</v>
      </c>
      <c r="D4814" s="326" t="s">
        <v>13721</v>
      </c>
    </row>
    <row r="4815" spans="1:4">
      <c r="A4815" s="324" t="s">
        <v>5003</v>
      </c>
      <c r="B4815" s="324" t="s">
        <v>5004</v>
      </c>
      <c r="C4815" s="323" t="s">
        <v>13722</v>
      </c>
      <c r="D4815" s="326" t="s">
        <v>5003</v>
      </c>
    </row>
    <row r="4816" spans="1:4">
      <c r="A4816" s="324" t="s">
        <v>13723</v>
      </c>
      <c r="B4816" s="324" t="s">
        <v>13724</v>
      </c>
      <c r="C4816" s="323" t="s">
        <v>13663</v>
      </c>
      <c r="D4816" s="326" t="s">
        <v>13723</v>
      </c>
    </row>
    <row r="4817" spans="1:4">
      <c r="A4817" s="324" t="s">
        <v>13725</v>
      </c>
      <c r="B4817" s="324" t="s">
        <v>13726</v>
      </c>
      <c r="C4817" s="323" t="s">
        <v>13727</v>
      </c>
      <c r="D4817" s="326" t="s">
        <v>13725</v>
      </c>
    </row>
    <row r="4818" spans="1:4">
      <c r="A4818" s="324" t="s">
        <v>13728</v>
      </c>
      <c r="B4818" s="324" t="s">
        <v>13729</v>
      </c>
      <c r="C4818" s="323" t="s">
        <v>13730</v>
      </c>
      <c r="D4818" s="326" t="s">
        <v>13728</v>
      </c>
    </row>
    <row r="4819" spans="1:4">
      <c r="A4819" s="324" t="s">
        <v>13731</v>
      </c>
      <c r="B4819" s="324" t="s">
        <v>13732</v>
      </c>
      <c r="C4819" s="323" t="s">
        <v>13733</v>
      </c>
      <c r="D4819" s="326" t="s">
        <v>13731</v>
      </c>
    </row>
    <row r="4820" spans="1:4">
      <c r="A4820" s="324" t="s">
        <v>13734</v>
      </c>
      <c r="B4820" s="324" t="s">
        <v>13735</v>
      </c>
      <c r="C4820" s="323" t="s">
        <v>13736</v>
      </c>
      <c r="D4820" s="326" t="s">
        <v>13734</v>
      </c>
    </row>
    <row r="4821" spans="1:4">
      <c r="A4821" s="324" t="s">
        <v>13737</v>
      </c>
      <c r="B4821" s="324" t="s">
        <v>13738</v>
      </c>
      <c r="C4821" s="323" t="s">
        <v>13739</v>
      </c>
      <c r="D4821" s="326" t="s">
        <v>13737</v>
      </c>
    </row>
    <row r="4822" spans="1:4">
      <c r="A4822" s="324" t="s">
        <v>13740</v>
      </c>
      <c r="B4822" s="324" t="s">
        <v>13741</v>
      </c>
      <c r="C4822" s="323" t="s">
        <v>13742</v>
      </c>
      <c r="D4822" s="326" t="s">
        <v>13743</v>
      </c>
    </row>
    <row r="4823" spans="1:4">
      <c r="A4823" s="324" t="s">
        <v>4301</v>
      </c>
      <c r="B4823" s="324" t="s">
        <v>13744</v>
      </c>
      <c r="C4823" s="323" t="s">
        <v>13745</v>
      </c>
      <c r="D4823" s="326" t="s">
        <v>13746</v>
      </c>
    </row>
    <row r="4824" spans="1:4">
      <c r="A4824" s="324" t="s">
        <v>13747</v>
      </c>
      <c r="B4824" s="324" t="s">
        <v>13748</v>
      </c>
      <c r="C4824" s="323" t="s">
        <v>13749</v>
      </c>
      <c r="D4824" s="326" t="s">
        <v>13743</v>
      </c>
    </row>
    <row r="4825" spans="1:4">
      <c r="A4825" s="324" t="s">
        <v>13750</v>
      </c>
      <c r="B4825" s="324" t="s">
        <v>13751</v>
      </c>
      <c r="C4825" s="323" t="s">
        <v>13752</v>
      </c>
      <c r="D4825" s="326" t="s">
        <v>13753</v>
      </c>
    </row>
    <row r="4826" spans="1:4">
      <c r="A4826" s="324" t="s">
        <v>13754</v>
      </c>
      <c r="B4826" s="324" t="s">
        <v>13755</v>
      </c>
      <c r="C4826" s="323" t="s">
        <v>13756</v>
      </c>
      <c r="D4826" s="326" t="s">
        <v>13754</v>
      </c>
    </row>
    <row r="4827" spans="1:4">
      <c r="A4827" s="324" t="s">
        <v>13757</v>
      </c>
      <c r="B4827" s="324" t="s">
        <v>13758</v>
      </c>
      <c r="C4827" s="323" t="s">
        <v>13759</v>
      </c>
      <c r="D4827" s="326" t="s">
        <v>13757</v>
      </c>
    </row>
    <row r="4828" spans="1:4">
      <c r="A4828" s="324" t="s">
        <v>4871</v>
      </c>
      <c r="B4828" s="324" t="s">
        <v>13760</v>
      </c>
      <c r="C4828" s="323" t="s">
        <v>13761</v>
      </c>
      <c r="D4828" s="326" t="s">
        <v>4871</v>
      </c>
    </row>
    <row r="4829" spans="1:4">
      <c r="A4829" s="324" t="s">
        <v>5311</v>
      </c>
      <c r="B4829" s="324" t="s">
        <v>13762</v>
      </c>
      <c r="C4829" s="323" t="s">
        <v>13763</v>
      </c>
      <c r="D4829" s="326" t="s">
        <v>5311</v>
      </c>
    </row>
    <row r="4830" spans="1:4">
      <c r="A4830" s="324" t="s">
        <v>8199</v>
      </c>
      <c r="B4830" s="324" t="s">
        <v>8198</v>
      </c>
      <c r="C4830" s="323" t="s">
        <v>13764</v>
      </c>
      <c r="D4830" s="326" t="s">
        <v>8199</v>
      </c>
    </row>
    <row r="4831" spans="1:4">
      <c r="A4831" s="324" t="s">
        <v>8201</v>
      </c>
      <c r="B4831" s="324" t="s">
        <v>8200</v>
      </c>
      <c r="C4831" s="323" t="s">
        <v>13765</v>
      </c>
      <c r="D4831" s="326" t="s">
        <v>8201</v>
      </c>
    </row>
    <row r="4832" spans="1:4">
      <c r="A4832" s="324" t="s">
        <v>13766</v>
      </c>
      <c r="B4832" s="324" t="s">
        <v>4884</v>
      </c>
      <c r="C4832" s="323" t="s">
        <v>4885</v>
      </c>
      <c r="D4832" s="326" t="s">
        <v>13766</v>
      </c>
    </row>
    <row r="4833" spans="1:4">
      <c r="A4833" s="324" t="s">
        <v>13767</v>
      </c>
      <c r="B4833" s="324" t="s">
        <v>13768</v>
      </c>
      <c r="C4833" s="323" t="s">
        <v>13769</v>
      </c>
      <c r="D4833" s="326" t="s">
        <v>13767</v>
      </c>
    </row>
    <row r="4834" spans="1:4">
      <c r="A4834" s="324" t="s">
        <v>13770</v>
      </c>
      <c r="B4834" s="324" t="s">
        <v>13771</v>
      </c>
      <c r="C4834" s="323" t="s">
        <v>13772</v>
      </c>
      <c r="D4834" s="326" t="s">
        <v>13770</v>
      </c>
    </row>
    <row r="4835" spans="1:4">
      <c r="A4835" s="324" t="s">
        <v>13773</v>
      </c>
      <c r="B4835" s="324" t="s">
        <v>13774</v>
      </c>
      <c r="C4835" s="323" t="s">
        <v>13775</v>
      </c>
      <c r="D4835" s="326" t="s">
        <v>13773</v>
      </c>
    </row>
    <row r="4836" spans="1:4">
      <c r="A4836" s="324" t="s">
        <v>13776</v>
      </c>
      <c r="B4836" s="324" t="s">
        <v>13777</v>
      </c>
      <c r="C4836" s="323" t="s">
        <v>13778</v>
      </c>
      <c r="D4836" s="326" t="s">
        <v>13776</v>
      </c>
    </row>
    <row r="4837" spans="1:4">
      <c r="A4837" s="324" t="s">
        <v>13779</v>
      </c>
      <c r="B4837" s="324" t="s">
        <v>13780</v>
      </c>
      <c r="C4837" s="323" t="s">
        <v>13781</v>
      </c>
      <c r="D4837" s="326" t="s">
        <v>13779</v>
      </c>
    </row>
    <row r="4838" spans="1:4">
      <c r="A4838" s="324" t="s">
        <v>549</v>
      </c>
      <c r="B4838" s="324" t="s">
        <v>6906</v>
      </c>
      <c r="C4838" s="323" t="s">
        <v>6906</v>
      </c>
      <c r="D4838" s="326" t="s">
        <v>549</v>
      </c>
    </row>
    <row r="4839" spans="1:4">
      <c r="A4839" s="324" t="s">
        <v>13782</v>
      </c>
      <c r="B4839" s="324" t="s">
        <v>4953</v>
      </c>
      <c r="C4839" s="323" t="s">
        <v>13783</v>
      </c>
      <c r="D4839" s="326" t="s">
        <v>13782</v>
      </c>
    </row>
    <row r="4840" spans="1:4">
      <c r="A4840" s="324" t="s">
        <v>13784</v>
      </c>
      <c r="B4840" s="324" t="s">
        <v>13785</v>
      </c>
      <c r="C4840" s="323" t="s">
        <v>13786</v>
      </c>
      <c r="D4840" s="326" t="s">
        <v>13784</v>
      </c>
    </row>
    <row r="4841" spans="1:4">
      <c r="A4841" s="324" t="s">
        <v>4960</v>
      </c>
      <c r="B4841" s="324" t="s">
        <v>4961</v>
      </c>
      <c r="C4841" s="323" t="s">
        <v>4969</v>
      </c>
      <c r="D4841" s="326" t="s">
        <v>4960</v>
      </c>
    </row>
    <row r="4842" spans="1:4">
      <c r="A4842" s="324" t="s">
        <v>13787</v>
      </c>
      <c r="B4842" s="324" t="s">
        <v>13788</v>
      </c>
      <c r="C4842" s="323" t="s">
        <v>13789</v>
      </c>
      <c r="D4842" s="326" t="s">
        <v>13787</v>
      </c>
    </row>
    <row r="4843" spans="1:4">
      <c r="A4843" s="324" t="s">
        <v>13790</v>
      </c>
      <c r="B4843" s="324" t="s">
        <v>13791</v>
      </c>
      <c r="C4843" s="323" t="s">
        <v>13792</v>
      </c>
      <c r="D4843" s="326" t="s">
        <v>13790</v>
      </c>
    </row>
    <row r="4844" spans="1:4">
      <c r="A4844" s="324" t="s">
        <v>13793</v>
      </c>
      <c r="B4844" s="324" t="s">
        <v>13794</v>
      </c>
      <c r="C4844" s="323" t="s">
        <v>13795</v>
      </c>
      <c r="D4844" s="326" t="s">
        <v>13793</v>
      </c>
    </row>
    <row r="4845" spans="1:4">
      <c r="A4845" s="324" t="s">
        <v>13796</v>
      </c>
      <c r="B4845" s="324" t="s">
        <v>13797</v>
      </c>
      <c r="C4845" s="323" t="s">
        <v>13798</v>
      </c>
      <c r="D4845" s="326" t="s">
        <v>13796</v>
      </c>
    </row>
    <row r="4846" spans="1:4">
      <c r="A4846" s="324" t="s">
        <v>13799</v>
      </c>
      <c r="B4846" s="324" t="s">
        <v>13800</v>
      </c>
      <c r="C4846" s="323" t="s">
        <v>13801</v>
      </c>
      <c r="D4846" s="326" t="s">
        <v>13799</v>
      </c>
    </row>
    <row r="4847" spans="1:4">
      <c r="A4847" s="324" t="s">
        <v>13802</v>
      </c>
      <c r="B4847" s="324" t="s">
        <v>13803</v>
      </c>
      <c r="C4847" s="323" t="s">
        <v>13804</v>
      </c>
      <c r="D4847" s="326" t="s">
        <v>13802</v>
      </c>
    </row>
    <row r="4848" spans="1:4">
      <c r="A4848" s="324" t="s">
        <v>13805</v>
      </c>
      <c r="B4848" s="324" t="s">
        <v>13806</v>
      </c>
      <c r="C4848" s="323" t="s">
        <v>13807</v>
      </c>
      <c r="D4848" s="326" t="s">
        <v>13805</v>
      </c>
    </row>
    <row r="4849" spans="1:4">
      <c r="A4849" s="324" t="s">
        <v>13808</v>
      </c>
      <c r="B4849" s="324" t="s">
        <v>13809</v>
      </c>
      <c r="C4849" s="323" t="s">
        <v>13810</v>
      </c>
      <c r="D4849" s="326" t="s">
        <v>13808</v>
      </c>
    </row>
    <row r="4850" spans="1:4">
      <c r="A4850" s="324" t="s">
        <v>4996</v>
      </c>
      <c r="B4850" s="324" t="s">
        <v>8515</v>
      </c>
      <c r="C4850" s="323" t="s">
        <v>13722</v>
      </c>
      <c r="D4850" s="326" t="s">
        <v>4996</v>
      </c>
    </row>
    <row r="4851" spans="1:4">
      <c r="A4851" s="324" t="s">
        <v>5001</v>
      </c>
      <c r="B4851" s="324" t="s">
        <v>4997</v>
      </c>
      <c r="C4851" s="323" t="s">
        <v>13722</v>
      </c>
      <c r="D4851" s="326" t="s">
        <v>5001</v>
      </c>
    </row>
    <row r="4852" spans="1:4">
      <c r="A4852" s="324" t="s">
        <v>5032</v>
      </c>
      <c r="B4852" s="324" t="s">
        <v>5033</v>
      </c>
      <c r="C4852" s="323" t="s">
        <v>13811</v>
      </c>
      <c r="D4852" s="326" t="s">
        <v>13812</v>
      </c>
    </row>
    <row r="4853" spans="1:4">
      <c r="A4853" s="324" t="s">
        <v>13813</v>
      </c>
      <c r="B4853" s="324" t="s">
        <v>13814</v>
      </c>
      <c r="C4853" s="323" t="s">
        <v>13815</v>
      </c>
      <c r="D4853" s="326" t="s">
        <v>13816</v>
      </c>
    </row>
    <row r="4854" spans="1:4">
      <c r="A4854" s="324" t="s">
        <v>13817</v>
      </c>
      <c r="B4854" s="324" t="s">
        <v>13818</v>
      </c>
      <c r="C4854" s="323" t="s">
        <v>13819</v>
      </c>
      <c r="D4854" s="326" t="s">
        <v>13820</v>
      </c>
    </row>
    <row r="4855" spans="1:4">
      <c r="A4855" s="324" t="s">
        <v>13821</v>
      </c>
      <c r="B4855" s="324" t="s">
        <v>13822</v>
      </c>
      <c r="C4855" s="323" t="s">
        <v>13823</v>
      </c>
      <c r="D4855" s="326" t="s">
        <v>13821</v>
      </c>
    </row>
    <row r="4856" spans="1:4">
      <c r="A4856" s="324" t="s">
        <v>13824</v>
      </c>
      <c r="B4856" s="324" t="s">
        <v>13825</v>
      </c>
      <c r="C4856" s="323" t="s">
        <v>13826</v>
      </c>
      <c r="D4856" s="326" t="s">
        <v>13824</v>
      </c>
    </row>
    <row r="4857" spans="1:4">
      <c r="A4857" s="324" t="s">
        <v>13827</v>
      </c>
      <c r="B4857" s="324" t="s">
        <v>13828</v>
      </c>
      <c r="C4857" s="323" t="s">
        <v>13829</v>
      </c>
      <c r="D4857" s="326" t="s">
        <v>13827</v>
      </c>
    </row>
    <row r="4858" spans="1:4">
      <c r="A4858" s="324" t="s">
        <v>13830</v>
      </c>
      <c r="B4858" s="324" t="s">
        <v>13831</v>
      </c>
      <c r="C4858" s="323" t="s">
        <v>13832</v>
      </c>
      <c r="D4858" s="326" t="s">
        <v>13830</v>
      </c>
    </row>
    <row r="4859" spans="1:4">
      <c r="A4859" s="324" t="s">
        <v>13830</v>
      </c>
      <c r="B4859" s="324" t="s">
        <v>13833</v>
      </c>
      <c r="C4859" s="323" t="s">
        <v>13834</v>
      </c>
      <c r="D4859" s="326" t="s">
        <v>13830</v>
      </c>
    </row>
    <row r="4860" spans="1:4">
      <c r="A4860" s="324" t="s">
        <v>11855</v>
      </c>
      <c r="B4860" s="324" t="s">
        <v>13835</v>
      </c>
      <c r="C4860" s="323" t="s">
        <v>13836</v>
      </c>
      <c r="D4860" s="326" t="s">
        <v>11855</v>
      </c>
    </row>
    <row r="4861" spans="1:4">
      <c r="A4861" s="324" t="s">
        <v>13837</v>
      </c>
      <c r="B4861" s="324" t="s">
        <v>13838</v>
      </c>
      <c r="C4861" s="323" t="s">
        <v>13839</v>
      </c>
      <c r="D4861" s="326" t="s">
        <v>13837</v>
      </c>
    </row>
    <row r="4862" spans="1:4">
      <c r="A4862" s="324" t="s">
        <v>13840</v>
      </c>
      <c r="B4862" s="324" t="s">
        <v>13841</v>
      </c>
      <c r="C4862" s="323" t="s">
        <v>13842</v>
      </c>
      <c r="D4862" s="326" t="s">
        <v>13843</v>
      </c>
    </row>
    <row r="4863" spans="1:4">
      <c r="A4863" s="324" t="s">
        <v>7312</v>
      </c>
      <c r="B4863" s="324" t="s">
        <v>7311</v>
      </c>
      <c r="C4863" s="323" t="s">
        <v>13819</v>
      </c>
      <c r="D4863" s="326" t="s">
        <v>13820</v>
      </c>
    </row>
    <row r="4864" spans="1:4">
      <c r="A4864" s="324" t="s">
        <v>13844</v>
      </c>
      <c r="B4864" s="324" t="s">
        <v>13845</v>
      </c>
      <c r="C4864" s="323" t="s">
        <v>13846</v>
      </c>
      <c r="D4864" s="326" t="s">
        <v>13844</v>
      </c>
    </row>
    <row r="4865" spans="1:4">
      <c r="A4865" s="324" t="s">
        <v>13847</v>
      </c>
      <c r="B4865" s="324" t="s">
        <v>13848</v>
      </c>
      <c r="C4865" s="323" t="s">
        <v>13832</v>
      </c>
      <c r="D4865" s="326" t="s">
        <v>13847</v>
      </c>
    </row>
    <row r="4866" spans="1:4">
      <c r="A4866" s="324" t="s">
        <v>13849</v>
      </c>
      <c r="B4866" s="324" t="s">
        <v>13850</v>
      </c>
      <c r="C4866" s="323" t="s">
        <v>13851</v>
      </c>
      <c r="D4866" s="326" t="s">
        <v>13849</v>
      </c>
    </row>
    <row r="4867" spans="1:4">
      <c r="A4867" s="324" t="s">
        <v>13852</v>
      </c>
      <c r="B4867" s="324" t="s">
        <v>13853</v>
      </c>
      <c r="C4867" s="323" t="s">
        <v>13851</v>
      </c>
      <c r="D4867" s="326" t="s">
        <v>13852</v>
      </c>
    </row>
    <row r="4868" spans="1:4">
      <c r="A4868" s="324" t="s">
        <v>13854</v>
      </c>
      <c r="B4868" s="324" t="s">
        <v>13855</v>
      </c>
      <c r="C4868" s="323" t="s">
        <v>13856</v>
      </c>
      <c r="D4868" s="326" t="s">
        <v>13857</v>
      </c>
    </row>
    <row r="4869" spans="1:4">
      <c r="A4869" s="324" t="s">
        <v>5108</v>
      </c>
      <c r="B4869" s="324" t="s">
        <v>13858</v>
      </c>
      <c r="C4869" s="323" t="s">
        <v>13859</v>
      </c>
      <c r="D4869" s="326" t="s">
        <v>5108</v>
      </c>
    </row>
    <row r="4870" spans="1:4">
      <c r="A4870" s="324" t="s">
        <v>13860</v>
      </c>
      <c r="B4870" s="324" t="s">
        <v>13861</v>
      </c>
      <c r="C4870" s="323" t="s">
        <v>13862</v>
      </c>
      <c r="D4870" s="326" t="s">
        <v>13860</v>
      </c>
    </row>
    <row r="4871" spans="1:4">
      <c r="A4871" s="324" t="s">
        <v>13863</v>
      </c>
      <c r="B4871" s="324" t="s">
        <v>13864</v>
      </c>
      <c r="C4871" s="323" t="s">
        <v>13865</v>
      </c>
      <c r="D4871" s="326" t="s">
        <v>13863</v>
      </c>
    </row>
    <row r="4872" spans="1:4">
      <c r="A4872" s="324" t="s">
        <v>13863</v>
      </c>
      <c r="B4872" s="324" t="s">
        <v>13866</v>
      </c>
      <c r="C4872" s="323" t="s">
        <v>13867</v>
      </c>
      <c r="D4872" s="326" t="s">
        <v>13863</v>
      </c>
    </row>
    <row r="4873" spans="1:4">
      <c r="A4873" s="324" t="s">
        <v>7362</v>
      </c>
      <c r="B4873" s="324" t="s">
        <v>7376</v>
      </c>
      <c r="C4873" s="323" t="s">
        <v>13868</v>
      </c>
      <c r="D4873" s="326" t="s">
        <v>7362</v>
      </c>
    </row>
    <row r="4874" spans="1:4">
      <c r="A4874" s="324" t="s">
        <v>6930</v>
      </c>
      <c r="B4874" s="324" t="s">
        <v>6929</v>
      </c>
      <c r="C4874" s="323" t="s">
        <v>13869</v>
      </c>
      <c r="D4874" s="326" t="s">
        <v>6930</v>
      </c>
    </row>
    <row r="4875" spans="1:4">
      <c r="A4875" s="324" t="s">
        <v>13870</v>
      </c>
      <c r="B4875" s="324" t="s">
        <v>13871</v>
      </c>
      <c r="C4875" s="323" t="s">
        <v>13872</v>
      </c>
      <c r="D4875" s="326" t="s">
        <v>13873</v>
      </c>
    </row>
    <row r="4876" spans="1:4">
      <c r="A4876" s="324" t="s">
        <v>12996</v>
      </c>
      <c r="B4876" s="324" t="s">
        <v>13874</v>
      </c>
      <c r="C4876" s="323" t="s">
        <v>13875</v>
      </c>
      <c r="D4876" s="326" t="s">
        <v>13876</v>
      </c>
    </row>
    <row r="4877" spans="1:4">
      <c r="A4877" s="324" t="s">
        <v>13877</v>
      </c>
      <c r="B4877" s="324" t="s">
        <v>13878</v>
      </c>
      <c r="C4877" s="323" t="s">
        <v>13879</v>
      </c>
      <c r="D4877" s="326" t="s">
        <v>13877</v>
      </c>
    </row>
    <row r="4878" spans="1:4">
      <c r="A4878" s="324" t="s">
        <v>13880</v>
      </c>
      <c r="B4878" s="324" t="s">
        <v>5139</v>
      </c>
      <c r="C4878" s="323" t="s">
        <v>13881</v>
      </c>
      <c r="D4878" s="326" t="s">
        <v>13882</v>
      </c>
    </row>
    <row r="4879" spans="1:4">
      <c r="A4879" s="324" t="s">
        <v>13883</v>
      </c>
      <c r="B4879" s="324" t="s">
        <v>13884</v>
      </c>
      <c r="C4879" s="323" t="s">
        <v>13885</v>
      </c>
      <c r="D4879" s="326" t="s">
        <v>13886</v>
      </c>
    </row>
    <row r="4880" spans="1:4">
      <c r="A4880" s="324" t="s">
        <v>8981</v>
      </c>
      <c r="B4880" s="324" t="s">
        <v>8979</v>
      </c>
      <c r="C4880" s="323" t="s">
        <v>13887</v>
      </c>
      <c r="D4880" s="326" t="s">
        <v>13888</v>
      </c>
    </row>
    <row r="4881" spans="1:4">
      <c r="A4881" s="324" t="s">
        <v>13889</v>
      </c>
      <c r="B4881" s="324" t="s">
        <v>13890</v>
      </c>
      <c r="C4881" s="323" t="s">
        <v>13891</v>
      </c>
      <c r="D4881" s="326" t="s">
        <v>13892</v>
      </c>
    </row>
    <row r="4882" spans="1:4">
      <c r="A4882" s="324" t="s">
        <v>13893</v>
      </c>
      <c r="B4882" s="324" t="s">
        <v>13894</v>
      </c>
      <c r="C4882" s="323" t="s">
        <v>13895</v>
      </c>
      <c r="D4882" s="326" t="s">
        <v>13896</v>
      </c>
    </row>
    <row r="4883" spans="1:4">
      <c r="A4883" s="324" t="s">
        <v>8978</v>
      </c>
      <c r="B4883" s="324" t="s">
        <v>8977</v>
      </c>
      <c r="C4883" s="323" t="s">
        <v>13891</v>
      </c>
      <c r="D4883" s="326" t="s">
        <v>13897</v>
      </c>
    </row>
    <row r="4884" spans="1:4">
      <c r="A4884" s="324" t="s">
        <v>13898</v>
      </c>
      <c r="B4884" s="324" t="s">
        <v>13899</v>
      </c>
      <c r="C4884" s="323" t="s">
        <v>13900</v>
      </c>
      <c r="D4884" s="326" t="s">
        <v>13901</v>
      </c>
    </row>
    <row r="4885" spans="1:4">
      <c r="A4885" s="324" t="s">
        <v>13902</v>
      </c>
      <c r="B4885" s="324" t="s">
        <v>13903</v>
      </c>
      <c r="C4885" s="323" t="s">
        <v>13904</v>
      </c>
      <c r="D4885" s="326" t="s">
        <v>13905</v>
      </c>
    </row>
    <row r="4886" spans="1:4">
      <c r="A4886" s="324" t="s">
        <v>13906</v>
      </c>
      <c r="B4886" s="324" t="s">
        <v>13907</v>
      </c>
      <c r="C4886" s="323" t="s">
        <v>13908</v>
      </c>
      <c r="D4886" s="326" t="s">
        <v>13909</v>
      </c>
    </row>
    <row r="4887" spans="1:4">
      <c r="A4887" s="324" t="s">
        <v>13910</v>
      </c>
      <c r="B4887" s="324" t="s">
        <v>13911</v>
      </c>
      <c r="C4887" s="323" t="s">
        <v>13912</v>
      </c>
      <c r="D4887" s="326" t="s">
        <v>13913</v>
      </c>
    </row>
    <row r="4888" spans="1:4">
      <c r="A4888" s="324" t="s">
        <v>13914</v>
      </c>
      <c r="B4888" s="324" t="s">
        <v>13915</v>
      </c>
      <c r="C4888" s="323" t="s">
        <v>13916</v>
      </c>
      <c r="D4888" s="326" t="s">
        <v>13917</v>
      </c>
    </row>
    <row r="4889" spans="1:4">
      <c r="A4889" s="324" t="s">
        <v>13918</v>
      </c>
      <c r="B4889" s="324" t="s">
        <v>13919</v>
      </c>
      <c r="C4889" s="323" t="s">
        <v>13920</v>
      </c>
      <c r="D4889" s="326" t="s">
        <v>13918</v>
      </c>
    </row>
    <row r="4890" spans="1:4">
      <c r="A4890" s="324" t="s">
        <v>13921</v>
      </c>
      <c r="B4890" s="324" t="s">
        <v>13922</v>
      </c>
      <c r="C4890" s="323" t="s">
        <v>13923</v>
      </c>
      <c r="D4890" s="326" t="s">
        <v>13921</v>
      </c>
    </row>
    <row r="4891" spans="1:4">
      <c r="A4891" s="324" t="s">
        <v>13924</v>
      </c>
      <c r="B4891" s="324" t="s">
        <v>13925</v>
      </c>
      <c r="C4891" s="323" t="s">
        <v>13926</v>
      </c>
      <c r="D4891" s="326" t="s">
        <v>13927</v>
      </c>
    </row>
    <row r="4892" spans="1:4">
      <c r="A4892" s="324" t="s">
        <v>13928</v>
      </c>
      <c r="B4892" s="324" t="s">
        <v>13929</v>
      </c>
      <c r="C4892" s="323" t="s">
        <v>5170</v>
      </c>
      <c r="D4892" s="326" t="s">
        <v>13930</v>
      </c>
    </row>
    <row r="4893" spans="1:4">
      <c r="A4893" s="324" t="s">
        <v>13931</v>
      </c>
      <c r="B4893" s="324" t="s">
        <v>13932</v>
      </c>
      <c r="C4893" s="323" t="s">
        <v>13933</v>
      </c>
      <c r="D4893" s="326" t="s">
        <v>13931</v>
      </c>
    </row>
    <row r="4894" spans="1:4">
      <c r="A4894" s="324" t="s">
        <v>13934</v>
      </c>
      <c r="B4894" s="324" t="s">
        <v>13935</v>
      </c>
      <c r="C4894" s="323" t="s">
        <v>13936</v>
      </c>
      <c r="D4894" s="326" t="s">
        <v>13934</v>
      </c>
    </row>
    <row r="4895" spans="1:4">
      <c r="A4895" s="324" t="s">
        <v>13937</v>
      </c>
      <c r="B4895" s="324" t="s">
        <v>13938</v>
      </c>
      <c r="C4895" s="323" t="s">
        <v>13939</v>
      </c>
      <c r="D4895" s="326" t="s">
        <v>13940</v>
      </c>
    </row>
    <row r="4896" spans="1:4">
      <c r="A4896" s="324" t="s">
        <v>13941</v>
      </c>
      <c r="B4896" s="324" t="s">
        <v>13942</v>
      </c>
      <c r="C4896" s="323" t="s">
        <v>13943</v>
      </c>
      <c r="D4896" s="326" t="s">
        <v>13941</v>
      </c>
    </row>
    <row r="4897" spans="1:4">
      <c r="A4897" s="324" t="s">
        <v>6071</v>
      </c>
      <c r="B4897" s="324" t="s">
        <v>13944</v>
      </c>
      <c r="C4897" s="323" t="s">
        <v>13945</v>
      </c>
      <c r="D4897" s="326" t="s">
        <v>6071</v>
      </c>
    </row>
    <row r="4898" spans="1:4">
      <c r="A4898" s="324" t="s">
        <v>6077</v>
      </c>
      <c r="B4898" s="324" t="s">
        <v>13946</v>
      </c>
      <c r="C4898" s="323" t="s">
        <v>13947</v>
      </c>
      <c r="D4898" s="326" t="s">
        <v>6077</v>
      </c>
    </row>
    <row r="4899" spans="1:4">
      <c r="A4899" s="324" t="s">
        <v>5290</v>
      </c>
      <c r="B4899" s="324" t="s">
        <v>13948</v>
      </c>
      <c r="C4899" s="323" t="s">
        <v>13949</v>
      </c>
      <c r="D4899" s="326" t="s">
        <v>5290</v>
      </c>
    </row>
    <row r="4900" spans="1:4">
      <c r="A4900" s="324" t="s">
        <v>5241</v>
      </c>
      <c r="B4900" s="324" t="s">
        <v>13950</v>
      </c>
      <c r="C4900" s="323" t="s">
        <v>13951</v>
      </c>
      <c r="D4900" s="326" t="s">
        <v>5241</v>
      </c>
    </row>
    <row r="4901" spans="1:4">
      <c r="A4901" s="324" t="s">
        <v>5471</v>
      </c>
      <c r="B4901" s="324" t="s">
        <v>13952</v>
      </c>
      <c r="C4901" s="323" t="s">
        <v>13952</v>
      </c>
      <c r="D4901" s="326" t="s">
        <v>5471</v>
      </c>
    </row>
    <row r="4902" spans="1:4">
      <c r="A4902" s="324" t="s">
        <v>13953</v>
      </c>
      <c r="B4902" s="324" t="s">
        <v>13954</v>
      </c>
      <c r="C4902" s="323" t="s">
        <v>13955</v>
      </c>
      <c r="D4902" s="326" t="s">
        <v>13953</v>
      </c>
    </row>
    <row r="4903" spans="1:4">
      <c r="A4903" s="324" t="s">
        <v>13956</v>
      </c>
      <c r="B4903" s="324" t="s">
        <v>13957</v>
      </c>
      <c r="C4903" s="323" t="s">
        <v>13958</v>
      </c>
      <c r="D4903" s="326" t="s">
        <v>13956</v>
      </c>
    </row>
    <row r="4904" spans="1:4">
      <c r="A4904" s="324" t="s">
        <v>13959</v>
      </c>
      <c r="B4904" s="324" t="s">
        <v>13960</v>
      </c>
      <c r="C4904" s="323" t="s">
        <v>13961</v>
      </c>
      <c r="D4904" s="326" t="s">
        <v>13959</v>
      </c>
    </row>
    <row r="4905" spans="1:4">
      <c r="A4905" s="324" t="s">
        <v>5433</v>
      </c>
      <c r="B4905" s="324" t="s">
        <v>5435</v>
      </c>
      <c r="C4905" s="323" t="s">
        <v>5435</v>
      </c>
      <c r="D4905" s="326" t="s">
        <v>5433</v>
      </c>
    </row>
    <row r="4906" spans="1:4">
      <c r="A4906" s="324" t="s">
        <v>13962</v>
      </c>
      <c r="B4906" s="324" t="s">
        <v>13963</v>
      </c>
      <c r="C4906" s="323" t="s">
        <v>13964</v>
      </c>
      <c r="D4906" s="326" t="s">
        <v>13962</v>
      </c>
    </row>
    <row r="4907" spans="1:4">
      <c r="A4907" s="324" t="s">
        <v>7314</v>
      </c>
      <c r="B4907" s="324" t="s">
        <v>13965</v>
      </c>
      <c r="C4907" s="323" t="s">
        <v>13966</v>
      </c>
      <c r="D4907" s="326" t="s">
        <v>7314</v>
      </c>
    </row>
    <row r="4908" spans="1:4">
      <c r="A4908" s="324" t="s">
        <v>13967</v>
      </c>
      <c r="B4908" s="324" t="s">
        <v>13968</v>
      </c>
      <c r="C4908" s="323" t="s">
        <v>13969</v>
      </c>
      <c r="D4908" s="326" t="s">
        <v>13967</v>
      </c>
    </row>
    <row r="4909" spans="1:4">
      <c r="A4909" s="324" t="s">
        <v>13970</v>
      </c>
      <c r="B4909" s="324" t="s">
        <v>13971</v>
      </c>
      <c r="C4909" s="323" t="s">
        <v>13972</v>
      </c>
      <c r="D4909" s="326" t="s">
        <v>13970</v>
      </c>
    </row>
    <row r="4910" spans="1:4">
      <c r="A4910" s="324" t="s">
        <v>13973</v>
      </c>
      <c r="B4910" s="324" t="s">
        <v>13974</v>
      </c>
      <c r="C4910" s="323" t="s">
        <v>13975</v>
      </c>
      <c r="D4910" s="326" t="s">
        <v>13973</v>
      </c>
    </row>
    <row r="4911" spans="1:4">
      <c r="A4911" s="324" t="s">
        <v>13976</v>
      </c>
      <c r="B4911" s="324" t="s">
        <v>13977</v>
      </c>
      <c r="C4911" s="323" t="s">
        <v>13978</v>
      </c>
      <c r="D4911" s="326" t="s">
        <v>13976</v>
      </c>
    </row>
    <row r="4912" spans="1:4">
      <c r="A4912" s="324" t="s">
        <v>13979</v>
      </c>
      <c r="B4912" s="324" t="s">
        <v>13980</v>
      </c>
      <c r="C4912" s="323" t="s">
        <v>13981</v>
      </c>
      <c r="D4912" s="326" t="s">
        <v>13979</v>
      </c>
    </row>
    <row r="4913" spans="1:4">
      <c r="A4913" s="324" t="s">
        <v>13982</v>
      </c>
      <c r="B4913" s="324" t="s">
        <v>13983</v>
      </c>
      <c r="C4913" s="323" t="s">
        <v>13984</v>
      </c>
      <c r="D4913" s="326" t="s">
        <v>13982</v>
      </c>
    </row>
    <row r="4914" spans="1:4">
      <c r="A4914" s="324" t="s">
        <v>13985</v>
      </c>
      <c r="B4914" s="324" t="s">
        <v>13986</v>
      </c>
      <c r="C4914" s="323" t="s">
        <v>13987</v>
      </c>
      <c r="D4914" s="326" t="s">
        <v>13985</v>
      </c>
    </row>
    <row r="4915" spans="1:4">
      <c r="A4915" s="324" t="s">
        <v>13988</v>
      </c>
      <c r="B4915" s="324" t="s">
        <v>13989</v>
      </c>
      <c r="C4915" s="323" t="s">
        <v>13990</v>
      </c>
      <c r="D4915" s="326" t="s">
        <v>13988</v>
      </c>
    </row>
    <row r="4916" spans="1:4">
      <c r="A4916" s="324" t="s">
        <v>13991</v>
      </c>
      <c r="B4916" s="324" t="s">
        <v>13992</v>
      </c>
      <c r="C4916" s="323" t="s">
        <v>13993</v>
      </c>
      <c r="D4916" s="326" t="s">
        <v>13994</v>
      </c>
    </row>
    <row r="4917" spans="1:4">
      <c r="A4917" s="324" t="s">
        <v>13995</v>
      </c>
      <c r="B4917" s="324" t="s">
        <v>13996</v>
      </c>
      <c r="C4917" s="323" t="s">
        <v>13997</v>
      </c>
      <c r="D4917" s="326" t="s">
        <v>13995</v>
      </c>
    </row>
    <row r="4918" spans="1:4">
      <c r="A4918" s="324" t="s">
        <v>13998</v>
      </c>
      <c r="B4918" s="324" t="s">
        <v>13999</v>
      </c>
      <c r="C4918" s="323" t="s">
        <v>14000</v>
      </c>
      <c r="D4918" s="326" t="s">
        <v>13998</v>
      </c>
    </row>
    <row r="4919" spans="1:4">
      <c r="A4919" s="324" t="s">
        <v>14001</v>
      </c>
      <c r="B4919" s="324" t="s">
        <v>14002</v>
      </c>
      <c r="C4919" s="323" t="s">
        <v>14003</v>
      </c>
      <c r="D4919" s="326" t="s">
        <v>14004</v>
      </c>
    </row>
    <row r="4920" spans="1:4">
      <c r="A4920" s="324" t="s">
        <v>14005</v>
      </c>
      <c r="B4920" s="324" t="s">
        <v>14006</v>
      </c>
      <c r="C4920" s="323" t="s">
        <v>14007</v>
      </c>
      <c r="D4920" s="326" t="s">
        <v>14005</v>
      </c>
    </row>
    <row r="4921" spans="1:4">
      <c r="A4921" s="324" t="s">
        <v>14008</v>
      </c>
      <c r="B4921" s="324" t="s">
        <v>14009</v>
      </c>
      <c r="C4921" s="323" t="s">
        <v>14010</v>
      </c>
      <c r="D4921" s="326" t="s">
        <v>14008</v>
      </c>
    </row>
    <row r="4922" spans="1:4">
      <c r="A4922" s="324" t="s">
        <v>14011</v>
      </c>
      <c r="B4922" s="324" t="s">
        <v>14012</v>
      </c>
      <c r="C4922" s="323" t="s">
        <v>14013</v>
      </c>
      <c r="D4922" s="326" t="s">
        <v>14011</v>
      </c>
    </row>
    <row r="4923" spans="1:4">
      <c r="A4923" s="324" t="s">
        <v>14014</v>
      </c>
      <c r="B4923" s="324" t="s">
        <v>14015</v>
      </c>
      <c r="C4923" s="323" t="s">
        <v>14016</v>
      </c>
      <c r="D4923" s="326" t="s">
        <v>14014</v>
      </c>
    </row>
    <row r="4924" spans="1:4">
      <c r="A4924" s="324" t="s">
        <v>14017</v>
      </c>
      <c r="B4924" s="324" t="s">
        <v>14018</v>
      </c>
      <c r="C4924" s="323" t="s">
        <v>14019</v>
      </c>
      <c r="D4924" s="326" t="s">
        <v>14017</v>
      </c>
    </row>
    <row r="4925" spans="1:4">
      <c r="A4925" s="324" t="s">
        <v>14020</v>
      </c>
      <c r="B4925" s="324" t="s">
        <v>14021</v>
      </c>
      <c r="C4925" s="323" t="s">
        <v>14022</v>
      </c>
      <c r="D4925" s="326" t="s">
        <v>14020</v>
      </c>
    </row>
    <row r="4926" spans="1:4">
      <c r="A4926" s="324" t="s">
        <v>14023</v>
      </c>
      <c r="B4926" s="324" t="s">
        <v>14024</v>
      </c>
      <c r="C4926" s="323" t="s">
        <v>14025</v>
      </c>
      <c r="D4926" s="326" t="s">
        <v>14023</v>
      </c>
    </row>
    <row r="4927" spans="1:4">
      <c r="A4927" s="324" t="s">
        <v>14026</v>
      </c>
      <c r="B4927" s="324" t="s">
        <v>14027</v>
      </c>
      <c r="C4927" s="323" t="s">
        <v>14028</v>
      </c>
      <c r="D4927" s="325" t="s">
        <v>14029</v>
      </c>
    </row>
    <row r="4928" spans="1:4">
      <c r="A4928" s="324" t="s">
        <v>14030</v>
      </c>
      <c r="B4928" s="324" t="s">
        <v>14031</v>
      </c>
      <c r="C4928" s="323" t="s">
        <v>14032</v>
      </c>
      <c r="D4928" s="325" t="s">
        <v>14033</v>
      </c>
    </row>
    <row r="4929" spans="1:4">
      <c r="A4929" s="324" t="s">
        <v>14034</v>
      </c>
      <c r="B4929" s="324" t="s">
        <v>14035</v>
      </c>
      <c r="C4929" s="323" t="s">
        <v>14036</v>
      </c>
      <c r="D4929" s="325" t="s">
        <v>14037</v>
      </c>
    </row>
    <row r="4930" spans="1:4">
      <c r="A4930" s="324" t="s">
        <v>14038</v>
      </c>
      <c r="B4930" s="324" t="s">
        <v>14039</v>
      </c>
      <c r="C4930" s="323" t="s">
        <v>14040</v>
      </c>
      <c r="D4930" s="325" t="s">
        <v>14041</v>
      </c>
    </row>
    <row r="4931" spans="1:4">
      <c r="A4931" s="324" t="s">
        <v>4347</v>
      </c>
      <c r="B4931" s="324" t="s">
        <v>14042</v>
      </c>
      <c r="C4931" s="323" t="s">
        <v>14043</v>
      </c>
      <c r="D4931" s="325" t="s">
        <v>14044</v>
      </c>
    </row>
    <row r="4932" spans="1:4">
      <c r="A4932" s="324" t="s">
        <v>14045</v>
      </c>
      <c r="B4932" s="324" t="s">
        <v>14046</v>
      </c>
      <c r="C4932" s="323" t="s">
        <v>14047</v>
      </c>
      <c r="D4932" s="326" t="s">
        <v>14045</v>
      </c>
    </row>
    <row r="4933" spans="1:4">
      <c r="A4933" s="324" t="s">
        <v>14048</v>
      </c>
      <c r="B4933" s="324" t="s">
        <v>14049</v>
      </c>
      <c r="C4933" s="323" t="s">
        <v>14050</v>
      </c>
      <c r="D4933" s="326" t="s">
        <v>14048</v>
      </c>
    </row>
    <row r="4934" spans="1:4">
      <c r="A4934" s="324" t="s">
        <v>7365</v>
      </c>
      <c r="B4934" s="324" t="s">
        <v>5380</v>
      </c>
      <c r="C4934" s="323" t="s">
        <v>14051</v>
      </c>
      <c r="D4934" s="326" t="s">
        <v>7365</v>
      </c>
    </row>
    <row r="4935" spans="1:4">
      <c r="A4935" s="324" t="s">
        <v>14052</v>
      </c>
      <c r="B4935" s="324" t="s">
        <v>14053</v>
      </c>
      <c r="C4935" s="323" t="s">
        <v>14051</v>
      </c>
      <c r="D4935" s="326" t="s">
        <v>14052</v>
      </c>
    </row>
    <row r="4936" spans="1:4">
      <c r="A4936" s="324" t="s">
        <v>14054</v>
      </c>
      <c r="B4936" s="324" t="s">
        <v>14055</v>
      </c>
      <c r="C4936" s="323" t="s">
        <v>14056</v>
      </c>
      <c r="D4936" s="326" t="s">
        <v>14054</v>
      </c>
    </row>
    <row r="4937" spans="1:4">
      <c r="A4937" s="324" t="s">
        <v>14057</v>
      </c>
      <c r="B4937" s="324" t="s">
        <v>14058</v>
      </c>
      <c r="C4937" s="323" t="s">
        <v>14059</v>
      </c>
      <c r="D4937" s="326" t="s">
        <v>14057</v>
      </c>
    </row>
    <row r="4938" spans="1:4">
      <c r="A4938" s="324" t="s">
        <v>14060</v>
      </c>
      <c r="B4938" s="324" t="s">
        <v>14061</v>
      </c>
      <c r="C4938" s="323" t="s">
        <v>14062</v>
      </c>
      <c r="D4938" s="326" t="s">
        <v>14060</v>
      </c>
    </row>
    <row r="4939" spans="1:4">
      <c r="A4939" s="324" t="s">
        <v>14063</v>
      </c>
      <c r="B4939" s="324" t="s">
        <v>14064</v>
      </c>
      <c r="C4939" s="323" t="s">
        <v>14065</v>
      </c>
      <c r="D4939" s="325" t="s">
        <v>14066</v>
      </c>
    </row>
    <row r="4940" spans="1:4">
      <c r="A4940" s="324" t="s">
        <v>14067</v>
      </c>
      <c r="B4940" s="324" t="s">
        <v>14068</v>
      </c>
      <c r="C4940" s="323" t="s">
        <v>14069</v>
      </c>
      <c r="D4940" s="326" t="s">
        <v>14067</v>
      </c>
    </row>
    <row r="4941" spans="1:4">
      <c r="A4941" s="324" t="s">
        <v>14070</v>
      </c>
      <c r="B4941" s="324" t="s">
        <v>14071</v>
      </c>
      <c r="C4941" s="323" t="s">
        <v>14072</v>
      </c>
      <c r="D4941" s="325" t="s">
        <v>14073</v>
      </c>
    </row>
    <row r="4942" spans="1:4">
      <c r="A4942" s="324" t="s">
        <v>14074</v>
      </c>
      <c r="B4942" s="324" t="s">
        <v>14075</v>
      </c>
      <c r="C4942" s="323" t="s">
        <v>14076</v>
      </c>
      <c r="D4942" s="325" t="s">
        <v>14077</v>
      </c>
    </row>
    <row r="4943" spans="1:4">
      <c r="A4943" s="324" t="s">
        <v>14078</v>
      </c>
      <c r="B4943" s="324" t="s">
        <v>14079</v>
      </c>
      <c r="C4943" s="323" t="s">
        <v>14080</v>
      </c>
      <c r="D4943" s="325" t="s">
        <v>14081</v>
      </c>
    </row>
    <row r="4944" spans="1:4">
      <c r="A4944" s="324" t="s">
        <v>14082</v>
      </c>
      <c r="B4944" s="324" t="s">
        <v>14083</v>
      </c>
      <c r="C4944" s="323" t="s">
        <v>14084</v>
      </c>
      <c r="D4944" s="325" t="s">
        <v>14085</v>
      </c>
    </row>
    <row r="4945" spans="1:4">
      <c r="A4945" s="324" t="s">
        <v>14086</v>
      </c>
      <c r="B4945" s="324" t="s">
        <v>14087</v>
      </c>
      <c r="C4945" s="323" t="s">
        <v>14088</v>
      </c>
      <c r="D4945" s="326" t="s">
        <v>14086</v>
      </c>
    </row>
    <row r="4946" spans="1:4">
      <c r="A4946" s="324" t="s">
        <v>14089</v>
      </c>
      <c r="B4946" s="324" t="s">
        <v>14090</v>
      </c>
      <c r="C4946" s="323" t="s">
        <v>14091</v>
      </c>
      <c r="D4946" s="325" t="s">
        <v>14092</v>
      </c>
    </row>
    <row r="4947" spans="1:4">
      <c r="A4947" s="324" t="s">
        <v>14093</v>
      </c>
      <c r="B4947" s="324" t="s">
        <v>14094</v>
      </c>
      <c r="C4947" s="323" t="s">
        <v>14095</v>
      </c>
      <c r="D4947" s="325" t="s">
        <v>14096</v>
      </c>
    </row>
    <row r="4948" spans="1:4">
      <c r="A4948" s="324" t="s">
        <v>14097</v>
      </c>
      <c r="B4948" s="324" t="s">
        <v>6968</v>
      </c>
      <c r="C4948" s="323" t="s">
        <v>14098</v>
      </c>
      <c r="D4948" s="326" t="s">
        <v>14099</v>
      </c>
    </row>
    <row r="4949" spans="1:4">
      <c r="A4949" s="324" t="s">
        <v>14100</v>
      </c>
      <c r="B4949" s="324" t="s">
        <v>14101</v>
      </c>
      <c r="C4949" s="323" t="s">
        <v>14102</v>
      </c>
      <c r="D4949" s="326" t="s">
        <v>14100</v>
      </c>
    </row>
    <row r="4950" spans="1:4">
      <c r="A4950" s="324" t="s">
        <v>14103</v>
      </c>
      <c r="B4950" s="324" t="s">
        <v>14104</v>
      </c>
      <c r="C4950" s="323" t="s">
        <v>14105</v>
      </c>
      <c r="D4950" s="325" t="s">
        <v>14106</v>
      </c>
    </row>
    <row r="4951" spans="1:4">
      <c r="A4951" s="324" t="s">
        <v>14107</v>
      </c>
      <c r="B4951" s="324" t="s">
        <v>14104</v>
      </c>
      <c r="C4951" s="323" t="s">
        <v>14105</v>
      </c>
      <c r="D4951" s="325" t="s">
        <v>14108</v>
      </c>
    </row>
    <row r="4952" spans="1:4">
      <c r="A4952" s="324" t="s">
        <v>14109</v>
      </c>
      <c r="B4952" s="324" t="s">
        <v>14110</v>
      </c>
      <c r="C4952" s="323" t="s">
        <v>14111</v>
      </c>
      <c r="D4952" s="325" t="s">
        <v>14112</v>
      </c>
    </row>
    <row r="4953" spans="1:4">
      <c r="A4953" s="324" t="s">
        <v>14113</v>
      </c>
      <c r="B4953" s="324" t="s">
        <v>5464</v>
      </c>
      <c r="C4953" s="323" t="s">
        <v>14114</v>
      </c>
      <c r="D4953" s="326" t="s">
        <v>14115</v>
      </c>
    </row>
    <row r="4954" spans="1:4">
      <c r="A4954" s="324" t="s">
        <v>5469</v>
      </c>
      <c r="B4954" s="324" t="s">
        <v>5470</v>
      </c>
      <c r="C4954" s="323" t="s">
        <v>14116</v>
      </c>
      <c r="D4954" s="326" t="s">
        <v>5469</v>
      </c>
    </row>
    <row r="4955" spans="1:4">
      <c r="A4955" s="324" t="s">
        <v>14117</v>
      </c>
      <c r="B4955" s="324" t="s">
        <v>14118</v>
      </c>
      <c r="C4955" s="323" t="s">
        <v>14119</v>
      </c>
      <c r="D4955" s="325" t="s">
        <v>14120</v>
      </c>
    </row>
    <row r="4956" spans="1:4">
      <c r="A4956" s="324" t="s">
        <v>14121</v>
      </c>
      <c r="B4956" s="324" t="s">
        <v>14122</v>
      </c>
      <c r="C4956" s="323" t="s">
        <v>14123</v>
      </c>
      <c r="D4956" s="325" t="s">
        <v>14124</v>
      </c>
    </row>
    <row r="4957" spans="1:4">
      <c r="A4957" s="324" t="s">
        <v>14125</v>
      </c>
      <c r="B4957" s="324" t="s">
        <v>14126</v>
      </c>
      <c r="C4957" s="323" t="s">
        <v>14127</v>
      </c>
      <c r="D4957" s="325" t="s">
        <v>14128</v>
      </c>
    </row>
    <row r="4958" spans="1:4">
      <c r="A4958" s="324" t="s">
        <v>14129</v>
      </c>
      <c r="B4958" s="324" t="s">
        <v>14130</v>
      </c>
      <c r="C4958" s="323" t="s">
        <v>14131</v>
      </c>
      <c r="D4958" s="331" t="s">
        <v>14132</v>
      </c>
    </row>
    <row r="4959" spans="1:4">
      <c r="A4959" s="324" t="s">
        <v>5487</v>
      </c>
      <c r="B4959" s="324" t="s">
        <v>14133</v>
      </c>
      <c r="C4959" s="323" t="s">
        <v>14134</v>
      </c>
      <c r="D4959" s="326" t="s">
        <v>5487</v>
      </c>
    </row>
    <row r="4960" spans="1:4">
      <c r="A4960" s="324" t="s">
        <v>14135</v>
      </c>
      <c r="B4960" s="324" t="s">
        <v>14136</v>
      </c>
      <c r="C4960" s="323" t="s">
        <v>14137</v>
      </c>
      <c r="D4960" s="326" t="s">
        <v>14135</v>
      </c>
    </row>
    <row r="4961" spans="1:4">
      <c r="A4961" s="324" t="s">
        <v>14138</v>
      </c>
      <c r="B4961" s="324" t="s">
        <v>14139</v>
      </c>
      <c r="C4961" s="323" t="s">
        <v>14140</v>
      </c>
      <c r="D4961" s="325" t="s">
        <v>14141</v>
      </c>
    </row>
    <row r="4962" spans="1:4">
      <c r="A4962" s="324" t="s">
        <v>14142</v>
      </c>
      <c r="B4962" s="324" t="s">
        <v>14143</v>
      </c>
      <c r="C4962" s="323" t="s">
        <v>14144</v>
      </c>
      <c r="D4962" s="326" t="s">
        <v>14142</v>
      </c>
    </row>
    <row r="4963" spans="1:4">
      <c r="A4963" s="324" t="s">
        <v>5504</v>
      </c>
      <c r="B4963" s="324" t="s">
        <v>5505</v>
      </c>
      <c r="C4963" s="323" t="s">
        <v>14145</v>
      </c>
      <c r="D4963" s="326" t="s">
        <v>5504</v>
      </c>
    </row>
    <row r="4964" spans="1:4">
      <c r="A4964" s="324" t="s">
        <v>14146</v>
      </c>
      <c r="B4964" s="324" t="s">
        <v>14147</v>
      </c>
      <c r="C4964" s="323" t="s">
        <v>14148</v>
      </c>
      <c r="D4964" s="326" t="s">
        <v>14146</v>
      </c>
    </row>
    <row r="4965" spans="1:4">
      <c r="A4965" s="324" t="s">
        <v>8990</v>
      </c>
      <c r="B4965" s="324" t="s">
        <v>7007</v>
      </c>
      <c r="C4965" s="323" t="s">
        <v>14149</v>
      </c>
      <c r="D4965" s="326" t="s">
        <v>8990</v>
      </c>
    </row>
    <row r="4966" spans="1:4">
      <c r="A4966" s="324" t="s">
        <v>5540</v>
      </c>
      <c r="B4966" s="324" t="s">
        <v>7006</v>
      </c>
      <c r="C4966" s="323" t="s">
        <v>14150</v>
      </c>
      <c r="D4966" s="326" t="s">
        <v>5540</v>
      </c>
    </row>
    <row r="4967" spans="1:4">
      <c r="A4967" s="324" t="s">
        <v>8434</v>
      </c>
      <c r="B4967" s="324" t="s">
        <v>8433</v>
      </c>
      <c r="C4967" s="323" t="s">
        <v>14151</v>
      </c>
      <c r="D4967" s="326" t="s">
        <v>8434</v>
      </c>
    </row>
    <row r="4968" spans="1:4">
      <c r="A4968" s="324" t="s">
        <v>8299</v>
      </c>
      <c r="B4968" s="324" t="s">
        <v>8298</v>
      </c>
      <c r="C4968" s="323" t="s">
        <v>14152</v>
      </c>
      <c r="D4968" s="326" t="s">
        <v>8299</v>
      </c>
    </row>
    <row r="4969" spans="1:4">
      <c r="A4969" s="324" t="s">
        <v>14153</v>
      </c>
      <c r="B4969" s="324" t="s">
        <v>14154</v>
      </c>
      <c r="C4969" s="323" t="s">
        <v>14155</v>
      </c>
      <c r="D4969" s="326" t="s">
        <v>14153</v>
      </c>
    </row>
    <row r="4970" spans="1:4">
      <c r="A4970" s="324" t="s">
        <v>14156</v>
      </c>
      <c r="B4970" s="324" t="s">
        <v>14157</v>
      </c>
      <c r="C4970" s="323" t="s">
        <v>14158</v>
      </c>
      <c r="D4970" s="325" t="s">
        <v>14159</v>
      </c>
    </row>
    <row r="4971" spans="1:4">
      <c r="A4971" s="324" t="s">
        <v>14160</v>
      </c>
      <c r="B4971" s="324" t="s">
        <v>14161</v>
      </c>
      <c r="C4971" s="323" t="s">
        <v>14162</v>
      </c>
      <c r="D4971" s="325" t="s">
        <v>14163</v>
      </c>
    </row>
    <row r="4972" spans="1:4">
      <c r="A4972" s="324" t="s">
        <v>14164</v>
      </c>
      <c r="B4972" s="324" t="s">
        <v>14165</v>
      </c>
      <c r="C4972" s="323" t="s">
        <v>14166</v>
      </c>
      <c r="D4972" s="325" t="s">
        <v>14167</v>
      </c>
    </row>
    <row r="4973" spans="1:4">
      <c r="A4973" s="324" t="s">
        <v>14168</v>
      </c>
      <c r="B4973" s="324" t="s">
        <v>14169</v>
      </c>
      <c r="C4973" s="323" t="s">
        <v>14170</v>
      </c>
      <c r="D4973" s="325" t="s">
        <v>14171</v>
      </c>
    </row>
    <row r="4974" spans="1:4">
      <c r="A4974" s="324" t="s">
        <v>14172</v>
      </c>
      <c r="B4974" s="324" t="s">
        <v>14173</v>
      </c>
      <c r="C4974" s="323" t="s">
        <v>14174</v>
      </c>
      <c r="D4974" s="326" t="s">
        <v>14172</v>
      </c>
    </row>
    <row r="4975" spans="1:4">
      <c r="A4975" s="324" t="s">
        <v>624</v>
      </c>
      <c r="B4975" s="324" t="s">
        <v>14175</v>
      </c>
      <c r="C4975" s="323" t="s">
        <v>14175</v>
      </c>
      <c r="D4975" s="332" t="s">
        <v>14176</v>
      </c>
    </row>
    <row r="4976" spans="1:4">
      <c r="A4976" s="324" t="s">
        <v>14177</v>
      </c>
      <c r="B4976" s="324" t="s">
        <v>14178</v>
      </c>
      <c r="C4976" s="323" t="s">
        <v>14179</v>
      </c>
      <c r="D4976" s="326" t="s">
        <v>14177</v>
      </c>
    </row>
    <row r="4977" spans="1:4">
      <c r="A4977" s="324" t="s">
        <v>8637</v>
      </c>
      <c r="B4977" s="324" t="s">
        <v>14180</v>
      </c>
      <c r="C4977" s="323" t="s">
        <v>14181</v>
      </c>
      <c r="D4977" s="326" t="s">
        <v>8637</v>
      </c>
    </row>
    <row r="4978" spans="1:4">
      <c r="A4978" s="324" t="s">
        <v>5565</v>
      </c>
      <c r="B4978" s="324" t="s">
        <v>14182</v>
      </c>
      <c r="C4978" s="323" t="s">
        <v>14183</v>
      </c>
      <c r="D4978" s="326" t="s">
        <v>5565</v>
      </c>
    </row>
    <row r="4979" spans="1:4">
      <c r="A4979" s="324" t="s">
        <v>14184</v>
      </c>
      <c r="B4979" s="324" t="s">
        <v>7038</v>
      </c>
      <c r="C4979" s="323" t="s">
        <v>14185</v>
      </c>
      <c r="D4979" s="326" t="s">
        <v>14186</v>
      </c>
    </row>
    <row r="4980" spans="1:4">
      <c r="A4980" s="324" t="s">
        <v>14135</v>
      </c>
      <c r="B4980" s="324" t="s">
        <v>14187</v>
      </c>
      <c r="C4980" s="323" t="s">
        <v>14188</v>
      </c>
      <c r="D4980" s="326" t="s">
        <v>14135</v>
      </c>
    </row>
    <row r="4981" spans="1:4">
      <c r="A4981" s="324" t="s">
        <v>8155</v>
      </c>
      <c r="B4981" s="324" t="s">
        <v>14189</v>
      </c>
      <c r="C4981" s="323" t="s">
        <v>14190</v>
      </c>
      <c r="D4981" s="326" t="s">
        <v>8155</v>
      </c>
    </row>
    <row r="4982" spans="1:4">
      <c r="A4982" s="324" t="s">
        <v>14191</v>
      </c>
      <c r="B4982" s="324" t="s">
        <v>14192</v>
      </c>
      <c r="C4982" s="323" t="s">
        <v>14193</v>
      </c>
      <c r="D4982" s="326" t="s">
        <v>14191</v>
      </c>
    </row>
    <row r="4983" spans="1:4">
      <c r="A4983" s="324" t="s">
        <v>5556</v>
      </c>
      <c r="B4983" s="324" t="s">
        <v>5557</v>
      </c>
      <c r="C4983" s="323" t="s">
        <v>5559</v>
      </c>
      <c r="D4983" s="326" t="s">
        <v>5556</v>
      </c>
    </row>
    <row r="4984" spans="1:4">
      <c r="A4984" s="324" t="s">
        <v>14194</v>
      </c>
      <c r="B4984" s="324" t="s">
        <v>14195</v>
      </c>
      <c r="C4984" s="323" t="s">
        <v>14196</v>
      </c>
      <c r="D4984" s="326" t="s">
        <v>14194</v>
      </c>
    </row>
    <row r="4985" spans="1:4">
      <c r="A4985" s="324" t="s">
        <v>14197</v>
      </c>
      <c r="B4985" s="324" t="s">
        <v>14198</v>
      </c>
      <c r="C4985" s="323" t="s">
        <v>14199</v>
      </c>
      <c r="D4985" s="326" t="s">
        <v>14197</v>
      </c>
    </row>
    <row r="4986" spans="1:4">
      <c r="A4986" s="324" t="s">
        <v>14200</v>
      </c>
      <c r="B4986" s="324" t="s">
        <v>14201</v>
      </c>
      <c r="C4986" s="323" t="s">
        <v>14202</v>
      </c>
      <c r="D4986" s="326" t="s">
        <v>14200</v>
      </c>
    </row>
    <row r="4987" spans="1:4">
      <c r="A4987" s="324" t="s">
        <v>14203</v>
      </c>
      <c r="B4987" s="324" t="s">
        <v>14204</v>
      </c>
      <c r="C4987" s="323" t="s">
        <v>14205</v>
      </c>
      <c r="D4987" s="326" t="s">
        <v>14206</v>
      </c>
    </row>
    <row r="4988" spans="1:4">
      <c r="A4988" s="324" t="s">
        <v>14207</v>
      </c>
      <c r="B4988" s="324" t="s">
        <v>14208</v>
      </c>
      <c r="C4988" s="323" t="s">
        <v>14209</v>
      </c>
      <c r="D4988" s="326" t="s">
        <v>14207</v>
      </c>
    </row>
    <row r="4989" spans="1:4">
      <c r="A4989" s="324" t="s">
        <v>14210</v>
      </c>
      <c r="B4989" s="324" t="s">
        <v>14211</v>
      </c>
      <c r="C4989" s="323" t="s">
        <v>14212</v>
      </c>
      <c r="D4989" s="326" t="s">
        <v>14210</v>
      </c>
    </row>
    <row r="4990" spans="1:4">
      <c r="A4990" s="324" t="s">
        <v>14213</v>
      </c>
      <c r="B4990" s="324" t="s">
        <v>14214</v>
      </c>
      <c r="C4990" s="323" t="s">
        <v>14215</v>
      </c>
      <c r="D4990" s="326" t="s">
        <v>14216</v>
      </c>
    </row>
    <row r="4991" spans="1:4">
      <c r="A4991" s="324" t="s">
        <v>14217</v>
      </c>
      <c r="B4991" s="324" t="s">
        <v>14218</v>
      </c>
      <c r="C4991" s="323" t="s">
        <v>14219</v>
      </c>
      <c r="D4991" s="326" t="s">
        <v>14220</v>
      </c>
    </row>
    <row r="4992" spans="1:4">
      <c r="A4992" s="324" t="s">
        <v>4703</v>
      </c>
      <c r="B4992" s="324" t="s">
        <v>14221</v>
      </c>
      <c r="C4992" s="323" t="s">
        <v>14222</v>
      </c>
      <c r="D4992" s="326" t="s">
        <v>4703</v>
      </c>
    </row>
    <row r="4993" spans="1:4">
      <c r="A4993" s="324" t="s">
        <v>14223</v>
      </c>
      <c r="B4993" s="324" t="s">
        <v>14224</v>
      </c>
      <c r="C4993" s="323" t="s">
        <v>14225</v>
      </c>
      <c r="D4993" s="326" t="s">
        <v>14226</v>
      </c>
    </row>
    <row r="4994" spans="1:4">
      <c r="A4994" s="324" t="s">
        <v>14227</v>
      </c>
      <c r="B4994" s="324" t="s">
        <v>14228</v>
      </c>
      <c r="C4994" s="323" t="s">
        <v>14229</v>
      </c>
      <c r="D4994" s="326" t="s">
        <v>14230</v>
      </c>
    </row>
    <row r="4995" spans="1:4">
      <c r="A4995" s="324" t="s">
        <v>14231</v>
      </c>
      <c r="B4995" s="324" t="s">
        <v>14232</v>
      </c>
      <c r="C4995" s="323" t="s">
        <v>14233</v>
      </c>
      <c r="D4995" s="326" t="s">
        <v>14234</v>
      </c>
    </row>
    <row r="4996" spans="1:4">
      <c r="A4996" s="324" t="s">
        <v>14235</v>
      </c>
      <c r="B4996" s="324" t="s">
        <v>14236</v>
      </c>
      <c r="C4996" s="323" t="s">
        <v>14237</v>
      </c>
      <c r="D4996" s="326" t="s">
        <v>14238</v>
      </c>
    </row>
    <row r="4997" spans="1:4">
      <c r="A4997" s="324" t="s">
        <v>14239</v>
      </c>
      <c r="B4997" s="324" t="s">
        <v>14240</v>
      </c>
      <c r="C4997" s="323" t="s">
        <v>14241</v>
      </c>
      <c r="D4997" s="326" t="s">
        <v>14242</v>
      </c>
    </row>
    <row r="4998" spans="1:4">
      <c r="A4998" s="324" t="s">
        <v>14243</v>
      </c>
      <c r="B4998" s="324" t="s">
        <v>14244</v>
      </c>
      <c r="C4998" s="323" t="s">
        <v>14245</v>
      </c>
      <c r="D4998" s="326" t="s">
        <v>14246</v>
      </c>
    </row>
    <row r="4999" spans="1:4">
      <c r="A4999" s="324" t="s">
        <v>14247</v>
      </c>
      <c r="B4999" s="324" t="s">
        <v>14248</v>
      </c>
      <c r="C4999" s="323" t="s">
        <v>14249</v>
      </c>
      <c r="D4999" s="326" t="s">
        <v>14247</v>
      </c>
    </row>
    <row r="5000" spans="1:4">
      <c r="A5000" s="324" t="s">
        <v>1459</v>
      </c>
      <c r="B5000" s="324" t="s">
        <v>14250</v>
      </c>
      <c r="C5000" s="323" t="s">
        <v>14251</v>
      </c>
      <c r="D5000" s="326" t="s">
        <v>1459</v>
      </c>
    </row>
    <row r="5001" spans="1:4">
      <c r="A5001" s="324" t="s">
        <v>14252</v>
      </c>
      <c r="B5001" s="324" t="s">
        <v>14253</v>
      </c>
      <c r="C5001" s="323" t="s">
        <v>14254</v>
      </c>
      <c r="D5001" s="326" t="s">
        <v>14252</v>
      </c>
    </row>
    <row r="5002" spans="1:4">
      <c r="A5002" s="324" t="s">
        <v>549</v>
      </c>
      <c r="B5002" s="324" t="s">
        <v>14255</v>
      </c>
      <c r="C5002" s="323" t="s">
        <v>14256</v>
      </c>
      <c r="D5002" s="326" t="s">
        <v>549</v>
      </c>
    </row>
    <row r="5003" spans="1:4">
      <c r="A5003" s="324" t="s">
        <v>2805</v>
      </c>
      <c r="B5003" s="324" t="s">
        <v>14257</v>
      </c>
      <c r="C5003" s="323" t="s">
        <v>14258</v>
      </c>
      <c r="D5003" s="326" t="s">
        <v>2805</v>
      </c>
    </row>
    <row r="5004" spans="1:4">
      <c r="A5004" s="324" t="s">
        <v>14259</v>
      </c>
      <c r="B5004" s="324" t="s">
        <v>14260</v>
      </c>
      <c r="C5004" s="323" t="s">
        <v>14261</v>
      </c>
      <c r="D5004" s="326" t="s">
        <v>14259</v>
      </c>
    </row>
    <row r="5005" spans="1:4">
      <c r="A5005" s="324" t="s">
        <v>14262</v>
      </c>
      <c r="B5005" s="324" t="s">
        <v>14263</v>
      </c>
      <c r="C5005" s="323" t="s">
        <v>14264</v>
      </c>
      <c r="D5005" s="326" t="s">
        <v>14262</v>
      </c>
    </row>
    <row r="5006" spans="1:4">
      <c r="A5006" s="324" t="s">
        <v>5775</v>
      </c>
      <c r="B5006" s="324" t="s">
        <v>14265</v>
      </c>
      <c r="C5006" s="323" t="s">
        <v>14266</v>
      </c>
      <c r="D5006" s="326" t="s">
        <v>5775</v>
      </c>
    </row>
    <row r="5007" spans="1:4">
      <c r="A5007" s="324" t="s">
        <v>14267</v>
      </c>
      <c r="B5007" s="324" t="s">
        <v>14268</v>
      </c>
      <c r="C5007" s="323" t="s">
        <v>14269</v>
      </c>
      <c r="D5007" s="326" t="s">
        <v>14270</v>
      </c>
    </row>
    <row r="5008" spans="1:4">
      <c r="A5008" s="324" t="s">
        <v>5612</v>
      </c>
      <c r="B5008" s="324" t="s">
        <v>5613</v>
      </c>
      <c r="C5008" s="323" t="s">
        <v>14271</v>
      </c>
      <c r="D5008" s="326" t="s">
        <v>5612</v>
      </c>
    </row>
    <row r="5009" spans="1:4">
      <c r="A5009" s="324" t="s">
        <v>14272</v>
      </c>
      <c r="B5009" s="324" t="s">
        <v>6985</v>
      </c>
      <c r="C5009" s="323" t="s">
        <v>14273</v>
      </c>
      <c r="D5009" s="325" t="s">
        <v>14274</v>
      </c>
    </row>
    <row r="5010" spans="1:4">
      <c r="A5010" s="324" t="s">
        <v>14275</v>
      </c>
      <c r="B5010" s="324" t="s">
        <v>14276</v>
      </c>
      <c r="C5010" s="323" t="s">
        <v>14277</v>
      </c>
      <c r="D5010" s="326" t="s">
        <v>14278</v>
      </c>
    </row>
    <row r="5011" spans="1:4">
      <c r="A5011" s="324" t="s">
        <v>14279</v>
      </c>
      <c r="B5011" s="324" t="s">
        <v>14280</v>
      </c>
      <c r="C5011" s="323" t="s">
        <v>14281</v>
      </c>
      <c r="D5011" s="325" t="s">
        <v>14282</v>
      </c>
    </row>
    <row r="5012" spans="1:4">
      <c r="A5012" s="324" t="s">
        <v>14283</v>
      </c>
      <c r="B5012" s="324" t="s">
        <v>14284</v>
      </c>
      <c r="C5012" s="323" t="s">
        <v>14285</v>
      </c>
      <c r="D5012" s="326" t="s">
        <v>14283</v>
      </c>
    </row>
    <row r="5013" spans="1:4">
      <c r="A5013" s="324" t="s">
        <v>14286</v>
      </c>
      <c r="B5013" s="324" t="s">
        <v>14287</v>
      </c>
      <c r="C5013" s="323" t="s">
        <v>14288</v>
      </c>
      <c r="D5013" s="326" t="s">
        <v>14286</v>
      </c>
    </row>
    <row r="5014" spans="1:4">
      <c r="A5014" s="324" t="s">
        <v>14289</v>
      </c>
      <c r="B5014" s="324" t="s">
        <v>14290</v>
      </c>
      <c r="C5014" s="323" t="s">
        <v>14291</v>
      </c>
      <c r="D5014" s="326" t="s">
        <v>14289</v>
      </c>
    </row>
    <row r="5015" spans="1:4">
      <c r="A5015" s="324" t="s">
        <v>14292</v>
      </c>
      <c r="B5015" s="324" t="s">
        <v>14293</v>
      </c>
      <c r="C5015" s="323" t="s">
        <v>14294</v>
      </c>
      <c r="D5015" s="326" t="s">
        <v>14292</v>
      </c>
    </row>
    <row r="5016" spans="1:4">
      <c r="A5016" s="324" t="s">
        <v>14295</v>
      </c>
      <c r="B5016" s="324" t="s">
        <v>14296</v>
      </c>
      <c r="C5016" s="323" t="s">
        <v>14297</v>
      </c>
      <c r="D5016" s="326" t="s">
        <v>14295</v>
      </c>
    </row>
    <row r="5017" spans="1:4">
      <c r="A5017" s="324" t="s">
        <v>14298</v>
      </c>
      <c r="B5017" s="324" t="s">
        <v>14299</v>
      </c>
      <c r="C5017" s="323" t="s">
        <v>14300</v>
      </c>
      <c r="D5017" s="325" t="s">
        <v>14301</v>
      </c>
    </row>
    <row r="5018" spans="1:4">
      <c r="A5018" s="324" t="s">
        <v>14302</v>
      </c>
      <c r="B5018" s="324" t="s">
        <v>6972</v>
      </c>
      <c r="C5018" s="323" t="s">
        <v>14303</v>
      </c>
      <c r="D5018" s="325" t="s">
        <v>14304</v>
      </c>
    </row>
    <row r="5019" spans="1:4">
      <c r="A5019" s="324" t="s">
        <v>5634</v>
      </c>
      <c r="B5019" s="324" t="s">
        <v>14305</v>
      </c>
      <c r="C5019" s="323" t="s">
        <v>14306</v>
      </c>
      <c r="D5019" s="326" t="s">
        <v>5634</v>
      </c>
    </row>
    <row r="5020" spans="1:4">
      <c r="A5020" s="324" t="s">
        <v>14307</v>
      </c>
      <c r="B5020" s="324" t="s">
        <v>14308</v>
      </c>
      <c r="C5020" s="323" t="s">
        <v>14309</v>
      </c>
      <c r="D5020" s="326" t="s">
        <v>14307</v>
      </c>
    </row>
    <row r="5021" spans="1:4">
      <c r="A5021" s="324" t="s">
        <v>5640</v>
      </c>
      <c r="B5021" s="324" t="s">
        <v>14310</v>
      </c>
      <c r="C5021" s="323" t="s">
        <v>14311</v>
      </c>
      <c r="D5021" s="326" t="s">
        <v>5640</v>
      </c>
    </row>
    <row r="5022" spans="1:4">
      <c r="A5022" s="324" t="s">
        <v>5643</v>
      </c>
      <c r="B5022" s="324" t="s">
        <v>5644</v>
      </c>
      <c r="C5022" s="323" t="s">
        <v>14312</v>
      </c>
      <c r="D5022" s="326" t="s">
        <v>5643</v>
      </c>
    </row>
    <row r="5023" spans="1:4">
      <c r="A5023" s="324" t="s">
        <v>6951</v>
      </c>
      <c r="B5023" s="324" t="s">
        <v>6950</v>
      </c>
      <c r="C5023" s="323" t="s">
        <v>14313</v>
      </c>
      <c r="D5023" s="326" t="s">
        <v>6951</v>
      </c>
    </row>
    <row r="5024" spans="1:4">
      <c r="A5024" s="324" t="s">
        <v>14314</v>
      </c>
      <c r="B5024" s="324" t="s">
        <v>14315</v>
      </c>
      <c r="C5024" s="323" t="s">
        <v>14316</v>
      </c>
      <c r="D5024" s="326" t="s">
        <v>14314</v>
      </c>
    </row>
    <row r="5025" spans="1:4">
      <c r="A5025" s="324" t="s">
        <v>14317</v>
      </c>
      <c r="B5025" s="324" t="s">
        <v>14318</v>
      </c>
      <c r="C5025" s="323" t="s">
        <v>14319</v>
      </c>
      <c r="D5025" s="326" t="s">
        <v>14317</v>
      </c>
    </row>
    <row r="5026" spans="1:4">
      <c r="A5026" s="324" t="s">
        <v>14320</v>
      </c>
      <c r="B5026" s="324" t="s">
        <v>14321</v>
      </c>
      <c r="C5026" s="323" t="s">
        <v>14319</v>
      </c>
      <c r="D5026" s="326" t="s">
        <v>14320</v>
      </c>
    </row>
    <row r="5027" spans="1:4">
      <c r="A5027" s="324" t="s">
        <v>14322</v>
      </c>
      <c r="B5027" s="324" t="s">
        <v>14323</v>
      </c>
      <c r="C5027" s="323" t="s">
        <v>14319</v>
      </c>
      <c r="D5027" s="326" t="s">
        <v>14322</v>
      </c>
    </row>
    <row r="5028" spans="1:4">
      <c r="A5028" s="324" t="s">
        <v>14324</v>
      </c>
      <c r="B5028" s="324" t="s">
        <v>14325</v>
      </c>
      <c r="C5028" s="323" t="s">
        <v>14306</v>
      </c>
      <c r="D5028" s="326" t="s">
        <v>14324</v>
      </c>
    </row>
    <row r="5029" spans="1:4">
      <c r="A5029" s="324" t="s">
        <v>3841</v>
      </c>
      <c r="B5029" s="324" t="s">
        <v>14326</v>
      </c>
      <c r="C5029" s="323" t="s">
        <v>14327</v>
      </c>
      <c r="D5029" s="326" t="s">
        <v>3841</v>
      </c>
    </row>
    <row r="5030" spans="1:4">
      <c r="A5030" s="324" t="s">
        <v>14328</v>
      </c>
      <c r="B5030" s="324" t="s">
        <v>14329</v>
      </c>
      <c r="C5030" s="323" t="s">
        <v>14330</v>
      </c>
      <c r="D5030" s="326" t="s">
        <v>14328</v>
      </c>
    </row>
    <row r="5031" spans="1:4">
      <c r="A5031" s="324" t="s">
        <v>14331</v>
      </c>
      <c r="B5031" s="324" t="s">
        <v>14332</v>
      </c>
      <c r="C5031" s="323" t="s">
        <v>14333</v>
      </c>
      <c r="D5031" s="326" t="s">
        <v>14331</v>
      </c>
    </row>
    <row r="5032" spans="1:4">
      <c r="A5032" s="324" t="s">
        <v>8185</v>
      </c>
      <c r="B5032" s="324" t="s">
        <v>8184</v>
      </c>
      <c r="C5032" s="323" t="s">
        <v>14334</v>
      </c>
      <c r="D5032" s="326" t="s">
        <v>8185</v>
      </c>
    </row>
    <row r="5033" spans="1:4">
      <c r="A5033" s="324" t="s">
        <v>14335</v>
      </c>
      <c r="B5033" s="324" t="s">
        <v>14336</v>
      </c>
      <c r="C5033" s="323" t="s">
        <v>14337</v>
      </c>
      <c r="D5033" s="326" t="s">
        <v>14335</v>
      </c>
    </row>
    <row r="5034" spans="1:4">
      <c r="A5034" s="324" t="s">
        <v>14338</v>
      </c>
      <c r="B5034" s="324" t="s">
        <v>14339</v>
      </c>
      <c r="C5034" s="323" t="s">
        <v>14340</v>
      </c>
      <c r="D5034" s="326" t="s">
        <v>14338</v>
      </c>
    </row>
    <row r="5035" spans="1:4">
      <c r="A5035" s="324" t="s">
        <v>8985</v>
      </c>
      <c r="B5035" s="324" t="s">
        <v>8984</v>
      </c>
      <c r="C5035" s="323" t="s">
        <v>14341</v>
      </c>
      <c r="D5035" s="326" t="s">
        <v>8985</v>
      </c>
    </row>
    <row r="5036" spans="1:4">
      <c r="A5036" s="324" t="s">
        <v>14342</v>
      </c>
      <c r="B5036" s="324" t="s">
        <v>14343</v>
      </c>
      <c r="C5036" s="323" t="s">
        <v>14344</v>
      </c>
      <c r="D5036" s="326" t="s">
        <v>14342</v>
      </c>
    </row>
    <row r="5037" spans="1:4">
      <c r="A5037" s="324" t="s">
        <v>14345</v>
      </c>
      <c r="B5037" s="324" t="s">
        <v>14346</v>
      </c>
      <c r="C5037" s="323" t="s">
        <v>14347</v>
      </c>
      <c r="D5037" s="326" t="s">
        <v>14345</v>
      </c>
    </row>
    <row r="5038" spans="1:4">
      <c r="A5038" s="324" t="s">
        <v>14348</v>
      </c>
      <c r="B5038" s="324" t="s">
        <v>14349</v>
      </c>
      <c r="C5038" s="323" t="s">
        <v>14306</v>
      </c>
      <c r="D5038" s="326" t="s">
        <v>14348</v>
      </c>
    </row>
    <row r="5039" spans="1:4">
      <c r="A5039" s="324" t="s">
        <v>6592</v>
      </c>
      <c r="B5039" s="324" t="s">
        <v>6591</v>
      </c>
      <c r="C5039" s="323" t="s">
        <v>14350</v>
      </c>
      <c r="D5039" s="326" t="s">
        <v>6592</v>
      </c>
    </row>
    <row r="5040" spans="1:4">
      <c r="A5040" s="324" t="s">
        <v>14351</v>
      </c>
      <c r="B5040" s="324" t="s">
        <v>14352</v>
      </c>
      <c r="C5040" s="323" t="s">
        <v>14353</v>
      </c>
      <c r="D5040" s="326" t="s">
        <v>14354</v>
      </c>
    </row>
    <row r="5041" spans="1:4">
      <c r="A5041" s="324" t="s">
        <v>14355</v>
      </c>
      <c r="B5041" s="324" t="s">
        <v>14356</v>
      </c>
      <c r="C5041" s="323" t="s">
        <v>14357</v>
      </c>
      <c r="D5041" s="326" t="s">
        <v>14355</v>
      </c>
    </row>
    <row r="5042" spans="1:4">
      <c r="A5042" s="324" t="s">
        <v>14358</v>
      </c>
      <c r="B5042" s="324" t="s">
        <v>14359</v>
      </c>
      <c r="C5042" s="323" t="s">
        <v>14360</v>
      </c>
      <c r="D5042" s="326" t="s">
        <v>14361</v>
      </c>
    </row>
    <row r="5043" spans="1:4">
      <c r="A5043" s="324" t="s">
        <v>14362</v>
      </c>
      <c r="B5043" s="324" t="s">
        <v>14363</v>
      </c>
      <c r="C5043" s="323" t="s">
        <v>14364</v>
      </c>
      <c r="D5043" s="326" t="s">
        <v>14362</v>
      </c>
    </row>
    <row r="5044" spans="1:4">
      <c r="A5044" s="324" t="s">
        <v>14365</v>
      </c>
      <c r="B5044" s="324" t="s">
        <v>14366</v>
      </c>
      <c r="C5044" s="323" t="s">
        <v>14367</v>
      </c>
      <c r="D5044" s="326" t="s">
        <v>14365</v>
      </c>
    </row>
    <row r="5045" spans="1:4">
      <c r="A5045" s="324" t="s">
        <v>14368</v>
      </c>
      <c r="B5045" s="324" t="s">
        <v>14369</v>
      </c>
      <c r="C5045" s="323" t="s">
        <v>14370</v>
      </c>
      <c r="D5045" s="326" t="s">
        <v>14368</v>
      </c>
    </row>
    <row r="5046" spans="1:4">
      <c r="A5046" s="324" t="s">
        <v>7149</v>
      </c>
      <c r="B5046" s="324" t="s">
        <v>7148</v>
      </c>
      <c r="C5046" s="323" t="s">
        <v>14371</v>
      </c>
      <c r="D5046" s="326" t="s">
        <v>7149</v>
      </c>
    </row>
    <row r="5047" spans="1:4">
      <c r="A5047" s="324" t="s">
        <v>5674</v>
      </c>
      <c r="B5047" s="324" t="s">
        <v>14372</v>
      </c>
      <c r="C5047" s="323" t="s">
        <v>14373</v>
      </c>
      <c r="D5047" s="326" t="s">
        <v>5674</v>
      </c>
    </row>
    <row r="5048" spans="1:4">
      <c r="A5048" s="324" t="s">
        <v>14374</v>
      </c>
      <c r="B5048" s="324" t="s">
        <v>14375</v>
      </c>
      <c r="C5048" s="323" t="s">
        <v>14376</v>
      </c>
      <c r="D5048" s="326" t="s">
        <v>14374</v>
      </c>
    </row>
    <row r="5049" spans="1:4">
      <c r="A5049" s="324" t="s">
        <v>14377</v>
      </c>
      <c r="B5049" s="324" t="s">
        <v>14378</v>
      </c>
      <c r="C5049" s="323" t="s">
        <v>14379</v>
      </c>
      <c r="D5049" s="326" t="s">
        <v>14377</v>
      </c>
    </row>
    <row r="5050" spans="1:4">
      <c r="A5050" s="324" t="s">
        <v>14380</v>
      </c>
      <c r="B5050" s="324" t="s">
        <v>14381</v>
      </c>
      <c r="C5050" s="323" t="s">
        <v>14382</v>
      </c>
      <c r="D5050" s="326" t="s">
        <v>14380</v>
      </c>
    </row>
    <row r="5051" spans="1:4">
      <c r="A5051" s="324" t="s">
        <v>6375</v>
      </c>
      <c r="B5051" s="324" t="s">
        <v>14383</v>
      </c>
      <c r="C5051" s="323" t="s">
        <v>14384</v>
      </c>
      <c r="D5051" s="326" t="s">
        <v>6375</v>
      </c>
    </row>
    <row r="5052" spans="1:4">
      <c r="A5052" s="324" t="s">
        <v>6926</v>
      </c>
      <c r="B5052" s="324" t="s">
        <v>6925</v>
      </c>
      <c r="C5052" s="323" t="s">
        <v>14385</v>
      </c>
      <c r="D5052" s="326" t="s">
        <v>6926</v>
      </c>
    </row>
    <row r="5053" spans="1:4">
      <c r="A5053" s="324" t="s">
        <v>14386</v>
      </c>
      <c r="B5053" s="324" t="s">
        <v>14387</v>
      </c>
      <c r="C5053" s="323" t="s">
        <v>14388</v>
      </c>
      <c r="D5053" s="326" t="s">
        <v>14386</v>
      </c>
    </row>
    <row r="5054" spans="1:4">
      <c r="A5054" s="324" t="s">
        <v>14389</v>
      </c>
      <c r="B5054" s="324" t="s">
        <v>14390</v>
      </c>
      <c r="C5054" s="323" t="s">
        <v>14391</v>
      </c>
      <c r="D5054" s="326" t="s">
        <v>14389</v>
      </c>
    </row>
    <row r="5055" spans="1:4">
      <c r="A5055" s="324" t="s">
        <v>14392</v>
      </c>
      <c r="B5055" s="324" t="s">
        <v>5755</v>
      </c>
      <c r="C5055" s="323" t="s">
        <v>14393</v>
      </c>
      <c r="D5055" s="326" t="s">
        <v>14392</v>
      </c>
    </row>
    <row r="5056" spans="1:4">
      <c r="A5056" s="324" t="s">
        <v>5757</v>
      </c>
      <c r="B5056" s="324" t="s">
        <v>5758</v>
      </c>
      <c r="C5056" s="323" t="s">
        <v>14394</v>
      </c>
      <c r="D5056" s="326" t="s">
        <v>5757</v>
      </c>
    </row>
    <row r="5057" spans="1:4">
      <c r="A5057" s="324" t="s">
        <v>14395</v>
      </c>
      <c r="B5057" s="324" t="s">
        <v>8409</v>
      </c>
      <c r="C5057" s="323" t="s">
        <v>14396</v>
      </c>
      <c r="D5057" s="326" t="s">
        <v>14395</v>
      </c>
    </row>
    <row r="5058" spans="1:4">
      <c r="A5058" s="324" t="s">
        <v>5765</v>
      </c>
      <c r="B5058" s="324" t="s">
        <v>14397</v>
      </c>
      <c r="C5058" s="323" t="s">
        <v>14398</v>
      </c>
      <c r="D5058" s="326" t="s">
        <v>5765</v>
      </c>
    </row>
    <row r="5059" spans="1:4">
      <c r="A5059" s="324" t="s">
        <v>14399</v>
      </c>
      <c r="B5059" s="324" t="s">
        <v>14400</v>
      </c>
      <c r="C5059" s="323" t="s">
        <v>14401</v>
      </c>
      <c r="D5059" s="326" t="s">
        <v>14399</v>
      </c>
    </row>
    <row r="5060" spans="1:4">
      <c r="A5060" s="324" t="s">
        <v>5762</v>
      </c>
      <c r="B5060" s="324" t="s">
        <v>5763</v>
      </c>
      <c r="C5060" s="323" t="s">
        <v>14402</v>
      </c>
      <c r="D5060" s="326" t="s">
        <v>5762</v>
      </c>
    </row>
    <row r="5061" spans="1:4">
      <c r="A5061" s="324" t="s">
        <v>14403</v>
      </c>
      <c r="B5061" s="324" t="s">
        <v>14404</v>
      </c>
      <c r="C5061" s="323" t="s">
        <v>14405</v>
      </c>
      <c r="D5061" s="326" t="s">
        <v>14403</v>
      </c>
    </row>
    <row r="5062" spans="1:4">
      <c r="A5062" s="324" t="s">
        <v>14406</v>
      </c>
      <c r="B5062" s="324" t="s">
        <v>14407</v>
      </c>
      <c r="C5062" s="323" t="s">
        <v>14408</v>
      </c>
      <c r="D5062" s="326" t="s">
        <v>14406</v>
      </c>
    </row>
    <row r="5063" spans="1:4">
      <c r="A5063" s="324" t="s">
        <v>5765</v>
      </c>
      <c r="B5063" s="324" t="s">
        <v>5766</v>
      </c>
      <c r="C5063" s="323" t="s">
        <v>14409</v>
      </c>
      <c r="D5063" s="326" t="s">
        <v>5765</v>
      </c>
    </row>
    <row r="5064" spans="1:4">
      <c r="A5064" s="324" t="s">
        <v>14410</v>
      </c>
      <c r="B5064" s="324" t="s">
        <v>14411</v>
      </c>
      <c r="C5064" s="323" t="s">
        <v>14412</v>
      </c>
      <c r="D5064" s="326" t="s">
        <v>14410</v>
      </c>
    </row>
    <row r="5065" spans="1:4">
      <c r="A5065" s="324" t="s">
        <v>14413</v>
      </c>
      <c r="B5065" s="324" t="s">
        <v>14414</v>
      </c>
      <c r="C5065" s="323" t="s">
        <v>14415</v>
      </c>
      <c r="D5065" s="326" t="s">
        <v>14413</v>
      </c>
    </row>
    <row r="5066" spans="1:4">
      <c r="A5066" s="324" t="s">
        <v>14416</v>
      </c>
      <c r="B5066" s="324" t="s">
        <v>14417</v>
      </c>
      <c r="C5066" s="323" t="s">
        <v>14418</v>
      </c>
      <c r="D5066" s="326" t="s">
        <v>14416</v>
      </c>
    </row>
    <row r="5067" spans="1:4">
      <c r="A5067" s="324" t="s">
        <v>5775</v>
      </c>
      <c r="B5067" s="324" t="s">
        <v>8166</v>
      </c>
      <c r="C5067" s="323" t="s">
        <v>14419</v>
      </c>
      <c r="D5067" s="326" t="s">
        <v>5775</v>
      </c>
    </row>
    <row r="5068" spans="1:4">
      <c r="A5068" s="324" t="s">
        <v>14420</v>
      </c>
      <c r="B5068" s="324" t="s">
        <v>14421</v>
      </c>
      <c r="C5068" s="323" t="s">
        <v>14419</v>
      </c>
      <c r="D5068" s="324" t="s">
        <v>14422</v>
      </c>
    </row>
    <row r="5069" spans="1:4">
      <c r="A5069" s="333" t="s">
        <v>14423</v>
      </c>
      <c r="B5069" s="333" t="s">
        <v>14424</v>
      </c>
      <c r="C5069" s="333" t="s">
        <v>14425</v>
      </c>
      <c r="D5069" s="333" t="s">
        <v>14423</v>
      </c>
    </row>
    <row r="5070" spans="1:4">
      <c r="A5070" s="333" t="s">
        <v>14426</v>
      </c>
      <c r="B5070" s="333" t="s">
        <v>14427</v>
      </c>
      <c r="C5070" s="333" t="s">
        <v>14427</v>
      </c>
      <c r="D5070" s="333" t="s">
        <v>14426</v>
      </c>
    </row>
    <row r="5071" spans="1:4">
      <c r="A5071" s="333" t="s">
        <v>14428</v>
      </c>
      <c r="B5071" s="333" t="s">
        <v>14429</v>
      </c>
      <c r="C5071" s="333" t="s">
        <v>14430</v>
      </c>
      <c r="D5071" s="333" t="s">
        <v>14428</v>
      </c>
    </row>
    <row r="5072" spans="1:4">
      <c r="A5072" s="333" t="s">
        <v>14431</v>
      </c>
      <c r="B5072" s="333" t="s">
        <v>14432</v>
      </c>
      <c r="C5072" s="333" t="s">
        <v>14433</v>
      </c>
      <c r="D5072" s="333" t="s">
        <v>14431</v>
      </c>
    </row>
    <row r="5073" spans="1:4">
      <c r="A5073" s="333" t="s">
        <v>14434</v>
      </c>
      <c r="B5073" s="333" t="s">
        <v>14435</v>
      </c>
      <c r="C5073" s="333" t="s">
        <v>14436</v>
      </c>
      <c r="D5073" s="333" t="s">
        <v>14434</v>
      </c>
    </row>
    <row r="5074" spans="1:4">
      <c r="A5074" s="333" t="s">
        <v>14437</v>
      </c>
      <c r="B5074" s="333" t="s">
        <v>14438</v>
      </c>
      <c r="C5074" s="333" t="s">
        <v>14439</v>
      </c>
      <c r="D5074" s="333" t="s">
        <v>14440</v>
      </c>
    </row>
    <row r="5075" spans="1:4">
      <c r="A5075" s="333" t="s">
        <v>14441</v>
      </c>
      <c r="B5075" s="333" t="s">
        <v>14442</v>
      </c>
      <c r="C5075" s="333" t="s">
        <v>14443</v>
      </c>
      <c r="D5075" s="333" t="s">
        <v>14441</v>
      </c>
    </row>
    <row r="5076" spans="1:4">
      <c r="A5076" s="333" t="s">
        <v>14444</v>
      </c>
      <c r="B5076" s="333" t="s">
        <v>14445</v>
      </c>
      <c r="C5076" s="333" t="s">
        <v>14446</v>
      </c>
      <c r="D5076" s="333" t="s">
        <v>14447</v>
      </c>
    </row>
    <row r="5077" spans="1:4">
      <c r="A5077" s="333" t="s">
        <v>14448</v>
      </c>
      <c r="B5077" s="333" t="s">
        <v>14449</v>
      </c>
      <c r="C5077" s="333" t="s">
        <v>14450</v>
      </c>
      <c r="D5077" s="333" t="s">
        <v>14451</v>
      </c>
    </row>
    <row r="5078" spans="1:4">
      <c r="A5078" s="333" t="s">
        <v>14452</v>
      </c>
      <c r="B5078" s="333" t="s">
        <v>14453</v>
      </c>
      <c r="C5078" s="333" t="s">
        <v>14454</v>
      </c>
      <c r="D5078" s="333" t="s">
        <v>14455</v>
      </c>
    </row>
    <row r="5079" spans="1:4">
      <c r="A5079" s="334" t="s">
        <v>14456</v>
      </c>
      <c r="B5079" s="334" t="s">
        <v>14457</v>
      </c>
      <c r="C5079" s="334" t="s">
        <v>14458</v>
      </c>
      <c r="D5079" s="334" t="s">
        <v>14459</v>
      </c>
    </row>
    <row r="5080" spans="1:4">
      <c r="A5080" s="334" t="s">
        <v>14460</v>
      </c>
      <c r="B5080" s="334" t="s">
        <v>14461</v>
      </c>
      <c r="C5080" s="334" t="s">
        <v>14462</v>
      </c>
      <c r="D5080" s="334" t="s">
        <v>14460</v>
      </c>
    </row>
    <row r="5081" spans="1:4">
      <c r="A5081" s="334" t="s">
        <v>14463</v>
      </c>
      <c r="B5081" s="334" t="s">
        <v>14464</v>
      </c>
      <c r="C5081" s="334" t="s">
        <v>14465</v>
      </c>
      <c r="D5081" s="334" t="s">
        <v>14463</v>
      </c>
    </row>
    <row r="5082" spans="1:4">
      <c r="A5082" s="333" t="s">
        <v>14466</v>
      </c>
      <c r="B5082" s="333" t="s">
        <v>14467</v>
      </c>
      <c r="C5082" s="333" t="s">
        <v>14468</v>
      </c>
      <c r="D5082" s="333" t="s">
        <v>14466</v>
      </c>
    </row>
    <row r="5083" spans="1:4">
      <c r="A5083" s="333" t="s">
        <v>14469</v>
      </c>
      <c r="B5083" s="333" t="s">
        <v>14470</v>
      </c>
      <c r="C5083" s="333" t="s">
        <v>14471</v>
      </c>
      <c r="D5083" s="333" t="s">
        <v>14469</v>
      </c>
    </row>
    <row r="5084" spans="1:4">
      <c r="A5084" s="333" t="s">
        <v>14472</v>
      </c>
      <c r="B5084" s="333" t="s">
        <v>14473</v>
      </c>
      <c r="C5084" s="333" t="s">
        <v>14474</v>
      </c>
      <c r="D5084" s="333" t="s">
        <v>14472</v>
      </c>
    </row>
    <row r="5085" spans="1:4">
      <c r="A5085" s="333" t="s">
        <v>14475</v>
      </c>
      <c r="B5085" s="333" t="s">
        <v>14476</v>
      </c>
      <c r="C5085" s="333" t="s">
        <v>14477</v>
      </c>
      <c r="D5085" s="333" t="s">
        <v>14475</v>
      </c>
    </row>
    <row r="5086" spans="1:4">
      <c r="A5086" s="333" t="s">
        <v>14478</v>
      </c>
      <c r="B5086" s="333" t="s">
        <v>14479</v>
      </c>
      <c r="C5086" s="333" t="s">
        <v>14480</v>
      </c>
      <c r="D5086" s="333" t="s">
        <v>14478</v>
      </c>
    </row>
    <row r="5087" spans="1:4">
      <c r="A5087" s="333" t="s">
        <v>14481</v>
      </c>
      <c r="B5087" s="333" t="s">
        <v>14482</v>
      </c>
      <c r="C5087" s="333" t="s">
        <v>14483</v>
      </c>
      <c r="D5087" s="333" t="s">
        <v>14481</v>
      </c>
    </row>
    <row r="5088" spans="1:4">
      <c r="A5088" s="333" t="s">
        <v>14484</v>
      </c>
      <c r="B5088" s="333" t="s">
        <v>14485</v>
      </c>
      <c r="C5088" s="333" t="s">
        <v>14486</v>
      </c>
      <c r="D5088" s="333" t="s">
        <v>14484</v>
      </c>
    </row>
    <row r="5089" spans="1:4">
      <c r="A5089" s="333" t="s">
        <v>14487</v>
      </c>
      <c r="B5089" s="333" t="s">
        <v>14488</v>
      </c>
      <c r="C5089" s="333" t="s">
        <v>14489</v>
      </c>
      <c r="D5089" s="333" t="s">
        <v>14487</v>
      </c>
    </row>
    <row r="5090" spans="1:4">
      <c r="A5090" s="333" t="s">
        <v>14490</v>
      </c>
      <c r="B5090" s="333" t="s">
        <v>14491</v>
      </c>
      <c r="C5090" s="333" t="s">
        <v>14492</v>
      </c>
      <c r="D5090" s="333" t="s">
        <v>14490</v>
      </c>
    </row>
    <row r="5091" spans="1:4">
      <c r="A5091" s="323" t="s">
        <v>14493</v>
      </c>
      <c r="B5091" s="323" t="s">
        <v>14494</v>
      </c>
      <c r="C5091" s="323" t="s">
        <v>14495</v>
      </c>
      <c r="D5091" s="323" t="s">
        <v>14493</v>
      </c>
    </row>
    <row r="5092" spans="1:4">
      <c r="A5092" s="323" t="s">
        <v>14496</v>
      </c>
      <c r="B5092" s="323" t="s">
        <v>14497</v>
      </c>
      <c r="C5092" s="323" t="s">
        <v>14498</v>
      </c>
      <c r="D5092" s="323" t="s">
        <v>14496</v>
      </c>
    </row>
    <row r="5093" spans="1:4">
      <c r="A5093" s="324" t="s">
        <v>14499</v>
      </c>
      <c r="B5093" s="324" t="s">
        <v>14500</v>
      </c>
      <c r="C5093" s="323" t="s">
        <v>14501</v>
      </c>
      <c r="D5093" s="324" t="s">
        <v>14499</v>
      </c>
    </row>
    <row r="5094" spans="1:4">
      <c r="A5094" s="324" t="s">
        <v>14502</v>
      </c>
      <c r="B5094" s="324" t="s">
        <v>14503</v>
      </c>
      <c r="C5094" s="323" t="s">
        <v>14504</v>
      </c>
      <c r="D5094" s="326" t="s">
        <v>14502</v>
      </c>
    </row>
    <row r="5095" spans="1:4">
      <c r="A5095" s="324" t="s">
        <v>14505</v>
      </c>
      <c r="B5095" s="324" t="s">
        <v>14506</v>
      </c>
      <c r="C5095" s="323" t="s">
        <v>14507</v>
      </c>
      <c r="D5095" s="326" t="s">
        <v>14505</v>
      </c>
    </row>
    <row r="5096" spans="1:4">
      <c r="A5096" s="323" t="s">
        <v>14508</v>
      </c>
      <c r="B5096" s="323" t="s">
        <v>14509</v>
      </c>
      <c r="C5096" s="323" t="s">
        <v>14510</v>
      </c>
      <c r="D5096" s="323" t="s">
        <v>14511</v>
      </c>
    </row>
    <row r="5097" spans="1:4">
      <c r="A5097" s="324" t="s">
        <v>14512</v>
      </c>
      <c r="B5097" s="324" t="s">
        <v>14513</v>
      </c>
      <c r="C5097" s="323" t="s">
        <v>14514</v>
      </c>
      <c r="D5097" s="326" t="s">
        <v>14515</v>
      </c>
    </row>
    <row r="5098" spans="1:4">
      <c r="A5098" s="324" t="s">
        <v>14516</v>
      </c>
      <c r="B5098" s="324" t="s">
        <v>14517</v>
      </c>
      <c r="C5098" s="323" t="s">
        <v>14518</v>
      </c>
      <c r="D5098" s="326" t="s">
        <v>14516</v>
      </c>
    </row>
    <row r="5099" spans="1:4">
      <c r="A5099" s="324" t="s">
        <v>14519</v>
      </c>
      <c r="B5099" s="324" t="s">
        <v>14520</v>
      </c>
      <c r="C5099" s="323" t="s">
        <v>14521</v>
      </c>
      <c r="D5099" s="326" t="s">
        <v>14519</v>
      </c>
    </row>
    <row r="5100" spans="1:4">
      <c r="A5100" s="323" t="s">
        <v>14522</v>
      </c>
      <c r="B5100" s="323" t="s">
        <v>14523</v>
      </c>
      <c r="C5100" s="323" t="s">
        <v>14524</v>
      </c>
      <c r="D5100" s="323" t="s">
        <v>14522</v>
      </c>
    </row>
    <row r="5101" spans="1:4">
      <c r="A5101" s="323" t="s">
        <v>14525</v>
      </c>
      <c r="B5101" s="323" t="s">
        <v>14526</v>
      </c>
      <c r="C5101" s="323" t="s">
        <v>14527</v>
      </c>
      <c r="D5101" s="323" t="s">
        <v>14525</v>
      </c>
    </row>
    <row r="5102" spans="1:4">
      <c r="A5102" s="323" t="s">
        <v>14528</v>
      </c>
      <c r="B5102" s="323" t="s">
        <v>14529</v>
      </c>
      <c r="C5102" s="323" t="s">
        <v>14530</v>
      </c>
      <c r="D5102" s="323" t="s">
        <v>14528</v>
      </c>
    </row>
    <row r="5103" spans="1:4">
      <c r="A5103" s="323" t="s">
        <v>14531</v>
      </c>
      <c r="B5103" s="323" t="s">
        <v>14532</v>
      </c>
      <c r="C5103" s="323" t="s">
        <v>14533</v>
      </c>
      <c r="D5103" s="323" t="s">
        <v>14531</v>
      </c>
    </row>
    <row r="5104" spans="1:4">
      <c r="A5104" s="323" t="s">
        <v>14534</v>
      </c>
      <c r="B5104" s="323" t="s">
        <v>14535</v>
      </c>
      <c r="C5104" s="323" t="s">
        <v>14536</v>
      </c>
      <c r="D5104" s="323" t="s">
        <v>14537</v>
      </c>
    </row>
    <row r="5105" spans="1:4">
      <c r="A5105" s="323" t="s">
        <v>14538</v>
      </c>
      <c r="B5105" s="323" t="s">
        <v>14539</v>
      </c>
      <c r="C5105" s="323" t="s">
        <v>14540</v>
      </c>
      <c r="D5105" s="323" t="s">
        <v>14538</v>
      </c>
    </row>
    <row r="5106" spans="1:4">
      <c r="A5106" s="324" t="s">
        <v>14541</v>
      </c>
      <c r="B5106" s="324" t="s">
        <v>14542</v>
      </c>
      <c r="C5106" s="323" t="s">
        <v>14543</v>
      </c>
      <c r="D5106" s="324" t="s">
        <v>14541</v>
      </c>
    </row>
    <row r="5107" spans="1:4">
      <c r="A5107" s="324" t="s">
        <v>14544</v>
      </c>
      <c r="B5107" s="324" t="s">
        <v>14545</v>
      </c>
      <c r="C5107" s="323" t="s">
        <v>14546</v>
      </c>
      <c r="D5107" s="324" t="s">
        <v>14544</v>
      </c>
    </row>
    <row r="5108" spans="1:4">
      <c r="A5108" s="324" t="s">
        <v>14547</v>
      </c>
      <c r="B5108" s="324" t="s">
        <v>14548</v>
      </c>
      <c r="C5108" s="323" t="s">
        <v>14549</v>
      </c>
      <c r="D5108" s="324" t="s">
        <v>14547</v>
      </c>
    </row>
    <row r="5109" spans="1:4">
      <c r="A5109" s="324" t="s">
        <v>14550</v>
      </c>
      <c r="B5109" s="324" t="s">
        <v>14551</v>
      </c>
      <c r="C5109" s="323" t="s">
        <v>14549</v>
      </c>
      <c r="D5109" s="324" t="s">
        <v>14550</v>
      </c>
    </row>
    <row r="5110" spans="1:4">
      <c r="A5110" s="324" t="s">
        <v>14552</v>
      </c>
      <c r="B5110" s="324" t="s">
        <v>14553</v>
      </c>
      <c r="C5110" s="323" t="s">
        <v>14554</v>
      </c>
      <c r="D5110" s="324" t="s">
        <v>14552</v>
      </c>
    </row>
    <row r="5111" spans="1:4">
      <c r="A5111" s="324" t="s">
        <v>14555</v>
      </c>
      <c r="B5111" s="324" t="s">
        <v>14556</v>
      </c>
      <c r="C5111" s="323" t="s">
        <v>14557</v>
      </c>
      <c r="D5111" s="324" t="s">
        <v>14555</v>
      </c>
    </row>
    <row r="5112" spans="1:4">
      <c r="A5112" s="324" t="s">
        <v>14558</v>
      </c>
      <c r="B5112" s="324" t="s">
        <v>14559</v>
      </c>
      <c r="C5112" s="323" t="s">
        <v>14560</v>
      </c>
      <c r="D5112" s="324" t="s">
        <v>14558</v>
      </c>
    </row>
    <row r="5113" spans="1:4">
      <c r="A5113" s="324" t="s">
        <v>14561</v>
      </c>
      <c r="B5113" s="324" t="s">
        <v>14562</v>
      </c>
      <c r="C5113" s="323" t="s">
        <v>14563</v>
      </c>
      <c r="D5113" s="326" t="s">
        <v>14564</v>
      </c>
    </row>
    <row r="5114" spans="1:4">
      <c r="A5114" s="324" t="s">
        <v>14565</v>
      </c>
      <c r="B5114" s="324" t="s">
        <v>14566</v>
      </c>
      <c r="C5114" s="323" t="s">
        <v>14567</v>
      </c>
      <c r="D5114" s="326" t="s">
        <v>14565</v>
      </c>
    </row>
    <row r="5115" spans="1:4">
      <c r="A5115" s="324" t="s">
        <v>14568</v>
      </c>
      <c r="B5115" s="324" t="s">
        <v>14569</v>
      </c>
      <c r="C5115" s="323" t="s">
        <v>14570</v>
      </c>
      <c r="D5115" s="324" t="s">
        <v>14568</v>
      </c>
    </row>
    <row r="5116" spans="1:4">
      <c r="A5116" s="324" t="s">
        <v>14571</v>
      </c>
      <c r="B5116" s="324" t="s">
        <v>14572</v>
      </c>
      <c r="C5116" s="323" t="s">
        <v>14573</v>
      </c>
      <c r="D5116" s="324" t="s">
        <v>14571</v>
      </c>
    </row>
    <row r="5117" spans="1:4">
      <c r="A5117" s="324" t="s">
        <v>14574</v>
      </c>
      <c r="B5117" s="324" t="s">
        <v>14575</v>
      </c>
      <c r="C5117" s="323" t="s">
        <v>14576</v>
      </c>
      <c r="D5117" s="324" t="s">
        <v>14574</v>
      </c>
    </row>
    <row r="5118" spans="1:4">
      <c r="A5118" s="324" t="s">
        <v>14577</v>
      </c>
      <c r="B5118" s="324" t="s">
        <v>14578</v>
      </c>
      <c r="C5118" s="323" t="s">
        <v>14579</v>
      </c>
      <c r="D5118" s="324" t="s">
        <v>14577</v>
      </c>
    </row>
    <row r="5119" spans="1:4">
      <c r="A5119" s="324" t="s">
        <v>14580</v>
      </c>
      <c r="B5119" s="324" t="s">
        <v>14581</v>
      </c>
      <c r="C5119" s="323" t="s">
        <v>14582</v>
      </c>
      <c r="D5119" s="324" t="s">
        <v>14580</v>
      </c>
    </row>
    <row r="5120" spans="1:4">
      <c r="A5120" s="324" t="s">
        <v>14583</v>
      </c>
      <c r="B5120" s="324" t="s">
        <v>14584</v>
      </c>
      <c r="C5120" s="323" t="s">
        <v>14585</v>
      </c>
      <c r="D5120" s="324" t="s">
        <v>14583</v>
      </c>
    </row>
    <row r="5121" spans="1:4">
      <c r="A5121" s="324" t="s">
        <v>14586</v>
      </c>
      <c r="B5121" s="324" t="s">
        <v>14587</v>
      </c>
      <c r="C5121" s="323" t="s">
        <v>14588</v>
      </c>
      <c r="D5121" s="324" t="s">
        <v>14586</v>
      </c>
    </row>
    <row r="5122" spans="1:4">
      <c r="A5122" s="324" t="s">
        <v>14589</v>
      </c>
      <c r="B5122" s="324" t="s">
        <v>14590</v>
      </c>
      <c r="C5122" s="323" t="s">
        <v>14591</v>
      </c>
      <c r="D5122" s="324" t="s">
        <v>14589</v>
      </c>
    </row>
    <row r="5123" spans="1:4">
      <c r="A5123" s="324" t="s">
        <v>14592</v>
      </c>
      <c r="B5123" s="324" t="s">
        <v>14593</v>
      </c>
      <c r="C5123" s="323" t="s">
        <v>14594</v>
      </c>
      <c r="D5123" s="324" t="s">
        <v>14592</v>
      </c>
    </row>
    <row r="5124" spans="1:4">
      <c r="A5124" s="324" t="s">
        <v>14595</v>
      </c>
      <c r="B5124" s="324" t="s">
        <v>14596</v>
      </c>
      <c r="C5124" s="323" t="s">
        <v>14597</v>
      </c>
      <c r="D5124" s="324" t="s">
        <v>14595</v>
      </c>
    </row>
    <row r="5125" spans="1:4">
      <c r="A5125" s="324" t="s">
        <v>14598</v>
      </c>
      <c r="B5125" s="324" t="s">
        <v>14599</v>
      </c>
      <c r="C5125" s="323" t="s">
        <v>14600</v>
      </c>
      <c r="D5125" s="324" t="s">
        <v>14598</v>
      </c>
    </row>
    <row r="5126" spans="1:4">
      <c r="A5126" s="323" t="s">
        <v>14601</v>
      </c>
      <c r="B5126" s="323" t="s">
        <v>14602</v>
      </c>
      <c r="C5126" s="323" t="s">
        <v>14603</v>
      </c>
      <c r="D5126" s="323" t="s">
        <v>14601</v>
      </c>
    </row>
    <row r="5127" spans="1:4">
      <c r="A5127" s="324" t="s">
        <v>14604</v>
      </c>
      <c r="B5127" s="324" t="s">
        <v>14605</v>
      </c>
      <c r="C5127" s="323" t="s">
        <v>14606</v>
      </c>
      <c r="D5127" s="324" t="s">
        <v>14604</v>
      </c>
    </row>
    <row r="5128" spans="1:4">
      <c r="A5128" s="324" t="s">
        <v>14607</v>
      </c>
      <c r="B5128" s="324" t="s">
        <v>14608</v>
      </c>
      <c r="C5128" s="323" t="s">
        <v>14609</v>
      </c>
      <c r="D5128" s="326" t="s">
        <v>14607</v>
      </c>
    </row>
    <row r="5129" spans="1:4">
      <c r="A5129" s="324" t="s">
        <v>14610</v>
      </c>
      <c r="B5129" s="324" t="s">
        <v>14611</v>
      </c>
      <c r="C5129" s="323" t="s">
        <v>14612</v>
      </c>
      <c r="D5129" s="326" t="s">
        <v>14610</v>
      </c>
    </row>
    <row r="5130" spans="1:4">
      <c r="A5130" s="323" t="s">
        <v>14613</v>
      </c>
      <c r="B5130" s="323" t="s">
        <v>14614</v>
      </c>
      <c r="C5130" s="323" t="s">
        <v>14615</v>
      </c>
      <c r="D5130" s="323" t="s">
        <v>14613</v>
      </c>
    </row>
    <row r="5131" spans="1:4">
      <c r="A5131" s="324" t="s">
        <v>14616</v>
      </c>
      <c r="B5131" s="324" t="s">
        <v>14617</v>
      </c>
      <c r="C5131" s="323" t="s">
        <v>14618</v>
      </c>
      <c r="D5131" s="326" t="s">
        <v>14616</v>
      </c>
    </row>
    <row r="5132" spans="1:4">
      <c r="A5132" s="324" t="s">
        <v>14619</v>
      </c>
      <c r="B5132" s="324" t="s">
        <v>14620</v>
      </c>
      <c r="C5132" s="323" t="s">
        <v>14621</v>
      </c>
      <c r="D5132" s="324" t="s">
        <v>14619</v>
      </c>
    </row>
    <row r="5133" spans="1:4">
      <c r="A5133" s="324" t="s">
        <v>14622</v>
      </c>
      <c r="B5133" s="323" t="s">
        <v>14623</v>
      </c>
      <c r="C5133" s="323" t="s">
        <v>14624</v>
      </c>
      <c r="D5133" s="324" t="s">
        <v>14622</v>
      </c>
    </row>
    <row r="5134" spans="1:4">
      <c r="A5134" s="324" t="s">
        <v>14625</v>
      </c>
      <c r="B5134" s="324" t="s">
        <v>14626</v>
      </c>
      <c r="C5134" s="324" t="s">
        <v>14627</v>
      </c>
      <c r="D5134" s="324" t="s">
        <v>14628</v>
      </c>
    </row>
    <row r="5135" spans="1:4">
      <c r="A5135" s="324" t="s">
        <v>14629</v>
      </c>
      <c r="B5135" s="324" t="s">
        <v>14630</v>
      </c>
      <c r="C5135" s="324" t="s">
        <v>14631</v>
      </c>
      <c r="D5135" s="324" t="s">
        <v>14632</v>
      </c>
    </row>
    <row r="5136" spans="1:4">
      <c r="A5136" s="324" t="s">
        <v>14633</v>
      </c>
      <c r="B5136" s="324" t="s">
        <v>14634</v>
      </c>
      <c r="C5136" s="324" t="s">
        <v>14635</v>
      </c>
      <c r="D5136" s="324" t="s">
        <v>14636</v>
      </c>
    </row>
    <row r="5137" spans="1:4">
      <c r="A5137" s="324" t="s">
        <v>14637</v>
      </c>
      <c r="B5137" s="324" t="s">
        <v>14638</v>
      </c>
      <c r="C5137" s="324" t="s">
        <v>14639</v>
      </c>
      <c r="D5137" s="324" t="s">
        <v>14637</v>
      </c>
    </row>
    <row r="5138" spans="1:4">
      <c r="A5138" s="324" t="s">
        <v>14640</v>
      </c>
      <c r="B5138" s="324" t="s">
        <v>14641</v>
      </c>
      <c r="C5138" s="324" t="s">
        <v>14642</v>
      </c>
      <c r="D5138" s="324" t="s">
        <v>14640</v>
      </c>
    </row>
    <row r="5139" spans="1:4">
      <c r="A5139" s="324" t="s">
        <v>14643</v>
      </c>
      <c r="B5139" s="324" t="s">
        <v>14644</v>
      </c>
      <c r="C5139" s="324" t="s">
        <v>14645</v>
      </c>
      <c r="D5139" s="324" t="s">
        <v>14643</v>
      </c>
    </row>
    <row r="5140" spans="1:4">
      <c r="A5140" s="324" t="s">
        <v>14646</v>
      </c>
      <c r="B5140" s="324" t="s">
        <v>14647</v>
      </c>
      <c r="C5140" s="324" t="s">
        <v>14648</v>
      </c>
      <c r="D5140" s="324" t="s">
        <v>14646</v>
      </c>
    </row>
    <row r="5141" spans="1:4">
      <c r="A5141" s="324" t="s">
        <v>14649</v>
      </c>
      <c r="B5141" s="324" t="s">
        <v>14650</v>
      </c>
      <c r="C5141" s="324" t="s">
        <v>14651</v>
      </c>
      <c r="D5141" s="324" t="s">
        <v>14649</v>
      </c>
    </row>
    <row r="5142" spans="1:4">
      <c r="A5142" s="324" t="s">
        <v>14652</v>
      </c>
      <c r="B5142" s="324" t="s">
        <v>14653</v>
      </c>
      <c r="C5142" s="324" t="s">
        <v>14654</v>
      </c>
      <c r="D5142" s="324" t="s">
        <v>14652</v>
      </c>
    </row>
    <row r="5143" spans="1:4">
      <c r="A5143" s="324" t="s">
        <v>14655</v>
      </c>
      <c r="B5143" s="324" t="s">
        <v>14656</v>
      </c>
      <c r="C5143" s="324" t="s">
        <v>14657</v>
      </c>
      <c r="D5143" s="324" t="s">
        <v>14655</v>
      </c>
    </row>
    <row r="5144" spans="1:4">
      <c r="A5144" s="324" t="s">
        <v>14658</v>
      </c>
      <c r="B5144" s="324" t="s">
        <v>14659</v>
      </c>
      <c r="C5144" s="324" t="s">
        <v>14660</v>
      </c>
      <c r="D5144" s="324" t="s">
        <v>14658</v>
      </c>
    </row>
    <row r="5145" spans="1:4">
      <c r="A5145" s="324" t="s">
        <v>14661</v>
      </c>
      <c r="B5145" s="324" t="s">
        <v>14662</v>
      </c>
      <c r="C5145" s="324" t="s">
        <v>14663</v>
      </c>
      <c r="D5145" s="324" t="s">
        <v>14661</v>
      </c>
    </row>
    <row r="5146" spans="1:4">
      <c r="A5146" s="324" t="s">
        <v>14664</v>
      </c>
      <c r="B5146" s="324" t="s">
        <v>14665</v>
      </c>
      <c r="C5146" s="324" t="s">
        <v>14666</v>
      </c>
      <c r="D5146" s="324" t="s">
        <v>14664</v>
      </c>
    </row>
    <row r="5147" spans="1:4">
      <c r="A5147" s="324" t="s">
        <v>14667</v>
      </c>
      <c r="B5147" s="324" t="s">
        <v>14668</v>
      </c>
      <c r="C5147" s="324" t="s">
        <v>14669</v>
      </c>
      <c r="D5147" s="324" t="s">
        <v>14667</v>
      </c>
    </row>
    <row r="5148" spans="1:4">
      <c r="A5148" s="324" t="s">
        <v>14670</v>
      </c>
      <c r="B5148" s="324" t="s">
        <v>14671</v>
      </c>
      <c r="C5148" s="324" t="s">
        <v>14672</v>
      </c>
      <c r="D5148" s="324" t="s">
        <v>14670</v>
      </c>
    </row>
    <row r="5149" spans="1:4">
      <c r="A5149" s="323" t="s">
        <v>14673</v>
      </c>
      <c r="B5149" s="323" t="s">
        <v>14674</v>
      </c>
      <c r="C5149" s="323" t="s">
        <v>14675</v>
      </c>
      <c r="D5149" s="323" t="s">
        <v>14673</v>
      </c>
    </row>
    <row r="5150" spans="1:4">
      <c r="A5150" s="323" t="s">
        <v>14676</v>
      </c>
      <c r="B5150" s="323" t="s">
        <v>14677</v>
      </c>
      <c r="C5150" s="323" t="s">
        <v>14678</v>
      </c>
      <c r="D5150" s="323" t="s">
        <v>14676</v>
      </c>
    </row>
    <row r="5151" spans="1:4">
      <c r="A5151" s="323" t="s">
        <v>14679</v>
      </c>
      <c r="B5151" s="323" t="s">
        <v>14680</v>
      </c>
      <c r="C5151" s="323" t="s">
        <v>14681</v>
      </c>
      <c r="D5151" s="323" t="s">
        <v>14679</v>
      </c>
    </row>
    <row r="5152" spans="1:4">
      <c r="A5152" s="323" t="s">
        <v>14682</v>
      </c>
      <c r="B5152" s="323" t="s">
        <v>14683</v>
      </c>
      <c r="C5152" s="323" t="s">
        <v>14684</v>
      </c>
      <c r="D5152" s="323" t="s">
        <v>14685</v>
      </c>
    </row>
    <row r="5153" spans="1:4">
      <c r="A5153" s="323" t="s">
        <v>14686</v>
      </c>
      <c r="B5153" s="323" t="s">
        <v>14687</v>
      </c>
      <c r="C5153" s="323" t="s">
        <v>14688</v>
      </c>
      <c r="D5153" s="323" t="s">
        <v>14686</v>
      </c>
    </row>
    <row r="5154" spans="1:4">
      <c r="A5154" s="323" t="s">
        <v>14689</v>
      </c>
      <c r="B5154" s="323" t="s">
        <v>14690</v>
      </c>
      <c r="C5154" s="323" t="s">
        <v>14691</v>
      </c>
      <c r="D5154" s="323" t="s">
        <v>14689</v>
      </c>
    </row>
    <row r="5155" spans="1:4">
      <c r="A5155" s="323" t="s">
        <v>14692</v>
      </c>
      <c r="B5155" s="323" t="s">
        <v>14693</v>
      </c>
      <c r="C5155" s="323" t="s">
        <v>14694</v>
      </c>
      <c r="D5155" s="323" t="s">
        <v>14692</v>
      </c>
    </row>
    <row r="5156" spans="1:4">
      <c r="A5156" s="323" t="s">
        <v>14695</v>
      </c>
      <c r="B5156" s="324" t="s">
        <v>14696</v>
      </c>
      <c r="C5156" s="323" t="s">
        <v>12847</v>
      </c>
      <c r="D5156" s="324" t="s">
        <v>14697</v>
      </c>
    </row>
    <row r="5157" spans="1:4">
      <c r="A5157" s="323" t="s">
        <v>14698</v>
      </c>
      <c r="B5157" s="323" t="s">
        <v>14699</v>
      </c>
      <c r="C5157" s="323" t="s">
        <v>14700</v>
      </c>
      <c r="D5157" s="323" t="s">
        <v>14698</v>
      </c>
    </row>
    <row r="5158" spans="1:4">
      <c r="A5158" s="323" t="s">
        <v>14701</v>
      </c>
      <c r="B5158" s="323" t="s">
        <v>14702</v>
      </c>
      <c r="C5158" s="323" t="s">
        <v>14703</v>
      </c>
      <c r="D5158" s="323" t="s">
        <v>14701</v>
      </c>
    </row>
    <row r="5159" spans="1:4">
      <c r="A5159" s="323" t="s">
        <v>14704</v>
      </c>
      <c r="B5159" s="323" t="s">
        <v>14705</v>
      </c>
      <c r="C5159" s="323" t="s">
        <v>14706</v>
      </c>
      <c r="D5159" s="323" t="s">
        <v>14704</v>
      </c>
    </row>
    <row r="5160" spans="1:4">
      <c r="A5160" s="323" t="s">
        <v>14707</v>
      </c>
      <c r="B5160" s="323" t="s">
        <v>14708</v>
      </c>
      <c r="C5160" s="323" t="s">
        <v>14709</v>
      </c>
      <c r="D5160" s="323" t="s">
        <v>14707</v>
      </c>
    </row>
    <row r="5161" spans="1:4">
      <c r="A5161" s="323" t="s">
        <v>14710</v>
      </c>
      <c r="B5161" s="323" t="s">
        <v>14711</v>
      </c>
      <c r="C5161" s="323" t="s">
        <v>14712</v>
      </c>
      <c r="D5161" s="323" t="s">
        <v>14710</v>
      </c>
    </row>
    <row r="5162" spans="1:4">
      <c r="A5162" s="323" t="s">
        <v>14713</v>
      </c>
      <c r="B5162" s="323" t="s">
        <v>14714</v>
      </c>
      <c r="C5162" s="323" t="s">
        <v>14715</v>
      </c>
      <c r="D5162" s="323" t="s">
        <v>14713</v>
      </c>
    </row>
    <row r="5163" spans="1:4">
      <c r="A5163" s="323" t="s">
        <v>14716</v>
      </c>
      <c r="B5163" s="323" t="s">
        <v>14717</v>
      </c>
      <c r="C5163" s="323" t="s">
        <v>14718</v>
      </c>
      <c r="D5163" s="323" t="s">
        <v>14716</v>
      </c>
    </row>
    <row r="5164" spans="1:4">
      <c r="A5164" s="323" t="s">
        <v>14719</v>
      </c>
      <c r="B5164" s="323" t="s">
        <v>14720</v>
      </c>
      <c r="C5164" s="323" t="s">
        <v>14721</v>
      </c>
      <c r="D5164" s="323" t="s">
        <v>14719</v>
      </c>
    </row>
    <row r="5165" spans="1:4">
      <c r="A5165" s="323" t="s">
        <v>14722</v>
      </c>
      <c r="B5165" s="323" t="s">
        <v>14723</v>
      </c>
      <c r="C5165" s="323" t="s">
        <v>14724</v>
      </c>
      <c r="D5165" s="323" t="s">
        <v>14722</v>
      </c>
    </row>
    <row r="5166" spans="1:4">
      <c r="A5166" s="323" t="s">
        <v>14725</v>
      </c>
      <c r="B5166" s="323" t="s">
        <v>14726</v>
      </c>
      <c r="C5166" s="323" t="s">
        <v>14727</v>
      </c>
      <c r="D5166" s="323" t="s">
        <v>14725</v>
      </c>
    </row>
    <row r="5167" spans="1:4">
      <c r="A5167" s="323" t="s">
        <v>14728</v>
      </c>
      <c r="B5167" s="323" t="s">
        <v>14729</v>
      </c>
      <c r="C5167" s="323" t="s">
        <v>14730</v>
      </c>
      <c r="D5167" s="323" t="s">
        <v>14728</v>
      </c>
    </row>
    <row r="5168" spans="1:4">
      <c r="A5168" s="323" t="s">
        <v>14731</v>
      </c>
      <c r="B5168" s="323" t="s">
        <v>14732</v>
      </c>
      <c r="C5168" s="323" t="s">
        <v>14733</v>
      </c>
      <c r="D5168" s="323" t="s">
        <v>14731</v>
      </c>
    </row>
    <row r="5169" spans="1:4">
      <c r="A5169" s="323" t="s">
        <v>14734</v>
      </c>
      <c r="B5169" s="323" t="s">
        <v>14735</v>
      </c>
      <c r="C5169" s="323" t="s">
        <v>14736</v>
      </c>
      <c r="D5169" s="323" t="s">
        <v>14734</v>
      </c>
    </row>
    <row r="5170" spans="1:4">
      <c r="A5170" s="323" t="s">
        <v>14737</v>
      </c>
      <c r="B5170" s="323" t="s">
        <v>14738</v>
      </c>
      <c r="C5170" s="323" t="s">
        <v>14739</v>
      </c>
      <c r="D5170" s="323" t="s">
        <v>14737</v>
      </c>
    </row>
    <row r="5171" spans="1:4">
      <c r="A5171" s="323" t="s">
        <v>14740</v>
      </c>
      <c r="B5171" s="323" t="s">
        <v>14741</v>
      </c>
      <c r="C5171" s="323" t="s">
        <v>14742</v>
      </c>
      <c r="D5171" s="323" t="s">
        <v>14740</v>
      </c>
    </row>
    <row r="5172" spans="1:4">
      <c r="A5172" s="323" t="s">
        <v>14743</v>
      </c>
      <c r="B5172" s="323" t="s">
        <v>14744</v>
      </c>
      <c r="C5172" s="323" t="s">
        <v>14745</v>
      </c>
      <c r="D5172" s="323" t="s">
        <v>14743</v>
      </c>
    </row>
    <row r="5173" spans="1:4">
      <c r="A5173" s="323" t="s">
        <v>14746</v>
      </c>
      <c r="B5173" s="323" t="s">
        <v>14747</v>
      </c>
      <c r="C5173" s="323" t="s">
        <v>14748</v>
      </c>
      <c r="D5173" s="323" t="s">
        <v>14746</v>
      </c>
    </row>
    <row r="5174" spans="1:4">
      <c r="A5174" s="323" t="s">
        <v>14749</v>
      </c>
      <c r="B5174" s="323" t="s">
        <v>14750</v>
      </c>
      <c r="C5174" s="323" t="s">
        <v>14751</v>
      </c>
      <c r="D5174" s="323" t="s">
        <v>14749</v>
      </c>
    </row>
    <row r="5175" spans="1:4">
      <c r="A5175" s="323" t="s">
        <v>14752</v>
      </c>
      <c r="B5175" s="323" t="s">
        <v>14753</v>
      </c>
      <c r="C5175" s="323" t="s">
        <v>14754</v>
      </c>
      <c r="D5175" s="323" t="s">
        <v>14752</v>
      </c>
    </row>
    <row r="5176" spans="1:4">
      <c r="A5176" s="323" t="s">
        <v>14755</v>
      </c>
      <c r="B5176" s="323" t="s">
        <v>14756</v>
      </c>
      <c r="C5176" s="323" t="s">
        <v>14757</v>
      </c>
      <c r="D5176" s="323" t="s">
        <v>14758</v>
      </c>
    </row>
    <row r="5177" spans="1:4">
      <c r="A5177" s="323" t="s">
        <v>14759</v>
      </c>
      <c r="B5177" s="323" t="s">
        <v>14760</v>
      </c>
      <c r="C5177" s="323" t="s">
        <v>14761</v>
      </c>
      <c r="D5177" s="323" t="s">
        <v>14759</v>
      </c>
    </row>
    <row r="5178" spans="1:4">
      <c r="A5178" s="323" t="s">
        <v>14762</v>
      </c>
      <c r="B5178" s="323" t="s">
        <v>14763</v>
      </c>
      <c r="C5178" s="323" t="s">
        <v>14764</v>
      </c>
      <c r="D5178" s="323" t="s">
        <v>14762</v>
      </c>
    </row>
    <row r="5179" spans="1:4">
      <c r="A5179" s="323" t="s">
        <v>14765</v>
      </c>
      <c r="B5179" s="323" t="s">
        <v>14766</v>
      </c>
      <c r="C5179" s="323" t="s">
        <v>14767</v>
      </c>
      <c r="D5179" s="323" t="s">
        <v>14765</v>
      </c>
    </row>
    <row r="5180" spans="1:4">
      <c r="A5180" s="323" t="s">
        <v>14768</v>
      </c>
      <c r="B5180" s="323" t="s">
        <v>14769</v>
      </c>
      <c r="C5180" s="323" t="s">
        <v>14770</v>
      </c>
      <c r="D5180" s="323" t="s">
        <v>14768</v>
      </c>
    </row>
    <row r="5181" spans="1:4">
      <c r="A5181" s="323" t="s">
        <v>14771</v>
      </c>
      <c r="B5181" s="323" t="s">
        <v>14772</v>
      </c>
      <c r="C5181" s="323" t="s">
        <v>14773</v>
      </c>
      <c r="D5181" s="323" t="s">
        <v>14771</v>
      </c>
    </row>
    <row r="5182" spans="1:4">
      <c r="A5182" s="323" t="s">
        <v>14774</v>
      </c>
      <c r="B5182" s="323" t="s">
        <v>14775</v>
      </c>
      <c r="C5182" s="323" t="s">
        <v>14776</v>
      </c>
      <c r="D5182" s="323" t="s">
        <v>14774</v>
      </c>
    </row>
    <row r="5183" spans="1:4">
      <c r="A5183" s="323" t="s">
        <v>14777</v>
      </c>
      <c r="B5183" s="323" t="s">
        <v>14778</v>
      </c>
      <c r="C5183" s="323" t="s">
        <v>14779</v>
      </c>
      <c r="D5183" s="323" t="s">
        <v>14777</v>
      </c>
    </row>
    <row r="5184" spans="1:4">
      <c r="A5184" s="323" t="s">
        <v>14780</v>
      </c>
      <c r="B5184" s="323" t="s">
        <v>14781</v>
      </c>
      <c r="C5184" s="323" t="s">
        <v>14782</v>
      </c>
      <c r="D5184" s="323" t="s">
        <v>14780</v>
      </c>
    </row>
    <row r="5185" spans="1:4">
      <c r="A5185" s="323" t="s">
        <v>14783</v>
      </c>
      <c r="B5185" s="323" t="s">
        <v>14784</v>
      </c>
      <c r="C5185" s="323" t="s">
        <v>14785</v>
      </c>
      <c r="D5185" s="323" t="s">
        <v>14783</v>
      </c>
    </row>
    <row r="5186" spans="1:4">
      <c r="A5186" s="323" t="s">
        <v>14786</v>
      </c>
      <c r="B5186" s="323" t="s">
        <v>14787</v>
      </c>
      <c r="C5186" s="323" t="s">
        <v>14787</v>
      </c>
      <c r="D5186" s="323" t="s">
        <v>14786</v>
      </c>
    </row>
    <row r="5187" spans="1:4">
      <c r="A5187" s="323" t="s">
        <v>14788</v>
      </c>
      <c r="B5187" s="323" t="s">
        <v>14789</v>
      </c>
      <c r="C5187" s="323" t="s">
        <v>14790</v>
      </c>
      <c r="D5187" s="323" t="s">
        <v>14788</v>
      </c>
    </row>
    <row r="5188" spans="1:4">
      <c r="A5188" s="323" t="s">
        <v>14791</v>
      </c>
      <c r="B5188" s="323" t="s">
        <v>14792</v>
      </c>
      <c r="C5188" s="323" t="s">
        <v>14793</v>
      </c>
      <c r="D5188" s="323" t="s">
        <v>14791</v>
      </c>
    </row>
    <row r="5189" spans="1:4">
      <c r="A5189" s="323" t="s">
        <v>14794</v>
      </c>
      <c r="B5189" s="323" t="s">
        <v>14795</v>
      </c>
      <c r="C5189" s="323" t="s">
        <v>14796</v>
      </c>
      <c r="D5189" s="323" t="s">
        <v>14794</v>
      </c>
    </row>
    <row r="5190" spans="1:4">
      <c r="A5190" s="323" t="s">
        <v>14797</v>
      </c>
      <c r="B5190" s="323" t="s">
        <v>14798</v>
      </c>
      <c r="C5190" s="323" t="s">
        <v>14799</v>
      </c>
      <c r="D5190" s="323" t="s">
        <v>14797</v>
      </c>
    </row>
    <row r="5191" spans="1:4">
      <c r="A5191" s="323" t="s">
        <v>14800</v>
      </c>
      <c r="B5191" s="323" t="s">
        <v>14801</v>
      </c>
      <c r="C5191" s="323" t="s">
        <v>14802</v>
      </c>
      <c r="D5191" s="335" t="s">
        <v>14800</v>
      </c>
    </row>
    <row r="5192" spans="1:4">
      <c r="A5192" s="324" t="s">
        <v>14803</v>
      </c>
      <c r="B5192" s="324" t="s">
        <v>14804</v>
      </c>
      <c r="C5192" s="323" t="s">
        <v>14805</v>
      </c>
      <c r="D5192" s="324" t="s">
        <v>14803</v>
      </c>
    </row>
    <row r="5193" spans="1:4">
      <c r="A5193" s="324" t="s">
        <v>14806</v>
      </c>
      <c r="B5193" s="324" t="s">
        <v>14807</v>
      </c>
      <c r="C5193" s="323" t="s">
        <v>14808</v>
      </c>
      <c r="D5193" s="324" t="s">
        <v>14806</v>
      </c>
    </row>
    <row r="5194" spans="1:4">
      <c r="A5194" s="324" t="s">
        <v>14809</v>
      </c>
      <c r="B5194" s="324" t="s">
        <v>14810</v>
      </c>
      <c r="C5194" s="324" t="s">
        <v>14811</v>
      </c>
      <c r="D5194" s="324" t="s">
        <v>14809</v>
      </c>
    </row>
    <row r="5195" spans="1:4">
      <c r="A5195" s="324" t="s">
        <v>14812</v>
      </c>
      <c r="B5195" s="324" t="s">
        <v>14813</v>
      </c>
      <c r="C5195" s="324" t="s">
        <v>14814</v>
      </c>
      <c r="D5195" s="324" t="s">
        <v>14812</v>
      </c>
    </row>
    <row r="5196" spans="1:4">
      <c r="A5196" s="324" t="s">
        <v>14815</v>
      </c>
      <c r="B5196" s="324" t="s">
        <v>14816</v>
      </c>
      <c r="C5196" s="324" t="s">
        <v>14817</v>
      </c>
      <c r="D5196" s="324" t="s">
        <v>14815</v>
      </c>
    </row>
    <row r="5197" spans="1:4">
      <c r="A5197" s="336" t="s">
        <v>14818</v>
      </c>
      <c r="B5197" s="337" t="s">
        <v>14819</v>
      </c>
      <c r="C5197" s="337" t="s">
        <v>14820</v>
      </c>
      <c r="D5197" s="338" t="s">
        <v>14818</v>
      </c>
    </row>
    <row r="5198" spans="1:4">
      <c r="A5198" s="323" t="s">
        <v>14821</v>
      </c>
      <c r="B5198" s="323" t="s">
        <v>14822</v>
      </c>
      <c r="C5198" s="323" t="s">
        <v>14823</v>
      </c>
      <c r="D5198" s="323" t="s">
        <v>14821</v>
      </c>
    </row>
    <row r="5199" spans="1:4">
      <c r="A5199" s="324" t="s">
        <v>14824</v>
      </c>
      <c r="B5199" s="324" t="s">
        <v>14825</v>
      </c>
      <c r="C5199" s="323" t="s">
        <v>14826</v>
      </c>
      <c r="D5199" s="326" t="s">
        <v>14824</v>
      </c>
    </row>
    <row r="5200" spans="1:4">
      <c r="A5200" s="323" t="s">
        <v>14827</v>
      </c>
      <c r="B5200" s="323" t="s">
        <v>14828</v>
      </c>
      <c r="C5200" s="323" t="s">
        <v>14829</v>
      </c>
      <c r="D5200" s="323" t="s">
        <v>14827</v>
      </c>
    </row>
    <row r="5201" spans="1:4">
      <c r="A5201" s="323" t="s">
        <v>14830</v>
      </c>
      <c r="B5201" s="323" t="s">
        <v>14831</v>
      </c>
      <c r="C5201" s="323" t="s">
        <v>14832</v>
      </c>
      <c r="D5201" s="323" t="s">
        <v>14830</v>
      </c>
    </row>
    <row r="5202" spans="1:4">
      <c r="A5202" s="323" t="s">
        <v>14833</v>
      </c>
      <c r="B5202" s="323" t="s">
        <v>14834</v>
      </c>
      <c r="C5202" s="323" t="s">
        <v>14835</v>
      </c>
      <c r="D5202" s="323" t="s">
        <v>14833</v>
      </c>
    </row>
    <row r="5203" spans="1:4">
      <c r="A5203" s="323" t="s">
        <v>14836</v>
      </c>
      <c r="B5203" s="324" t="s">
        <v>14837</v>
      </c>
      <c r="C5203" s="323" t="s">
        <v>14838</v>
      </c>
      <c r="D5203" s="323" t="s">
        <v>14836</v>
      </c>
    </row>
    <row r="5204" spans="1:4">
      <c r="A5204" s="324" t="s">
        <v>14839</v>
      </c>
      <c r="B5204" s="324" t="s">
        <v>14840</v>
      </c>
      <c r="C5204" s="323" t="s">
        <v>14841</v>
      </c>
      <c r="D5204" s="326" t="s">
        <v>14839</v>
      </c>
    </row>
    <row r="5205" spans="1:4">
      <c r="A5205" s="324" t="s">
        <v>14842</v>
      </c>
      <c r="B5205" s="324" t="s">
        <v>14843</v>
      </c>
      <c r="C5205" s="323" t="s">
        <v>14844</v>
      </c>
      <c r="D5205" s="326" t="s">
        <v>14842</v>
      </c>
    </row>
    <row r="5206" spans="1:4">
      <c r="A5206" s="324" t="s">
        <v>11144</v>
      </c>
      <c r="B5206" s="324" t="s">
        <v>14845</v>
      </c>
      <c r="C5206" s="323" t="s">
        <v>14846</v>
      </c>
      <c r="D5206" s="326" t="s">
        <v>14847</v>
      </c>
    </row>
    <row r="5207" spans="1:4">
      <c r="A5207" s="324" t="s">
        <v>11171</v>
      </c>
      <c r="B5207" s="324" t="s">
        <v>14848</v>
      </c>
      <c r="C5207" s="323" t="s">
        <v>14849</v>
      </c>
      <c r="D5207" s="326" t="s">
        <v>14850</v>
      </c>
    </row>
    <row r="5208" spans="1:4">
      <c r="A5208" s="324" t="s">
        <v>14851</v>
      </c>
      <c r="B5208" s="324" t="s">
        <v>14852</v>
      </c>
      <c r="C5208" s="324" t="s">
        <v>14853</v>
      </c>
      <c r="D5208" s="324" t="s">
        <v>14851</v>
      </c>
    </row>
    <row r="5209" spans="1:4">
      <c r="A5209" s="324" t="s">
        <v>14854</v>
      </c>
      <c r="B5209" s="324" t="s">
        <v>14855</v>
      </c>
      <c r="C5209" s="324" t="s">
        <v>14856</v>
      </c>
      <c r="D5209" s="324" t="s">
        <v>14854</v>
      </c>
    </row>
    <row r="5210" spans="1:4">
      <c r="A5210" s="324" t="s">
        <v>14857</v>
      </c>
      <c r="B5210" s="324" t="s">
        <v>14858</v>
      </c>
      <c r="C5210" s="324" t="s">
        <v>14859</v>
      </c>
      <c r="D5210" s="324" t="s">
        <v>14857</v>
      </c>
    </row>
    <row r="5211" spans="1:4">
      <c r="A5211" s="323" t="s">
        <v>14860</v>
      </c>
      <c r="B5211" s="323" t="s">
        <v>14861</v>
      </c>
      <c r="C5211" s="323" t="s">
        <v>14862</v>
      </c>
      <c r="D5211" s="323" t="s">
        <v>14860</v>
      </c>
    </row>
    <row r="5212" spans="1:4">
      <c r="A5212" s="323" t="s">
        <v>14863</v>
      </c>
      <c r="B5212" s="323" t="s">
        <v>14864</v>
      </c>
      <c r="C5212" s="323" t="s">
        <v>14865</v>
      </c>
      <c r="D5212" s="323" t="s">
        <v>14866</v>
      </c>
    </row>
    <row r="5213" spans="1:4">
      <c r="A5213" s="323" t="s">
        <v>14867</v>
      </c>
      <c r="B5213" s="323" t="s">
        <v>14868</v>
      </c>
      <c r="C5213" s="323" t="s">
        <v>14869</v>
      </c>
      <c r="D5213" s="323" t="s">
        <v>14867</v>
      </c>
    </row>
    <row r="5214" spans="1:4">
      <c r="A5214" s="323" t="s">
        <v>14870</v>
      </c>
      <c r="B5214" s="323" t="s">
        <v>14871</v>
      </c>
      <c r="C5214" s="323" t="s">
        <v>14872</v>
      </c>
      <c r="D5214" s="323" t="s">
        <v>14870</v>
      </c>
    </row>
    <row r="5215" spans="1:4">
      <c r="A5215" s="323" t="s">
        <v>14873</v>
      </c>
      <c r="B5215" s="323" t="s">
        <v>14874</v>
      </c>
      <c r="C5215" s="323" t="s">
        <v>14875</v>
      </c>
      <c r="D5215" s="323" t="s">
        <v>14873</v>
      </c>
    </row>
    <row r="5216" spans="1:4">
      <c r="A5216" s="323" t="s">
        <v>14876</v>
      </c>
      <c r="B5216" s="323" t="s">
        <v>14877</v>
      </c>
      <c r="C5216" s="323" t="s">
        <v>14878</v>
      </c>
      <c r="D5216" s="323" t="s">
        <v>14876</v>
      </c>
    </row>
    <row r="5217" spans="1:4">
      <c r="A5217" s="323" t="s">
        <v>14879</v>
      </c>
      <c r="B5217" s="323" t="s">
        <v>14880</v>
      </c>
      <c r="C5217" s="323" t="s">
        <v>14881</v>
      </c>
      <c r="D5217" s="323" t="s">
        <v>14879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X864"/>
  <sheetViews>
    <sheetView topLeftCell="A13" workbookViewId="0">
      <selection activeCell="J30" sqref="J30"/>
    </sheetView>
  </sheetViews>
  <sheetFormatPr defaultRowHeight="16.5"/>
  <cols>
    <col min="1" max="4" width="9.125" bestFit="1" customWidth="1"/>
    <col min="7" max="7" width="15.25" bestFit="1" customWidth="1"/>
    <col min="8" max="8" width="13.125" bestFit="1" customWidth="1"/>
    <col min="9" max="9" width="9.375" bestFit="1" customWidth="1"/>
    <col min="10" max="10" width="13.125" bestFit="1" customWidth="1"/>
    <col min="11" max="11" width="14" bestFit="1" customWidth="1"/>
    <col min="12" max="12" width="29.5" bestFit="1" customWidth="1"/>
    <col min="13" max="13" width="10.375" customWidth="1"/>
    <col min="14" max="14" width="13.75" bestFit="1" customWidth="1"/>
    <col min="15" max="15" width="14.25" customWidth="1"/>
    <col min="17" max="17" width="9.125" bestFit="1" customWidth="1"/>
    <col min="20" max="25" width="9.125" bestFit="1" customWidth="1"/>
    <col min="26" max="26" width="25.375" bestFit="1" customWidth="1"/>
    <col min="27" max="27" width="9.125" bestFit="1" customWidth="1"/>
    <col min="28" max="28" width="23.875" bestFit="1" customWidth="1"/>
    <col min="32" max="32" width="9.125" bestFit="1" customWidth="1"/>
    <col min="34" max="41" width="9.125" bestFit="1" customWidth="1"/>
    <col min="42" max="42" width="11.25" bestFit="1" customWidth="1"/>
    <col min="43" max="45" width="9.125" bestFit="1" customWidth="1"/>
    <col min="47" max="49" width="9.125" bestFit="1" customWidth="1"/>
    <col min="52" max="60" width="9.125" bestFit="1" customWidth="1"/>
    <col min="61" max="61" width="11.5" bestFit="1" customWidth="1"/>
    <col min="65" max="65" width="9.125" bestFit="1" customWidth="1"/>
    <col min="68" max="68" width="9.125" bestFit="1" customWidth="1"/>
    <col min="70" max="70" width="9.125" bestFit="1" customWidth="1"/>
    <col min="72" max="72" width="9.125" bestFit="1" customWidth="1"/>
    <col min="75" max="76" width="9.125" bestFit="1" customWidth="1"/>
  </cols>
  <sheetData>
    <row r="1" spans="1:76" s="50" customFormat="1" ht="11.25">
      <c r="A1" s="50" t="s">
        <v>6493</v>
      </c>
      <c r="B1" s="50" t="s">
        <v>6496</v>
      </c>
      <c r="C1" s="50" t="s">
        <v>6499</v>
      </c>
      <c r="D1" s="50" t="s">
        <v>2799</v>
      </c>
      <c r="E1" s="50" t="s">
        <v>6695</v>
      </c>
      <c r="F1" s="50" t="s">
        <v>6698</v>
      </c>
      <c r="G1" s="50" t="s">
        <v>2412</v>
      </c>
      <c r="H1" s="50" t="s">
        <v>8408</v>
      </c>
      <c r="I1" s="50" t="s">
        <v>8414</v>
      </c>
      <c r="J1" s="50" t="s">
        <v>8416</v>
      </c>
      <c r="K1" s="50" t="s">
        <v>8418</v>
      </c>
      <c r="L1" s="50" t="s">
        <v>8420</v>
      </c>
      <c r="M1" s="50" t="s">
        <v>8422</v>
      </c>
      <c r="N1" s="50" t="s">
        <v>8424</v>
      </c>
      <c r="O1" s="50" t="s">
        <v>8426</v>
      </c>
      <c r="P1" s="50" t="s">
        <v>6719</v>
      </c>
      <c r="Q1" s="50" t="s">
        <v>6720</v>
      </c>
      <c r="R1" s="50" t="s">
        <v>6171</v>
      </c>
      <c r="S1" s="50" t="s">
        <v>8410</v>
      </c>
      <c r="T1" s="50" t="s">
        <v>6969</v>
      </c>
      <c r="U1" s="50" t="s">
        <v>6990</v>
      </c>
      <c r="V1" s="50" t="s">
        <v>6992</v>
      </c>
      <c r="W1" s="50" t="s">
        <v>6982</v>
      </c>
      <c r="X1" s="50" t="s">
        <v>6988</v>
      </c>
      <c r="Y1" s="50" t="s">
        <v>8428</v>
      </c>
      <c r="Z1" s="50" t="s">
        <v>8430</v>
      </c>
      <c r="AA1" s="50" t="s">
        <v>7023</v>
      </c>
      <c r="AB1" s="50" t="s">
        <v>4501</v>
      </c>
      <c r="AC1" s="50" t="s">
        <v>2646</v>
      </c>
      <c r="AD1" s="50" t="s">
        <v>2589</v>
      </c>
      <c r="AE1" s="50" t="s">
        <v>5540</v>
      </c>
      <c r="AF1" s="50" t="s">
        <v>5521</v>
      </c>
    </row>
    <row r="2" spans="1:76" s="50" customFormat="1" ht="11.25">
      <c r="A2" s="50" t="s">
        <v>6491</v>
      </c>
      <c r="B2" s="50" t="s">
        <v>6494</v>
      </c>
      <c r="C2" s="50" t="s">
        <v>6497</v>
      </c>
      <c r="D2" s="50" t="s">
        <v>2800</v>
      </c>
      <c r="E2" s="50" t="s">
        <v>6694</v>
      </c>
      <c r="F2" s="50" t="s">
        <v>6696</v>
      </c>
      <c r="G2" s="50" t="s">
        <v>2413</v>
      </c>
      <c r="H2" s="50" t="s">
        <v>8407</v>
      </c>
      <c r="I2" s="50" t="s">
        <v>8413</v>
      </c>
      <c r="J2" s="50" t="s">
        <v>8415</v>
      </c>
      <c r="K2" s="50" t="s">
        <v>8417</v>
      </c>
      <c r="L2" s="50" t="s">
        <v>8419</v>
      </c>
      <c r="M2" s="50" t="s">
        <v>8421</v>
      </c>
      <c r="N2" s="50" t="s">
        <v>8423</v>
      </c>
      <c r="O2" s="50" t="s">
        <v>8425</v>
      </c>
      <c r="P2" s="50" t="s">
        <v>6600</v>
      </c>
      <c r="Q2" s="50" t="s">
        <v>6601</v>
      </c>
      <c r="R2" s="50" t="s">
        <v>6685</v>
      </c>
      <c r="S2" s="50" t="s">
        <v>6980</v>
      </c>
      <c r="T2" s="50" t="s">
        <v>6968</v>
      </c>
      <c r="U2" s="50" t="s">
        <v>6989</v>
      </c>
      <c r="V2" s="50" t="s">
        <v>6991</v>
      </c>
      <c r="W2" s="50" t="s">
        <v>6981</v>
      </c>
      <c r="X2" s="50" t="s">
        <v>6987</v>
      </c>
      <c r="Y2" s="50" t="s">
        <v>8427</v>
      </c>
      <c r="Z2" s="50" t="s">
        <v>8429</v>
      </c>
      <c r="AA2" s="50" t="s">
        <v>7022</v>
      </c>
      <c r="AB2" s="50" t="s">
        <v>4502</v>
      </c>
      <c r="AC2" s="50" t="s">
        <v>7004</v>
      </c>
      <c r="AD2" s="50" t="s">
        <v>7005</v>
      </c>
      <c r="AE2" s="50" t="s">
        <v>7006</v>
      </c>
      <c r="AF2" s="50" t="s">
        <v>7007</v>
      </c>
    </row>
    <row r="3" spans="1:76" s="50" customFormat="1" ht="11.25">
      <c r="A3" s="50">
        <v>201303</v>
      </c>
      <c r="B3" s="50">
        <v>9</v>
      </c>
      <c r="C3" s="50">
        <v>1</v>
      </c>
      <c r="D3" s="50">
        <v>2004035</v>
      </c>
      <c r="E3" s="50">
        <v>1</v>
      </c>
      <c r="F3" s="50">
        <v>1340</v>
      </c>
      <c r="G3" s="50">
        <v>29</v>
      </c>
      <c r="H3" s="50" t="s">
        <v>6378</v>
      </c>
      <c r="I3" s="50">
        <v>2111800</v>
      </c>
      <c r="J3" s="50">
        <v>20130325</v>
      </c>
      <c r="K3" s="50">
        <v>20130325</v>
      </c>
      <c r="N3" s="50">
        <v>1</v>
      </c>
      <c r="P3" s="50">
        <v>2000</v>
      </c>
      <c r="Q3" s="50">
        <v>1340</v>
      </c>
      <c r="R3" s="50">
        <v>1240</v>
      </c>
      <c r="S3" s="50">
        <v>29180</v>
      </c>
      <c r="W3" s="50">
        <v>29180</v>
      </c>
      <c r="Y3" s="50">
        <v>1</v>
      </c>
      <c r="Z3" s="50" t="s">
        <v>6564</v>
      </c>
      <c r="AA3" s="50">
        <v>1</v>
      </c>
      <c r="AB3" s="50" t="s">
        <v>8878</v>
      </c>
      <c r="AC3" s="50" t="s">
        <v>8879</v>
      </c>
      <c r="AD3" s="50">
        <v>20130320</v>
      </c>
      <c r="AE3" s="50" t="s">
        <v>8879</v>
      </c>
      <c r="AF3" s="50">
        <v>20130320</v>
      </c>
    </row>
    <row r="5" spans="1:76">
      <c r="A5">
        <v>201303</v>
      </c>
      <c r="B5">
        <v>9</v>
      </c>
      <c r="C5">
        <v>1</v>
      </c>
      <c r="D5">
        <v>2004035</v>
      </c>
      <c r="E5" t="s">
        <v>8892</v>
      </c>
      <c r="F5" t="s">
        <v>8893</v>
      </c>
      <c r="G5">
        <v>1</v>
      </c>
      <c r="H5">
        <v>19750217</v>
      </c>
      <c r="I5">
        <v>8</v>
      </c>
      <c r="J5" t="s">
        <v>8894</v>
      </c>
      <c r="K5" t="s">
        <v>8895</v>
      </c>
      <c r="L5" t="s">
        <v>8896</v>
      </c>
      <c r="M5">
        <v>2000</v>
      </c>
      <c r="N5" t="s">
        <v>6595</v>
      </c>
      <c r="O5">
        <v>1340</v>
      </c>
      <c r="P5" t="s">
        <v>8331</v>
      </c>
      <c r="Q5">
        <v>1240</v>
      </c>
      <c r="R5" t="s">
        <v>4923</v>
      </c>
      <c r="T5">
        <v>20120104</v>
      </c>
      <c r="U5">
        <v>20080301</v>
      </c>
      <c r="W5">
        <v>29</v>
      </c>
      <c r="Z5">
        <v>20040209</v>
      </c>
      <c r="AA5">
        <v>20040209</v>
      </c>
      <c r="AB5">
        <v>20040209</v>
      </c>
      <c r="AF5">
        <v>1</v>
      </c>
      <c r="AH5">
        <v>4</v>
      </c>
      <c r="AI5">
        <v>1</v>
      </c>
      <c r="AJ5">
        <v>1</v>
      </c>
      <c r="AK5">
        <v>2</v>
      </c>
      <c r="AL5">
        <v>1</v>
      </c>
      <c r="AM5">
        <v>0</v>
      </c>
      <c r="AN5">
        <v>0</v>
      </c>
      <c r="AO5">
        <v>0</v>
      </c>
      <c r="AR5">
        <v>35</v>
      </c>
      <c r="AS5">
        <v>50</v>
      </c>
      <c r="AU5">
        <v>0</v>
      </c>
      <c r="AV5">
        <v>0</v>
      </c>
      <c r="AW5">
        <v>0</v>
      </c>
      <c r="AZ5">
        <v>160</v>
      </c>
      <c r="BA5">
        <v>160</v>
      </c>
      <c r="BB5">
        <v>29180</v>
      </c>
      <c r="BC5">
        <v>29020</v>
      </c>
      <c r="BD5">
        <v>29020</v>
      </c>
      <c r="BE5">
        <v>29180</v>
      </c>
      <c r="BF5">
        <v>2421800</v>
      </c>
      <c r="BG5">
        <v>20130325</v>
      </c>
      <c r="BH5">
        <v>9</v>
      </c>
      <c r="BI5">
        <v>12106156033321</v>
      </c>
      <c r="BL5" t="s">
        <v>6379</v>
      </c>
      <c r="BP5">
        <v>402</v>
      </c>
      <c r="BQ5" t="s">
        <v>8879</v>
      </c>
      <c r="BR5">
        <v>20130320</v>
      </c>
      <c r="BS5" t="s">
        <v>8879</v>
      </c>
      <c r="BT5">
        <v>20130320</v>
      </c>
    </row>
    <row r="6" spans="1:76">
      <c r="A6">
        <v>201310</v>
      </c>
      <c r="B6">
        <v>9</v>
      </c>
      <c r="C6">
        <v>1</v>
      </c>
      <c r="D6">
        <v>1984087</v>
      </c>
      <c r="E6" t="s">
        <v>8897</v>
      </c>
      <c r="F6" t="s">
        <v>8898</v>
      </c>
      <c r="G6">
        <v>1</v>
      </c>
      <c r="H6">
        <v>19561121</v>
      </c>
      <c r="I6">
        <v>1</v>
      </c>
      <c r="J6" t="s">
        <v>2339</v>
      </c>
      <c r="K6">
        <v>100100000000</v>
      </c>
      <c r="L6" t="s">
        <v>2339</v>
      </c>
      <c r="M6">
        <v>2000</v>
      </c>
      <c r="N6" t="s">
        <v>6595</v>
      </c>
      <c r="O6">
        <v>1310</v>
      </c>
      <c r="P6" t="s">
        <v>8325</v>
      </c>
      <c r="Q6">
        <v>1220</v>
      </c>
      <c r="R6" t="s">
        <v>6634</v>
      </c>
      <c r="S6" t="s">
        <v>8899</v>
      </c>
      <c r="T6">
        <v>20110808</v>
      </c>
      <c r="U6">
        <v>20130101</v>
      </c>
      <c r="V6">
        <v>20110808</v>
      </c>
      <c r="W6">
        <v>99</v>
      </c>
      <c r="X6">
        <v>20070801</v>
      </c>
      <c r="Y6">
        <v>20020101</v>
      </c>
      <c r="Z6">
        <v>19841126</v>
      </c>
      <c r="AA6">
        <v>19841126</v>
      </c>
      <c r="AB6">
        <v>19841126</v>
      </c>
      <c r="AF6">
        <v>1</v>
      </c>
      <c r="AH6">
        <v>2</v>
      </c>
      <c r="AI6">
        <v>1</v>
      </c>
      <c r="AJ6">
        <v>0</v>
      </c>
      <c r="AK6">
        <v>1</v>
      </c>
      <c r="AL6">
        <v>1</v>
      </c>
      <c r="AM6">
        <v>0</v>
      </c>
      <c r="AN6">
        <v>0</v>
      </c>
      <c r="AO6">
        <v>0</v>
      </c>
      <c r="AP6">
        <v>71062472767</v>
      </c>
      <c r="AQ6">
        <v>36</v>
      </c>
      <c r="AR6">
        <v>45</v>
      </c>
      <c r="BM6">
        <v>0</v>
      </c>
      <c r="BP6">
        <v>2</v>
      </c>
      <c r="BQ6" t="s">
        <v>8900</v>
      </c>
      <c r="BR6">
        <v>20131018</v>
      </c>
      <c r="BU6" t="s">
        <v>6379</v>
      </c>
      <c r="BW6">
        <v>5196695</v>
      </c>
      <c r="BX6">
        <v>3890000</v>
      </c>
    </row>
    <row r="7" spans="1:76">
      <c r="A7">
        <v>201310</v>
      </c>
      <c r="B7">
        <v>9</v>
      </c>
      <c r="C7">
        <v>1</v>
      </c>
      <c r="D7">
        <v>2004082</v>
      </c>
      <c r="E7" t="s">
        <v>8903</v>
      </c>
      <c r="F7" t="s">
        <v>8904</v>
      </c>
      <c r="G7">
        <v>1</v>
      </c>
      <c r="H7">
        <v>19730413</v>
      </c>
      <c r="I7">
        <v>1</v>
      </c>
      <c r="J7" t="s">
        <v>2339</v>
      </c>
      <c r="K7">
        <v>100101010000</v>
      </c>
      <c r="L7" t="s">
        <v>8905</v>
      </c>
      <c r="M7">
        <v>2000</v>
      </c>
      <c r="N7" t="s">
        <v>6595</v>
      </c>
      <c r="O7">
        <v>1360</v>
      </c>
      <c r="P7" t="s">
        <v>8335</v>
      </c>
      <c r="Q7">
        <v>1252</v>
      </c>
      <c r="R7" t="s">
        <v>6646</v>
      </c>
      <c r="T7">
        <v>20120703</v>
      </c>
      <c r="U7">
        <v>20060309</v>
      </c>
      <c r="W7">
        <v>28</v>
      </c>
      <c r="X7">
        <v>20130101</v>
      </c>
      <c r="Z7">
        <v>20040701</v>
      </c>
      <c r="AA7">
        <v>20040701</v>
      </c>
      <c r="AB7">
        <v>20040701</v>
      </c>
      <c r="AF7">
        <v>1</v>
      </c>
      <c r="AH7">
        <v>1</v>
      </c>
      <c r="AI7">
        <v>0</v>
      </c>
      <c r="AJ7">
        <v>0</v>
      </c>
      <c r="AK7">
        <v>1</v>
      </c>
      <c r="AL7">
        <v>1</v>
      </c>
      <c r="AM7">
        <v>0</v>
      </c>
      <c r="AN7">
        <v>0</v>
      </c>
      <c r="AO7">
        <v>0</v>
      </c>
      <c r="AP7">
        <v>71297669443</v>
      </c>
      <c r="AQ7">
        <v>22</v>
      </c>
      <c r="AR7">
        <v>34</v>
      </c>
      <c r="BL7" t="s">
        <v>6564</v>
      </c>
      <c r="BO7" t="s">
        <v>6564</v>
      </c>
      <c r="BP7">
        <v>10</v>
      </c>
      <c r="BQ7" t="s">
        <v>8900</v>
      </c>
      <c r="BR7">
        <v>20131018</v>
      </c>
      <c r="BU7" t="s">
        <v>6379</v>
      </c>
      <c r="BW7">
        <v>2883299</v>
      </c>
      <c r="BX7">
        <v>2843000</v>
      </c>
    </row>
    <row r="8" spans="1:76">
      <c r="A8">
        <v>201303</v>
      </c>
      <c r="B8">
        <v>9</v>
      </c>
      <c r="C8">
        <v>1</v>
      </c>
      <c r="D8">
        <v>2004035</v>
      </c>
      <c r="E8" t="s">
        <v>8892</v>
      </c>
      <c r="F8" t="s">
        <v>8893</v>
      </c>
      <c r="G8">
        <v>1</v>
      </c>
      <c r="H8">
        <v>19750217</v>
      </c>
      <c r="I8">
        <v>8</v>
      </c>
      <c r="J8" t="s">
        <v>8894</v>
      </c>
      <c r="K8" t="s">
        <v>8895</v>
      </c>
      <c r="L8" t="s">
        <v>8896</v>
      </c>
      <c r="M8">
        <v>2000</v>
      </c>
      <c r="N8" t="s">
        <v>6595</v>
      </c>
      <c r="O8">
        <v>1340</v>
      </c>
      <c r="P8" t="s">
        <v>8331</v>
      </c>
      <c r="Q8">
        <v>1240</v>
      </c>
      <c r="R8" t="s">
        <v>4923</v>
      </c>
      <c r="T8">
        <v>20120104</v>
      </c>
      <c r="U8">
        <v>20080301</v>
      </c>
      <c r="W8">
        <v>29</v>
      </c>
      <c r="Z8">
        <v>20040209</v>
      </c>
      <c r="AA8">
        <v>20040209</v>
      </c>
      <c r="AB8">
        <v>20040209</v>
      </c>
      <c r="AF8">
        <v>1</v>
      </c>
      <c r="AH8">
        <v>4</v>
      </c>
      <c r="AI8">
        <v>1</v>
      </c>
      <c r="AJ8">
        <v>1</v>
      </c>
      <c r="AK8">
        <v>2</v>
      </c>
      <c r="AL8">
        <v>1</v>
      </c>
      <c r="AM8">
        <v>0</v>
      </c>
      <c r="AN8">
        <v>0</v>
      </c>
      <c r="AO8">
        <v>0</v>
      </c>
      <c r="AR8">
        <v>35</v>
      </c>
      <c r="AS8">
        <v>50</v>
      </c>
      <c r="AU8">
        <v>0</v>
      </c>
      <c r="AV8">
        <v>0</v>
      </c>
      <c r="AW8">
        <v>0</v>
      </c>
      <c r="AZ8">
        <v>160</v>
      </c>
      <c r="BA8">
        <v>160</v>
      </c>
      <c r="BB8">
        <v>29180</v>
      </c>
      <c r="BC8">
        <v>29020</v>
      </c>
      <c r="BD8">
        <v>29020</v>
      </c>
      <c r="BE8">
        <v>29180</v>
      </c>
      <c r="BF8">
        <v>2421800</v>
      </c>
      <c r="BG8">
        <v>20130325</v>
      </c>
      <c r="BH8">
        <v>9</v>
      </c>
      <c r="BI8">
        <v>12106156033321</v>
      </c>
      <c r="BL8" t="s">
        <v>6379</v>
      </c>
      <c r="BP8">
        <v>402</v>
      </c>
      <c r="BQ8" t="s">
        <v>8879</v>
      </c>
      <c r="BR8">
        <v>20130320</v>
      </c>
      <c r="BS8" t="s">
        <v>8879</v>
      </c>
      <c r="BT8">
        <v>20130320</v>
      </c>
    </row>
    <row r="9" spans="1:76">
      <c r="A9">
        <v>201310</v>
      </c>
      <c r="B9">
        <v>9</v>
      </c>
      <c r="C9">
        <v>1</v>
      </c>
      <c r="D9">
        <v>1984087</v>
      </c>
      <c r="E9" t="s">
        <v>8897</v>
      </c>
      <c r="F9" t="s">
        <v>8898</v>
      </c>
      <c r="G9">
        <v>1</v>
      </c>
      <c r="H9">
        <v>19561121</v>
      </c>
      <c r="I9">
        <v>1</v>
      </c>
      <c r="J9" t="s">
        <v>2339</v>
      </c>
      <c r="K9">
        <v>100100000000</v>
      </c>
      <c r="L9" t="s">
        <v>2339</v>
      </c>
      <c r="M9">
        <v>2000</v>
      </c>
      <c r="N9" t="s">
        <v>6595</v>
      </c>
      <c r="O9">
        <v>1310</v>
      </c>
      <c r="P9" t="s">
        <v>8325</v>
      </c>
      <c r="Q9">
        <v>1220</v>
      </c>
      <c r="R9" t="s">
        <v>6634</v>
      </c>
      <c r="S9" t="s">
        <v>8899</v>
      </c>
      <c r="T9">
        <v>20110808</v>
      </c>
      <c r="U9">
        <v>20130101</v>
      </c>
      <c r="V9">
        <v>20110808</v>
      </c>
      <c r="W9">
        <v>99</v>
      </c>
      <c r="X9">
        <v>20070801</v>
      </c>
      <c r="Y9">
        <v>20020101</v>
      </c>
      <c r="Z9">
        <v>19841126</v>
      </c>
      <c r="AA9">
        <v>19841126</v>
      </c>
      <c r="AB9">
        <v>19841126</v>
      </c>
      <c r="AF9">
        <v>1</v>
      </c>
      <c r="AH9">
        <v>2</v>
      </c>
      <c r="AI9">
        <v>1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71062472767</v>
      </c>
      <c r="AQ9">
        <v>36</v>
      </c>
      <c r="AR9">
        <v>45</v>
      </c>
      <c r="AU9">
        <v>0</v>
      </c>
      <c r="AV9">
        <v>0</v>
      </c>
      <c r="AW9">
        <v>0</v>
      </c>
      <c r="AZ9">
        <v>0</v>
      </c>
      <c r="BA9">
        <v>0</v>
      </c>
      <c r="BB9">
        <v>1319746</v>
      </c>
      <c r="BC9">
        <v>1319746</v>
      </c>
      <c r="BD9">
        <v>1319746</v>
      </c>
      <c r="BE9">
        <v>1319746</v>
      </c>
      <c r="BF9">
        <v>0</v>
      </c>
      <c r="BM9">
        <v>0</v>
      </c>
      <c r="BP9">
        <v>2</v>
      </c>
      <c r="BQ9" t="s">
        <v>8900</v>
      </c>
      <c r="BR9">
        <v>20131018</v>
      </c>
      <c r="BT9">
        <v>20131018</v>
      </c>
      <c r="BU9" t="s">
        <v>6379</v>
      </c>
      <c r="BW9">
        <v>5196695</v>
      </c>
      <c r="BX9">
        <v>3890000</v>
      </c>
    </row>
    <row r="10" spans="1:76">
      <c r="A10">
        <v>201310</v>
      </c>
      <c r="B10">
        <v>9</v>
      </c>
      <c r="C10">
        <v>1</v>
      </c>
      <c r="D10">
        <v>2004082</v>
      </c>
      <c r="E10" t="s">
        <v>8903</v>
      </c>
      <c r="F10" t="s">
        <v>8904</v>
      </c>
      <c r="G10">
        <v>1</v>
      </c>
      <c r="H10">
        <v>19730413</v>
      </c>
      <c r="I10">
        <v>1</v>
      </c>
      <c r="J10" t="s">
        <v>2339</v>
      </c>
      <c r="K10">
        <v>100101010000</v>
      </c>
      <c r="L10" t="s">
        <v>8905</v>
      </c>
      <c r="M10">
        <v>2000</v>
      </c>
      <c r="N10" t="s">
        <v>6595</v>
      </c>
      <c r="O10">
        <v>1360</v>
      </c>
      <c r="P10" t="s">
        <v>8335</v>
      </c>
      <c r="Q10">
        <v>1252</v>
      </c>
      <c r="R10" t="s">
        <v>6646</v>
      </c>
      <c r="T10">
        <v>20120703</v>
      </c>
      <c r="U10">
        <v>20060309</v>
      </c>
      <c r="W10">
        <v>28</v>
      </c>
      <c r="X10">
        <v>20130101</v>
      </c>
      <c r="Z10">
        <v>20040701</v>
      </c>
      <c r="AA10">
        <v>20040701</v>
      </c>
      <c r="AB10">
        <v>20040701</v>
      </c>
      <c r="AF10">
        <v>1</v>
      </c>
      <c r="AH10">
        <v>1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71297669443</v>
      </c>
      <c r="AQ10">
        <v>22</v>
      </c>
      <c r="AR10">
        <v>34</v>
      </c>
      <c r="AU10">
        <v>0</v>
      </c>
      <c r="AV10">
        <v>0</v>
      </c>
      <c r="AW10">
        <v>0</v>
      </c>
      <c r="AZ10">
        <v>0</v>
      </c>
      <c r="BA10">
        <v>0</v>
      </c>
      <c r="BB10">
        <v>703889</v>
      </c>
      <c r="BC10">
        <v>703889</v>
      </c>
      <c r="BD10">
        <v>703889</v>
      </c>
      <c r="BE10">
        <v>703889</v>
      </c>
      <c r="BF10">
        <v>1820200</v>
      </c>
      <c r="BL10" t="s">
        <v>6564</v>
      </c>
      <c r="BO10" t="s">
        <v>6564</v>
      </c>
      <c r="BP10">
        <v>10</v>
      </c>
      <c r="BQ10" t="s">
        <v>8900</v>
      </c>
      <c r="BR10">
        <v>20131018</v>
      </c>
      <c r="BT10">
        <v>20131018</v>
      </c>
      <c r="BU10" t="s">
        <v>6379</v>
      </c>
      <c r="BW10">
        <v>2883299</v>
      </c>
      <c r="BX10">
        <v>2843000</v>
      </c>
    </row>
    <row r="11" spans="1:76">
      <c r="E11">
        <v>0.37</v>
      </c>
      <c r="G11" s="14" t="s">
        <v>14883</v>
      </c>
      <c r="H11" s="14" t="s">
        <v>8805</v>
      </c>
      <c r="I11" s="14" t="s">
        <v>5977</v>
      </c>
      <c r="J11" s="14"/>
      <c r="K11" s="14">
        <v>31</v>
      </c>
      <c r="L11" s="14" t="s">
        <v>9879</v>
      </c>
    </row>
    <row r="12" spans="1:76">
      <c r="E12">
        <v>50.67</v>
      </c>
      <c r="G12" s="14" t="s">
        <v>14884</v>
      </c>
      <c r="H12" s="14" t="s">
        <v>8805</v>
      </c>
      <c r="I12" s="14" t="s">
        <v>5977</v>
      </c>
      <c r="J12" s="14"/>
      <c r="K12" s="14">
        <v>32</v>
      </c>
      <c r="L12" s="14" t="s">
        <v>14885</v>
      </c>
    </row>
    <row r="13" spans="1:76">
      <c r="E13">
        <v>16.64</v>
      </c>
      <c r="G13" s="14" t="s">
        <v>14888</v>
      </c>
      <c r="H13" s="14" t="s">
        <v>6710</v>
      </c>
      <c r="I13" s="14" t="s">
        <v>5977</v>
      </c>
      <c r="J13" s="14"/>
      <c r="K13" s="14">
        <v>33</v>
      </c>
      <c r="L13" s="14" t="s">
        <v>14889</v>
      </c>
    </row>
    <row r="14" spans="1:76">
      <c r="G14" s="14" t="s">
        <v>14886</v>
      </c>
      <c r="H14" s="14" t="s">
        <v>6710</v>
      </c>
      <c r="I14" s="14" t="s">
        <v>5977</v>
      </c>
      <c r="J14" s="14"/>
      <c r="K14" s="14">
        <v>34</v>
      </c>
      <c r="L14" s="14" t="s">
        <v>14887</v>
      </c>
    </row>
    <row r="15" spans="1:76">
      <c r="G15" s="14" t="s">
        <v>14890</v>
      </c>
      <c r="H15" s="14" t="s">
        <v>6710</v>
      </c>
      <c r="I15" s="14" t="s">
        <v>5977</v>
      </c>
      <c r="J15" s="14"/>
      <c r="K15" s="14">
        <v>35</v>
      </c>
      <c r="L15" s="14" t="s">
        <v>14891</v>
      </c>
    </row>
    <row r="16" spans="1:76">
      <c r="A16" t="s">
        <v>8880</v>
      </c>
    </row>
    <row r="17" spans="1:8">
      <c r="A17" t="s">
        <v>8881</v>
      </c>
    </row>
    <row r="18" spans="1:8">
      <c r="A18" t="s">
        <v>8882</v>
      </c>
    </row>
    <row r="19" spans="1:8">
      <c r="G19" t="s">
        <v>14948</v>
      </c>
    </row>
    <row r="20" spans="1:8">
      <c r="B20">
        <v>2011055</v>
      </c>
      <c r="C20" t="s">
        <v>9057</v>
      </c>
      <c r="G20">
        <v>2013</v>
      </c>
      <c r="H20">
        <v>1977152</v>
      </c>
    </row>
    <row r="21" spans="1:8">
      <c r="B21">
        <v>2004048</v>
      </c>
      <c r="C21" t="s">
        <v>9058</v>
      </c>
      <c r="G21">
        <v>2013</v>
      </c>
      <c r="H21">
        <v>1977152</v>
      </c>
    </row>
    <row r="22" spans="1:8">
      <c r="B22">
        <v>2004012</v>
      </c>
      <c r="C22" t="s">
        <v>9059</v>
      </c>
      <c r="G22">
        <v>2013</v>
      </c>
      <c r="H22">
        <v>1979100</v>
      </c>
    </row>
    <row r="23" spans="1:8">
      <c r="B23">
        <v>2004036</v>
      </c>
      <c r="C23" t="s">
        <v>9060</v>
      </c>
      <c r="G23">
        <v>2013</v>
      </c>
      <c r="H23">
        <v>1979100</v>
      </c>
    </row>
    <row r="24" spans="1:8">
      <c r="B24">
        <v>2004040</v>
      </c>
      <c r="C24" t="s">
        <v>9061</v>
      </c>
      <c r="G24">
        <v>2013</v>
      </c>
      <c r="H24">
        <v>1979100</v>
      </c>
    </row>
    <row r="25" spans="1:8">
      <c r="B25">
        <v>2004024</v>
      </c>
      <c r="C25" t="s">
        <v>9062</v>
      </c>
      <c r="G25">
        <v>2013</v>
      </c>
      <c r="H25">
        <v>1979174</v>
      </c>
    </row>
    <row r="26" spans="1:8">
      <c r="B26">
        <v>1995105</v>
      </c>
      <c r="C26" t="s">
        <v>9063</v>
      </c>
      <c r="G26">
        <v>2013</v>
      </c>
      <c r="H26">
        <v>1979211</v>
      </c>
    </row>
    <row r="27" spans="1:8">
      <c r="B27">
        <v>2004030</v>
      </c>
      <c r="C27" t="s">
        <v>9064</v>
      </c>
      <c r="G27">
        <v>2013</v>
      </c>
      <c r="H27">
        <v>1979211</v>
      </c>
    </row>
    <row r="28" spans="1:8">
      <c r="B28">
        <v>2004034</v>
      </c>
      <c r="C28" t="s">
        <v>9065</v>
      </c>
      <c r="G28">
        <v>2013</v>
      </c>
      <c r="H28">
        <v>1980127</v>
      </c>
    </row>
    <row r="29" spans="1:8">
      <c r="B29">
        <v>2004035</v>
      </c>
      <c r="C29" t="s">
        <v>8892</v>
      </c>
      <c r="G29">
        <v>2013</v>
      </c>
      <c r="H29">
        <v>1980127</v>
      </c>
    </row>
    <row r="30" spans="1:8">
      <c r="B30">
        <v>2004037</v>
      </c>
      <c r="C30" t="s">
        <v>9066</v>
      </c>
      <c r="G30">
        <v>2013</v>
      </c>
      <c r="H30">
        <v>1980127</v>
      </c>
    </row>
    <row r="31" spans="1:8">
      <c r="B31">
        <v>2004038</v>
      </c>
      <c r="C31" t="s">
        <v>9067</v>
      </c>
      <c r="G31">
        <v>2013</v>
      </c>
      <c r="H31">
        <v>1980151</v>
      </c>
    </row>
    <row r="32" spans="1:8">
      <c r="B32">
        <v>2012039</v>
      </c>
      <c r="C32" t="s">
        <v>9068</v>
      </c>
      <c r="G32">
        <v>2013</v>
      </c>
      <c r="H32">
        <v>1980151</v>
      </c>
    </row>
    <row r="33" spans="2:8">
      <c r="B33">
        <v>2004043</v>
      </c>
      <c r="C33" t="s">
        <v>9069</v>
      </c>
      <c r="G33">
        <v>2013</v>
      </c>
      <c r="H33">
        <v>1980151</v>
      </c>
    </row>
    <row r="34" spans="2:8">
      <c r="B34">
        <v>2004018</v>
      </c>
      <c r="C34" t="s">
        <v>9070</v>
      </c>
      <c r="G34">
        <v>2013</v>
      </c>
      <c r="H34">
        <v>1980309</v>
      </c>
    </row>
    <row r="35" spans="2:8">
      <c r="B35">
        <v>2004021</v>
      </c>
      <c r="C35" t="s">
        <v>9071</v>
      </c>
      <c r="G35">
        <v>2013</v>
      </c>
      <c r="H35">
        <v>1980309</v>
      </c>
    </row>
    <row r="36" spans="2:8">
      <c r="B36">
        <v>2004025</v>
      </c>
      <c r="C36" t="s">
        <v>9072</v>
      </c>
      <c r="G36">
        <v>2013</v>
      </c>
      <c r="H36">
        <v>1980315</v>
      </c>
    </row>
    <row r="37" spans="2:8">
      <c r="B37">
        <v>2012040</v>
      </c>
      <c r="C37" t="s">
        <v>9073</v>
      </c>
      <c r="G37">
        <v>2013</v>
      </c>
      <c r="H37">
        <v>1980315</v>
      </c>
    </row>
    <row r="38" spans="2:8">
      <c r="B38">
        <v>1988013</v>
      </c>
      <c r="C38" t="s">
        <v>9074</v>
      </c>
      <c r="G38">
        <v>2013</v>
      </c>
      <c r="H38">
        <v>1981094</v>
      </c>
    </row>
    <row r="39" spans="2:8">
      <c r="B39">
        <v>1992151</v>
      </c>
      <c r="C39" t="s">
        <v>9075</v>
      </c>
      <c r="G39">
        <v>2013</v>
      </c>
      <c r="H39">
        <v>1981094</v>
      </c>
    </row>
    <row r="40" spans="2:8">
      <c r="B40">
        <v>2004007</v>
      </c>
      <c r="C40" t="s">
        <v>9076</v>
      </c>
      <c r="G40">
        <v>2013</v>
      </c>
      <c r="H40">
        <v>1981094</v>
      </c>
    </row>
    <row r="41" spans="2:8">
      <c r="B41">
        <v>2001130</v>
      </c>
      <c r="C41" t="s">
        <v>9077</v>
      </c>
      <c r="G41">
        <v>2013</v>
      </c>
      <c r="H41">
        <v>1981198</v>
      </c>
    </row>
    <row r="42" spans="2:8">
      <c r="B42">
        <v>2001125</v>
      </c>
      <c r="C42" t="s">
        <v>9078</v>
      </c>
      <c r="G42">
        <v>2013</v>
      </c>
      <c r="H42">
        <v>1982097</v>
      </c>
    </row>
    <row r="43" spans="2:8">
      <c r="B43">
        <v>2001088</v>
      </c>
      <c r="C43" t="s">
        <v>9079</v>
      </c>
      <c r="G43">
        <v>2013</v>
      </c>
      <c r="H43">
        <v>1982097</v>
      </c>
    </row>
    <row r="44" spans="2:8">
      <c r="B44">
        <v>2001092</v>
      </c>
      <c r="C44" t="s">
        <v>9080</v>
      </c>
      <c r="G44">
        <v>2013</v>
      </c>
      <c r="H44">
        <v>1982097</v>
      </c>
    </row>
    <row r="45" spans="2:8">
      <c r="B45">
        <v>2004009</v>
      </c>
      <c r="C45" t="s">
        <v>9081</v>
      </c>
      <c r="G45">
        <v>2013</v>
      </c>
      <c r="H45">
        <v>1983079</v>
      </c>
    </row>
    <row r="46" spans="2:8">
      <c r="B46">
        <v>2004011</v>
      </c>
      <c r="C46" t="s">
        <v>9082</v>
      </c>
      <c r="G46">
        <v>2013</v>
      </c>
      <c r="H46">
        <v>1983079</v>
      </c>
    </row>
    <row r="47" spans="2:8">
      <c r="B47">
        <v>1982147</v>
      </c>
      <c r="C47" t="s">
        <v>9083</v>
      </c>
      <c r="G47">
        <v>2013</v>
      </c>
      <c r="H47">
        <v>1983087</v>
      </c>
    </row>
    <row r="48" spans="2:8">
      <c r="B48">
        <v>2003054</v>
      </c>
      <c r="C48" t="s">
        <v>9084</v>
      </c>
      <c r="G48">
        <v>2013</v>
      </c>
      <c r="H48">
        <v>1983087</v>
      </c>
    </row>
    <row r="49" spans="2:8">
      <c r="B49">
        <v>2003057</v>
      </c>
      <c r="C49" t="s">
        <v>9085</v>
      </c>
      <c r="G49">
        <v>2013</v>
      </c>
      <c r="H49">
        <v>1983093</v>
      </c>
    </row>
    <row r="50" spans="2:8">
      <c r="B50">
        <v>1997098</v>
      </c>
      <c r="C50" t="s">
        <v>9086</v>
      </c>
      <c r="G50">
        <v>2013</v>
      </c>
      <c r="H50">
        <v>1984087</v>
      </c>
    </row>
    <row r="51" spans="2:8">
      <c r="B51">
        <v>1992052</v>
      </c>
      <c r="C51" t="s">
        <v>9087</v>
      </c>
      <c r="G51">
        <v>2013</v>
      </c>
      <c r="H51">
        <v>1984098</v>
      </c>
    </row>
    <row r="52" spans="2:8">
      <c r="B52">
        <v>1980100</v>
      </c>
      <c r="C52" t="s">
        <v>9088</v>
      </c>
      <c r="G52">
        <v>2013</v>
      </c>
      <c r="H52">
        <v>1984098</v>
      </c>
    </row>
    <row r="53" spans="2:8">
      <c r="B53">
        <v>2003058</v>
      </c>
      <c r="C53" t="s">
        <v>9089</v>
      </c>
      <c r="G53">
        <v>2013</v>
      </c>
      <c r="H53">
        <v>1985020</v>
      </c>
    </row>
    <row r="54" spans="2:8">
      <c r="B54">
        <v>2003059</v>
      </c>
      <c r="C54" t="s">
        <v>9090</v>
      </c>
      <c r="G54">
        <v>2013</v>
      </c>
      <c r="H54">
        <v>1985020</v>
      </c>
    </row>
    <row r="55" spans="2:8">
      <c r="B55">
        <v>2004001</v>
      </c>
      <c r="C55" t="s">
        <v>9091</v>
      </c>
      <c r="G55">
        <v>2013</v>
      </c>
      <c r="H55">
        <v>1985040</v>
      </c>
    </row>
    <row r="56" spans="2:8">
      <c r="B56">
        <v>1997099</v>
      </c>
      <c r="C56" t="s">
        <v>9092</v>
      </c>
      <c r="G56">
        <v>2013</v>
      </c>
      <c r="H56">
        <v>1985040</v>
      </c>
    </row>
    <row r="57" spans="2:8">
      <c r="B57">
        <v>2003052</v>
      </c>
      <c r="C57" t="s">
        <v>9093</v>
      </c>
      <c r="G57">
        <v>2013</v>
      </c>
      <c r="H57">
        <v>1987024</v>
      </c>
    </row>
    <row r="58" spans="2:8">
      <c r="B58">
        <v>2003053</v>
      </c>
      <c r="C58" t="s">
        <v>9094</v>
      </c>
      <c r="G58">
        <v>2013</v>
      </c>
      <c r="H58">
        <v>1987102</v>
      </c>
    </row>
    <row r="59" spans="2:8">
      <c r="B59">
        <v>1988086</v>
      </c>
      <c r="C59" t="s">
        <v>9095</v>
      </c>
      <c r="G59">
        <v>2013</v>
      </c>
      <c r="H59">
        <v>1987157</v>
      </c>
    </row>
    <row r="60" spans="2:8">
      <c r="B60">
        <v>1992078</v>
      </c>
      <c r="C60" t="s">
        <v>9096</v>
      </c>
      <c r="G60">
        <v>2013</v>
      </c>
      <c r="H60">
        <v>1987157</v>
      </c>
    </row>
    <row r="61" spans="2:8">
      <c r="B61">
        <v>2011019</v>
      </c>
      <c r="C61" t="s">
        <v>9097</v>
      </c>
      <c r="G61">
        <v>2013</v>
      </c>
      <c r="H61">
        <v>1987163</v>
      </c>
    </row>
    <row r="62" spans="2:8">
      <c r="B62">
        <v>1992026</v>
      </c>
      <c r="C62" t="s">
        <v>9098</v>
      </c>
      <c r="G62">
        <v>2013</v>
      </c>
      <c r="H62">
        <v>1987163</v>
      </c>
    </row>
    <row r="63" spans="2:8">
      <c r="B63">
        <v>1994077</v>
      </c>
      <c r="C63" t="s">
        <v>9099</v>
      </c>
      <c r="G63">
        <v>2013</v>
      </c>
      <c r="H63">
        <v>1988029</v>
      </c>
    </row>
    <row r="64" spans="2:8">
      <c r="B64">
        <v>2011011</v>
      </c>
      <c r="C64" t="s">
        <v>9100</v>
      </c>
      <c r="G64">
        <v>2013</v>
      </c>
      <c r="H64">
        <v>1988029</v>
      </c>
    </row>
    <row r="65" spans="2:8">
      <c r="B65">
        <v>1999029</v>
      </c>
      <c r="C65" t="s">
        <v>9101</v>
      </c>
      <c r="G65">
        <v>2013</v>
      </c>
      <c r="H65">
        <v>1988029</v>
      </c>
    </row>
    <row r="66" spans="2:8">
      <c r="B66">
        <v>1999032</v>
      </c>
      <c r="C66" t="s">
        <v>9102</v>
      </c>
      <c r="G66">
        <v>2013</v>
      </c>
      <c r="H66">
        <v>1988032</v>
      </c>
    </row>
    <row r="67" spans="2:8">
      <c r="B67">
        <v>1999035</v>
      </c>
      <c r="C67" t="s">
        <v>9103</v>
      </c>
      <c r="G67">
        <v>2013</v>
      </c>
      <c r="H67">
        <v>1988032</v>
      </c>
    </row>
    <row r="68" spans="2:8">
      <c r="B68">
        <v>2004086</v>
      </c>
      <c r="C68" t="s">
        <v>9104</v>
      </c>
      <c r="G68">
        <v>2013</v>
      </c>
      <c r="H68">
        <v>1988032</v>
      </c>
    </row>
    <row r="69" spans="2:8">
      <c r="B69">
        <v>2004087</v>
      </c>
      <c r="C69" t="s">
        <v>9105</v>
      </c>
      <c r="G69">
        <v>2013</v>
      </c>
      <c r="H69">
        <v>1988032</v>
      </c>
    </row>
    <row r="70" spans="2:8">
      <c r="B70">
        <v>2004078</v>
      </c>
      <c r="C70" t="s">
        <v>9106</v>
      </c>
      <c r="G70">
        <v>2013</v>
      </c>
      <c r="H70">
        <v>1988032</v>
      </c>
    </row>
    <row r="71" spans="2:8">
      <c r="B71">
        <v>2004079</v>
      </c>
      <c r="C71" t="s">
        <v>9107</v>
      </c>
      <c r="G71">
        <v>2013</v>
      </c>
      <c r="H71">
        <v>1988033</v>
      </c>
    </row>
    <row r="72" spans="2:8">
      <c r="B72">
        <v>2004081</v>
      </c>
      <c r="C72" t="s">
        <v>9108</v>
      </c>
      <c r="G72">
        <v>2013</v>
      </c>
      <c r="H72">
        <v>1988033</v>
      </c>
    </row>
    <row r="73" spans="2:8">
      <c r="B73">
        <v>2004082</v>
      </c>
      <c r="C73" t="s">
        <v>8903</v>
      </c>
      <c r="G73">
        <v>2013</v>
      </c>
      <c r="H73">
        <v>1988071</v>
      </c>
    </row>
    <row r="74" spans="2:8">
      <c r="B74">
        <v>2011024</v>
      </c>
      <c r="C74" t="s">
        <v>9109</v>
      </c>
      <c r="G74">
        <v>2013</v>
      </c>
      <c r="H74">
        <v>1988071</v>
      </c>
    </row>
    <row r="75" spans="2:8">
      <c r="B75">
        <v>2000038</v>
      </c>
      <c r="C75" t="s">
        <v>9110</v>
      </c>
      <c r="G75">
        <v>2013</v>
      </c>
      <c r="H75">
        <v>1988109</v>
      </c>
    </row>
    <row r="76" spans="2:8">
      <c r="B76">
        <v>1999036</v>
      </c>
      <c r="C76" t="s">
        <v>9111</v>
      </c>
      <c r="G76">
        <v>2013</v>
      </c>
      <c r="H76">
        <v>1988109</v>
      </c>
    </row>
    <row r="77" spans="2:8">
      <c r="B77">
        <v>1999038</v>
      </c>
      <c r="C77" t="s">
        <v>9112</v>
      </c>
      <c r="G77">
        <v>2013</v>
      </c>
      <c r="H77">
        <v>1989027</v>
      </c>
    </row>
    <row r="78" spans="2:8">
      <c r="B78">
        <v>2004084</v>
      </c>
      <c r="C78" t="s">
        <v>9113</v>
      </c>
      <c r="G78">
        <v>2013</v>
      </c>
      <c r="H78">
        <v>1989027</v>
      </c>
    </row>
    <row r="79" spans="2:8">
      <c r="B79">
        <v>2004085</v>
      </c>
      <c r="C79" t="s">
        <v>9114</v>
      </c>
      <c r="G79">
        <v>2013</v>
      </c>
      <c r="H79">
        <v>1989050</v>
      </c>
    </row>
    <row r="80" spans="2:8">
      <c r="B80">
        <v>2004067</v>
      </c>
      <c r="C80" t="s">
        <v>9115</v>
      </c>
      <c r="G80">
        <v>2013</v>
      </c>
      <c r="H80">
        <v>1990051</v>
      </c>
    </row>
    <row r="81" spans="2:8">
      <c r="B81">
        <v>2004070</v>
      </c>
      <c r="C81" t="s">
        <v>9116</v>
      </c>
      <c r="G81">
        <v>2013</v>
      </c>
      <c r="H81">
        <v>1990081</v>
      </c>
    </row>
    <row r="82" spans="2:8">
      <c r="B82">
        <v>2004071</v>
      </c>
      <c r="C82" t="s">
        <v>9117</v>
      </c>
      <c r="G82">
        <v>2013</v>
      </c>
      <c r="H82">
        <v>1990081</v>
      </c>
    </row>
    <row r="83" spans="2:8">
      <c r="B83">
        <v>2011032</v>
      </c>
      <c r="C83" t="s">
        <v>9118</v>
      </c>
      <c r="G83">
        <v>2013</v>
      </c>
      <c r="H83">
        <v>1990081</v>
      </c>
    </row>
    <row r="84" spans="2:8">
      <c r="B84">
        <v>1992081</v>
      </c>
      <c r="C84" t="s">
        <v>9119</v>
      </c>
      <c r="G84">
        <v>2013</v>
      </c>
      <c r="H84">
        <v>1991020</v>
      </c>
    </row>
    <row r="85" spans="2:8">
      <c r="B85">
        <v>1993013</v>
      </c>
      <c r="C85" t="s">
        <v>9120</v>
      </c>
      <c r="G85">
        <v>2013</v>
      </c>
      <c r="H85">
        <v>1991020</v>
      </c>
    </row>
    <row r="86" spans="2:8">
      <c r="B86">
        <v>1999050</v>
      </c>
      <c r="C86" t="s">
        <v>9121</v>
      </c>
      <c r="G86">
        <v>2013</v>
      </c>
      <c r="H86">
        <v>1991048</v>
      </c>
    </row>
    <row r="87" spans="2:8">
      <c r="B87">
        <v>2000039</v>
      </c>
      <c r="C87" t="s">
        <v>9122</v>
      </c>
      <c r="G87">
        <v>2013</v>
      </c>
      <c r="H87">
        <v>1991084</v>
      </c>
    </row>
    <row r="88" spans="2:8">
      <c r="B88">
        <v>2004072</v>
      </c>
      <c r="C88" t="s">
        <v>9123</v>
      </c>
      <c r="G88">
        <v>2013</v>
      </c>
      <c r="H88">
        <v>1991084</v>
      </c>
    </row>
    <row r="89" spans="2:8">
      <c r="B89">
        <v>2004073</v>
      </c>
      <c r="C89" t="s">
        <v>9124</v>
      </c>
      <c r="G89">
        <v>2013</v>
      </c>
      <c r="H89">
        <v>1991084</v>
      </c>
    </row>
    <row r="90" spans="2:8">
      <c r="B90">
        <v>2004074</v>
      </c>
      <c r="C90" t="s">
        <v>9125</v>
      </c>
      <c r="G90">
        <v>2013</v>
      </c>
      <c r="H90">
        <v>1991084</v>
      </c>
    </row>
    <row r="91" spans="2:8">
      <c r="B91">
        <v>2004075</v>
      </c>
      <c r="C91" t="s">
        <v>9126</v>
      </c>
      <c r="G91">
        <v>2013</v>
      </c>
      <c r="H91">
        <v>1991084</v>
      </c>
    </row>
    <row r="92" spans="2:8">
      <c r="B92">
        <v>2004062</v>
      </c>
      <c r="C92" t="s">
        <v>9127</v>
      </c>
      <c r="G92">
        <v>2013</v>
      </c>
      <c r="H92">
        <v>1991093</v>
      </c>
    </row>
    <row r="93" spans="2:8">
      <c r="B93">
        <v>2004063</v>
      </c>
      <c r="C93" t="s">
        <v>9128</v>
      </c>
      <c r="G93">
        <v>2013</v>
      </c>
      <c r="H93">
        <v>1991204</v>
      </c>
    </row>
    <row r="94" spans="2:8">
      <c r="B94">
        <v>2004064</v>
      </c>
      <c r="C94" t="s">
        <v>9129</v>
      </c>
      <c r="G94">
        <v>2013</v>
      </c>
      <c r="H94">
        <v>1991204</v>
      </c>
    </row>
    <row r="95" spans="2:8">
      <c r="B95">
        <v>2004055</v>
      </c>
      <c r="C95" t="s">
        <v>9130</v>
      </c>
      <c r="G95">
        <v>2013</v>
      </c>
      <c r="H95">
        <v>1991204</v>
      </c>
    </row>
    <row r="96" spans="2:8">
      <c r="B96">
        <v>1999052</v>
      </c>
      <c r="C96" t="s">
        <v>9131</v>
      </c>
      <c r="G96">
        <v>2013</v>
      </c>
      <c r="H96">
        <v>1991204</v>
      </c>
    </row>
    <row r="97" spans="2:8">
      <c r="B97">
        <v>1999043</v>
      </c>
      <c r="C97" t="s">
        <v>9132</v>
      </c>
      <c r="G97">
        <v>2013</v>
      </c>
      <c r="H97">
        <v>1992003</v>
      </c>
    </row>
    <row r="98" spans="2:8">
      <c r="B98">
        <v>2000040</v>
      </c>
      <c r="C98" t="s">
        <v>9133</v>
      </c>
      <c r="G98">
        <v>2013</v>
      </c>
      <c r="H98">
        <v>1992003</v>
      </c>
    </row>
    <row r="99" spans="2:8">
      <c r="B99">
        <v>2004065</v>
      </c>
      <c r="C99" t="s">
        <v>9134</v>
      </c>
      <c r="G99">
        <v>2013</v>
      </c>
      <c r="H99">
        <v>1992003</v>
      </c>
    </row>
    <row r="100" spans="2:8">
      <c r="B100">
        <v>2004066</v>
      </c>
      <c r="C100" t="s">
        <v>9135</v>
      </c>
      <c r="G100">
        <v>2013</v>
      </c>
      <c r="H100">
        <v>1992003</v>
      </c>
    </row>
    <row r="101" spans="2:8">
      <c r="B101">
        <v>2004049</v>
      </c>
      <c r="C101" t="s">
        <v>9136</v>
      </c>
      <c r="G101">
        <v>2013</v>
      </c>
      <c r="H101">
        <v>1992003</v>
      </c>
    </row>
    <row r="102" spans="2:8">
      <c r="B102">
        <v>2011050</v>
      </c>
      <c r="C102" t="s">
        <v>9137</v>
      </c>
      <c r="G102">
        <v>2013</v>
      </c>
      <c r="H102">
        <v>1992007</v>
      </c>
    </row>
    <row r="103" spans="2:8">
      <c r="B103">
        <v>1999044</v>
      </c>
      <c r="C103" t="s">
        <v>9138</v>
      </c>
      <c r="G103">
        <v>2013</v>
      </c>
      <c r="H103">
        <v>1992007</v>
      </c>
    </row>
    <row r="104" spans="2:8">
      <c r="B104">
        <v>1979098</v>
      </c>
      <c r="C104" t="s">
        <v>9139</v>
      </c>
      <c r="G104">
        <v>2013</v>
      </c>
      <c r="H104">
        <v>1992112</v>
      </c>
    </row>
    <row r="105" spans="2:8">
      <c r="B105">
        <v>2004056</v>
      </c>
      <c r="C105" t="s">
        <v>9140</v>
      </c>
      <c r="G105">
        <v>2013</v>
      </c>
      <c r="H105">
        <v>1992112</v>
      </c>
    </row>
    <row r="106" spans="2:8">
      <c r="B106">
        <v>2004058</v>
      </c>
      <c r="C106" t="s">
        <v>9141</v>
      </c>
      <c r="G106">
        <v>2013</v>
      </c>
      <c r="H106">
        <v>1992114</v>
      </c>
    </row>
    <row r="107" spans="2:8">
      <c r="B107">
        <v>2004059</v>
      </c>
      <c r="C107" t="s">
        <v>9142</v>
      </c>
      <c r="G107">
        <v>2013</v>
      </c>
      <c r="H107">
        <v>1992114</v>
      </c>
    </row>
    <row r="108" spans="2:8">
      <c r="B108">
        <v>2004010</v>
      </c>
      <c r="C108" t="s">
        <v>9143</v>
      </c>
      <c r="G108">
        <v>2013</v>
      </c>
      <c r="H108">
        <v>1992114</v>
      </c>
    </row>
    <row r="109" spans="2:8">
      <c r="B109">
        <v>2000041</v>
      </c>
      <c r="C109" t="s">
        <v>9144</v>
      </c>
      <c r="G109">
        <v>2013</v>
      </c>
      <c r="H109">
        <v>1992114</v>
      </c>
    </row>
    <row r="110" spans="2:8">
      <c r="B110">
        <v>1987179</v>
      </c>
      <c r="C110" t="s">
        <v>9145</v>
      </c>
      <c r="G110">
        <v>2013</v>
      </c>
      <c r="H110">
        <v>1992142</v>
      </c>
    </row>
    <row r="111" spans="2:8">
      <c r="B111">
        <v>2001112</v>
      </c>
      <c r="C111" t="s">
        <v>9146</v>
      </c>
      <c r="G111">
        <v>2013</v>
      </c>
      <c r="H111">
        <v>1992142</v>
      </c>
    </row>
    <row r="112" spans="2:8">
      <c r="B112">
        <v>2001113</v>
      </c>
      <c r="C112" t="s">
        <v>9147</v>
      </c>
      <c r="G112">
        <v>2013</v>
      </c>
      <c r="H112">
        <v>1996007</v>
      </c>
    </row>
    <row r="113" spans="2:8">
      <c r="B113">
        <v>2001115</v>
      </c>
      <c r="C113" t="s">
        <v>9148</v>
      </c>
      <c r="G113">
        <v>2013</v>
      </c>
      <c r="H113">
        <v>1996007</v>
      </c>
    </row>
    <row r="114" spans="2:8">
      <c r="B114">
        <v>2001120</v>
      </c>
      <c r="C114" t="s">
        <v>9149</v>
      </c>
      <c r="G114">
        <v>2013</v>
      </c>
      <c r="H114">
        <v>1996128</v>
      </c>
    </row>
    <row r="115" spans="2:8">
      <c r="B115">
        <v>2012025</v>
      </c>
      <c r="C115" t="s">
        <v>9150</v>
      </c>
      <c r="G115">
        <v>2013</v>
      </c>
      <c r="H115">
        <v>1996128</v>
      </c>
    </row>
    <row r="116" spans="2:8">
      <c r="B116">
        <v>1994142</v>
      </c>
      <c r="C116" t="s">
        <v>9151</v>
      </c>
      <c r="G116">
        <v>2013</v>
      </c>
      <c r="H116">
        <v>1996128</v>
      </c>
    </row>
    <row r="117" spans="2:8">
      <c r="B117">
        <v>1998020</v>
      </c>
      <c r="C117" t="s">
        <v>9152</v>
      </c>
      <c r="G117">
        <v>2013</v>
      </c>
      <c r="H117">
        <v>1996129</v>
      </c>
    </row>
    <row r="118" spans="2:8">
      <c r="B118">
        <v>1999002</v>
      </c>
      <c r="C118" t="s">
        <v>9153</v>
      </c>
      <c r="G118">
        <v>2013</v>
      </c>
      <c r="H118">
        <v>1999013</v>
      </c>
    </row>
    <row r="119" spans="2:8">
      <c r="B119">
        <v>2012035</v>
      </c>
      <c r="C119" t="s">
        <v>9154</v>
      </c>
      <c r="G119">
        <v>2013</v>
      </c>
      <c r="H119">
        <v>1999013</v>
      </c>
    </row>
    <row r="120" spans="2:8">
      <c r="B120">
        <v>1996171</v>
      </c>
      <c r="C120" t="s">
        <v>9155</v>
      </c>
      <c r="G120">
        <v>2013</v>
      </c>
      <c r="H120">
        <v>1999013</v>
      </c>
    </row>
    <row r="121" spans="2:8">
      <c r="B121">
        <v>1984102</v>
      </c>
      <c r="C121" t="s">
        <v>9156</v>
      </c>
      <c r="G121">
        <v>2013</v>
      </c>
      <c r="H121">
        <v>1999022</v>
      </c>
    </row>
    <row r="122" spans="2:8">
      <c r="B122">
        <v>2011021</v>
      </c>
      <c r="C122" t="s">
        <v>9157</v>
      </c>
      <c r="G122">
        <v>2013</v>
      </c>
      <c r="H122">
        <v>1999022</v>
      </c>
    </row>
    <row r="123" spans="2:8">
      <c r="B123">
        <v>2011035</v>
      </c>
      <c r="C123" t="s">
        <v>9158</v>
      </c>
      <c r="G123">
        <v>2013</v>
      </c>
      <c r="H123">
        <v>1999022</v>
      </c>
    </row>
    <row r="124" spans="2:8">
      <c r="B124">
        <v>2012006</v>
      </c>
      <c r="C124" t="s">
        <v>9159</v>
      </c>
      <c r="G124">
        <v>2013</v>
      </c>
      <c r="H124">
        <v>1999022</v>
      </c>
    </row>
    <row r="125" spans="2:8">
      <c r="B125">
        <v>1993078</v>
      </c>
      <c r="C125" t="s">
        <v>9160</v>
      </c>
      <c r="G125">
        <v>2013</v>
      </c>
      <c r="H125">
        <v>1999058</v>
      </c>
    </row>
    <row r="126" spans="2:8">
      <c r="B126">
        <v>1999010</v>
      </c>
      <c r="C126" t="s">
        <v>9161</v>
      </c>
      <c r="G126">
        <v>2013</v>
      </c>
      <c r="H126">
        <v>1999058</v>
      </c>
    </row>
    <row r="127" spans="2:8">
      <c r="B127">
        <v>2012015</v>
      </c>
      <c r="C127" t="s">
        <v>9162</v>
      </c>
      <c r="G127">
        <v>2013</v>
      </c>
      <c r="H127">
        <v>1999058</v>
      </c>
    </row>
    <row r="128" spans="2:8">
      <c r="B128">
        <v>2011037</v>
      </c>
      <c r="C128" t="s">
        <v>9163</v>
      </c>
      <c r="G128">
        <v>2013</v>
      </c>
      <c r="H128">
        <v>1999058</v>
      </c>
    </row>
    <row r="129" spans="2:8">
      <c r="B129">
        <v>2012019</v>
      </c>
      <c r="C129" t="s">
        <v>9164</v>
      </c>
      <c r="G129">
        <v>2013</v>
      </c>
      <c r="H129">
        <v>2000049</v>
      </c>
    </row>
    <row r="130" spans="2:8">
      <c r="B130">
        <v>1987158</v>
      </c>
      <c r="C130" t="s">
        <v>9165</v>
      </c>
      <c r="G130">
        <v>2013</v>
      </c>
      <c r="H130">
        <v>2001015</v>
      </c>
    </row>
    <row r="131" spans="2:8">
      <c r="B131">
        <v>2009004</v>
      </c>
      <c r="C131" t="s">
        <v>9166</v>
      </c>
      <c r="G131">
        <v>2013</v>
      </c>
      <c r="H131">
        <v>2001018</v>
      </c>
    </row>
    <row r="132" spans="2:8">
      <c r="B132">
        <v>2000027</v>
      </c>
      <c r="C132" t="s">
        <v>9167</v>
      </c>
      <c r="G132">
        <v>2013</v>
      </c>
      <c r="H132">
        <v>2001018</v>
      </c>
    </row>
    <row r="133" spans="2:8">
      <c r="B133">
        <v>1996078</v>
      </c>
      <c r="C133" t="s">
        <v>9168</v>
      </c>
      <c r="G133">
        <v>2013</v>
      </c>
      <c r="H133">
        <v>2001030</v>
      </c>
    </row>
    <row r="134" spans="2:8">
      <c r="B134">
        <v>1981066</v>
      </c>
      <c r="C134" t="s">
        <v>9169</v>
      </c>
      <c r="G134">
        <v>2013</v>
      </c>
      <c r="H134">
        <v>2001030</v>
      </c>
    </row>
    <row r="135" spans="2:8">
      <c r="B135">
        <v>2000030</v>
      </c>
      <c r="C135" t="s">
        <v>9170</v>
      </c>
      <c r="G135">
        <v>2013</v>
      </c>
      <c r="H135">
        <v>2001034</v>
      </c>
    </row>
    <row r="136" spans="2:8">
      <c r="B136">
        <v>2000031</v>
      </c>
      <c r="C136" t="s">
        <v>9171</v>
      </c>
      <c r="G136">
        <v>2013</v>
      </c>
      <c r="H136">
        <v>2002020</v>
      </c>
    </row>
    <row r="137" spans="2:8">
      <c r="B137">
        <v>2011039</v>
      </c>
      <c r="C137" t="s">
        <v>9172</v>
      </c>
      <c r="G137">
        <v>2013</v>
      </c>
      <c r="H137">
        <v>2006018</v>
      </c>
    </row>
    <row r="138" spans="2:8">
      <c r="B138">
        <v>1999006</v>
      </c>
      <c r="C138" t="s">
        <v>9173</v>
      </c>
      <c r="G138">
        <v>2013</v>
      </c>
      <c r="H138">
        <v>2006018</v>
      </c>
    </row>
    <row r="139" spans="2:8">
      <c r="B139">
        <v>1999027</v>
      </c>
      <c r="C139" t="s">
        <v>9174</v>
      </c>
      <c r="G139">
        <v>2013</v>
      </c>
      <c r="H139">
        <v>2006018</v>
      </c>
    </row>
    <row r="140" spans="2:8">
      <c r="B140">
        <v>1999016</v>
      </c>
      <c r="C140" t="s">
        <v>9175</v>
      </c>
      <c r="G140">
        <v>2013</v>
      </c>
      <c r="H140">
        <v>2006018</v>
      </c>
    </row>
    <row r="141" spans="2:8">
      <c r="B141">
        <v>2009005</v>
      </c>
      <c r="C141" t="s">
        <v>9176</v>
      </c>
      <c r="G141">
        <v>2013</v>
      </c>
      <c r="H141">
        <v>2006018</v>
      </c>
    </row>
    <row r="142" spans="2:8">
      <c r="B142">
        <v>2011041</v>
      </c>
      <c r="C142" t="s">
        <v>9177</v>
      </c>
      <c r="G142">
        <v>2013</v>
      </c>
      <c r="H142">
        <v>2006018</v>
      </c>
    </row>
    <row r="143" spans="2:8">
      <c r="B143">
        <v>2000022</v>
      </c>
      <c r="C143" t="s">
        <v>9178</v>
      </c>
      <c r="G143">
        <v>2013</v>
      </c>
      <c r="H143">
        <v>2006018</v>
      </c>
    </row>
    <row r="144" spans="2:8">
      <c r="B144">
        <v>2000023</v>
      </c>
      <c r="C144" t="s">
        <v>9179</v>
      </c>
      <c r="G144">
        <v>2013</v>
      </c>
      <c r="H144">
        <v>2006018</v>
      </c>
    </row>
    <row r="145" spans="2:8">
      <c r="B145">
        <v>1980071</v>
      </c>
      <c r="C145" t="s">
        <v>9180</v>
      </c>
      <c r="G145">
        <v>2013</v>
      </c>
      <c r="H145">
        <v>2006018</v>
      </c>
    </row>
    <row r="146" spans="2:8">
      <c r="B146">
        <v>2011010</v>
      </c>
      <c r="C146" t="s">
        <v>9181</v>
      </c>
      <c r="G146">
        <v>2013</v>
      </c>
      <c r="H146">
        <v>2006018</v>
      </c>
    </row>
    <row r="147" spans="2:8">
      <c r="B147">
        <v>2000001</v>
      </c>
      <c r="C147" t="s">
        <v>9182</v>
      </c>
      <c r="G147">
        <v>2013</v>
      </c>
      <c r="H147">
        <v>2008022</v>
      </c>
    </row>
    <row r="148" spans="2:8">
      <c r="B148">
        <v>1988111</v>
      </c>
      <c r="C148" t="s">
        <v>9183</v>
      </c>
      <c r="G148">
        <v>2013</v>
      </c>
      <c r="H148">
        <v>2008022</v>
      </c>
    </row>
    <row r="149" spans="2:8">
      <c r="B149">
        <v>2011014</v>
      </c>
      <c r="C149" t="s">
        <v>9184</v>
      </c>
      <c r="G149">
        <v>2013</v>
      </c>
      <c r="H149">
        <v>2008022</v>
      </c>
    </row>
    <row r="150" spans="2:8">
      <c r="B150">
        <v>1999060</v>
      </c>
      <c r="C150" t="s">
        <v>9185</v>
      </c>
      <c r="G150">
        <v>2013</v>
      </c>
      <c r="H150">
        <v>2008022</v>
      </c>
    </row>
    <row r="151" spans="2:8">
      <c r="B151">
        <v>1999057</v>
      </c>
      <c r="C151" t="s">
        <v>9186</v>
      </c>
    </row>
    <row r="152" spans="2:8">
      <c r="B152">
        <v>1999056</v>
      </c>
      <c r="C152" t="s">
        <v>9187</v>
      </c>
    </row>
    <row r="153" spans="2:8">
      <c r="B153">
        <v>1999018</v>
      </c>
      <c r="C153" t="s">
        <v>9188</v>
      </c>
    </row>
    <row r="154" spans="2:8">
      <c r="B154">
        <v>1999051</v>
      </c>
      <c r="C154" t="s">
        <v>9189</v>
      </c>
    </row>
    <row r="155" spans="2:8">
      <c r="B155">
        <v>2000002</v>
      </c>
      <c r="C155" t="s">
        <v>9190</v>
      </c>
    </row>
    <row r="156" spans="2:8">
      <c r="B156">
        <v>2000016</v>
      </c>
      <c r="C156" t="s">
        <v>9191</v>
      </c>
    </row>
    <row r="157" spans="2:8">
      <c r="B157">
        <v>2009007</v>
      </c>
      <c r="C157" t="s">
        <v>9192</v>
      </c>
    </row>
    <row r="158" spans="2:8">
      <c r="B158">
        <v>2000069</v>
      </c>
      <c r="C158" t="s">
        <v>9193</v>
      </c>
    </row>
    <row r="159" spans="2:8">
      <c r="B159">
        <v>1997110</v>
      </c>
      <c r="C159" t="s">
        <v>9194</v>
      </c>
    </row>
    <row r="160" spans="2:8">
      <c r="B160">
        <v>2000005</v>
      </c>
      <c r="C160" t="s">
        <v>9195</v>
      </c>
    </row>
    <row r="161" spans="2:3">
      <c r="B161">
        <v>2012018</v>
      </c>
      <c r="C161" t="s">
        <v>9196</v>
      </c>
    </row>
    <row r="162" spans="2:3">
      <c r="B162">
        <v>1983120</v>
      </c>
      <c r="C162" t="s">
        <v>9197</v>
      </c>
    </row>
    <row r="163" spans="2:3">
      <c r="B163">
        <v>1992050</v>
      </c>
      <c r="C163" t="s">
        <v>9198</v>
      </c>
    </row>
    <row r="164" spans="2:3">
      <c r="B164">
        <v>1993006</v>
      </c>
      <c r="C164" t="s">
        <v>9199</v>
      </c>
    </row>
    <row r="165" spans="2:3">
      <c r="B165">
        <v>2012026</v>
      </c>
      <c r="C165" t="s">
        <v>9200</v>
      </c>
    </row>
    <row r="166" spans="2:3">
      <c r="B166">
        <v>1992108</v>
      </c>
      <c r="C166" t="s">
        <v>9201</v>
      </c>
    </row>
    <row r="167" spans="2:3">
      <c r="B167">
        <v>1989005</v>
      </c>
      <c r="C167" t="s">
        <v>9202</v>
      </c>
    </row>
    <row r="168" spans="2:3">
      <c r="B168">
        <v>1981102</v>
      </c>
      <c r="C168" t="s">
        <v>9203</v>
      </c>
    </row>
    <row r="169" spans="2:3">
      <c r="B169">
        <v>1991158</v>
      </c>
      <c r="C169" t="s">
        <v>9204</v>
      </c>
    </row>
    <row r="170" spans="2:3">
      <c r="B170">
        <v>2000093</v>
      </c>
      <c r="C170" t="s">
        <v>9205</v>
      </c>
    </row>
    <row r="171" spans="2:3">
      <c r="B171">
        <v>2000110</v>
      </c>
      <c r="C171" t="s">
        <v>9206</v>
      </c>
    </row>
    <row r="172" spans="2:3">
      <c r="B172">
        <v>1992115</v>
      </c>
      <c r="C172" t="s">
        <v>9207</v>
      </c>
    </row>
    <row r="173" spans="2:3">
      <c r="B173">
        <v>1980115</v>
      </c>
      <c r="C173" t="s">
        <v>9208</v>
      </c>
    </row>
    <row r="174" spans="2:3">
      <c r="B174">
        <v>1992143</v>
      </c>
      <c r="C174" t="s">
        <v>9209</v>
      </c>
    </row>
    <row r="175" spans="2:3">
      <c r="B175">
        <v>1981203</v>
      </c>
      <c r="C175" t="s">
        <v>9210</v>
      </c>
    </row>
    <row r="176" spans="2:3">
      <c r="B176">
        <v>1992097</v>
      </c>
      <c r="C176" t="s">
        <v>9211</v>
      </c>
    </row>
    <row r="177" spans="2:3">
      <c r="B177">
        <v>1990084</v>
      </c>
      <c r="C177" t="s">
        <v>9212</v>
      </c>
    </row>
    <row r="178" spans="2:3">
      <c r="B178">
        <v>1980110</v>
      </c>
      <c r="C178" t="s">
        <v>9213</v>
      </c>
    </row>
    <row r="179" spans="2:3">
      <c r="B179">
        <v>2011005</v>
      </c>
      <c r="C179" t="s">
        <v>9214</v>
      </c>
    </row>
    <row r="180" spans="2:3">
      <c r="B180">
        <v>1991103</v>
      </c>
      <c r="C180" t="s">
        <v>9215</v>
      </c>
    </row>
    <row r="181" spans="2:3">
      <c r="B181">
        <v>1994056</v>
      </c>
      <c r="C181" t="s">
        <v>9216</v>
      </c>
    </row>
    <row r="182" spans="2:3">
      <c r="B182">
        <v>1994107</v>
      </c>
      <c r="C182" t="s">
        <v>9217</v>
      </c>
    </row>
    <row r="183" spans="2:3">
      <c r="B183">
        <v>1994061</v>
      </c>
      <c r="C183" t="s">
        <v>9218</v>
      </c>
    </row>
    <row r="184" spans="2:3">
      <c r="B184">
        <v>2011015</v>
      </c>
      <c r="C184" t="s">
        <v>9219</v>
      </c>
    </row>
    <row r="185" spans="2:3">
      <c r="B185">
        <v>1990046</v>
      </c>
      <c r="C185" t="s">
        <v>9220</v>
      </c>
    </row>
    <row r="186" spans="2:3">
      <c r="B186">
        <v>2001124</v>
      </c>
      <c r="C186" t="s">
        <v>9221</v>
      </c>
    </row>
    <row r="187" spans="2:3">
      <c r="B187">
        <v>1994100</v>
      </c>
      <c r="C187" t="s">
        <v>9222</v>
      </c>
    </row>
    <row r="188" spans="2:3">
      <c r="B188">
        <v>1993009</v>
      </c>
      <c r="C188" t="s">
        <v>9223</v>
      </c>
    </row>
    <row r="189" spans="2:3">
      <c r="B189">
        <v>1991085</v>
      </c>
      <c r="C189" t="s">
        <v>9224</v>
      </c>
    </row>
    <row r="190" spans="2:3">
      <c r="B190">
        <v>1985039</v>
      </c>
      <c r="C190" t="s">
        <v>9225</v>
      </c>
    </row>
    <row r="191" spans="2:3">
      <c r="B191">
        <v>1983137</v>
      </c>
      <c r="C191" t="s">
        <v>9226</v>
      </c>
    </row>
    <row r="192" spans="2:3">
      <c r="B192">
        <v>1993003</v>
      </c>
      <c r="C192" t="s">
        <v>9227</v>
      </c>
    </row>
    <row r="193" spans="2:3">
      <c r="B193">
        <v>2012013</v>
      </c>
      <c r="C193" t="s">
        <v>9228</v>
      </c>
    </row>
    <row r="194" spans="2:3">
      <c r="B194">
        <v>1993106</v>
      </c>
      <c r="C194" t="s">
        <v>9229</v>
      </c>
    </row>
    <row r="195" spans="2:3">
      <c r="B195">
        <v>1996113</v>
      </c>
      <c r="C195" t="s">
        <v>9230</v>
      </c>
    </row>
    <row r="196" spans="2:3">
      <c r="B196">
        <v>1986023</v>
      </c>
      <c r="C196" t="s">
        <v>9074</v>
      </c>
    </row>
    <row r="197" spans="2:3">
      <c r="B197">
        <v>1987103</v>
      </c>
      <c r="C197" t="s">
        <v>9231</v>
      </c>
    </row>
    <row r="198" spans="2:3">
      <c r="B198">
        <v>1993019</v>
      </c>
      <c r="C198" t="s">
        <v>9232</v>
      </c>
    </row>
    <row r="199" spans="2:3">
      <c r="B199">
        <v>2011006</v>
      </c>
      <c r="C199" t="s">
        <v>9233</v>
      </c>
    </row>
    <row r="200" spans="2:3">
      <c r="B200">
        <v>1998037</v>
      </c>
      <c r="C200" t="s">
        <v>9234</v>
      </c>
    </row>
    <row r="201" spans="2:3">
      <c r="B201">
        <v>1998038</v>
      </c>
      <c r="C201" t="s">
        <v>9235</v>
      </c>
    </row>
    <row r="202" spans="2:3">
      <c r="B202">
        <v>2011030</v>
      </c>
      <c r="C202" t="s">
        <v>9236</v>
      </c>
    </row>
    <row r="203" spans="2:3">
      <c r="B203">
        <v>1993090</v>
      </c>
      <c r="C203" t="s">
        <v>9237</v>
      </c>
    </row>
    <row r="204" spans="2:3">
      <c r="B204">
        <v>1989001</v>
      </c>
      <c r="C204" t="s">
        <v>9238</v>
      </c>
    </row>
    <row r="205" spans="2:3">
      <c r="B205">
        <v>2011052</v>
      </c>
      <c r="C205" t="s">
        <v>9239</v>
      </c>
    </row>
    <row r="206" spans="2:3">
      <c r="B206">
        <v>1988035</v>
      </c>
      <c r="C206" t="s">
        <v>9240</v>
      </c>
    </row>
    <row r="207" spans="2:3">
      <c r="B207">
        <v>2000087</v>
      </c>
      <c r="C207" t="s">
        <v>9241</v>
      </c>
    </row>
    <row r="208" spans="2:3">
      <c r="B208">
        <v>2012027</v>
      </c>
      <c r="C208" t="s">
        <v>9242</v>
      </c>
    </row>
    <row r="209" spans="2:3">
      <c r="B209">
        <v>1986065</v>
      </c>
      <c r="C209" t="s">
        <v>9243</v>
      </c>
    </row>
    <row r="210" spans="2:3">
      <c r="B210">
        <v>1992071</v>
      </c>
      <c r="C210" t="s">
        <v>9244</v>
      </c>
    </row>
    <row r="211" spans="2:3">
      <c r="B211">
        <v>1996170</v>
      </c>
      <c r="C211" t="s">
        <v>9245</v>
      </c>
    </row>
    <row r="212" spans="2:3">
      <c r="B212">
        <v>1993010</v>
      </c>
      <c r="C212" t="s">
        <v>9246</v>
      </c>
    </row>
    <row r="213" spans="2:3">
      <c r="B213">
        <v>1991083</v>
      </c>
      <c r="C213" t="s">
        <v>9247</v>
      </c>
    </row>
    <row r="214" spans="2:3">
      <c r="B214">
        <v>1992070</v>
      </c>
      <c r="C214" t="s">
        <v>9248</v>
      </c>
    </row>
    <row r="215" spans="2:3">
      <c r="B215">
        <v>1979053</v>
      </c>
      <c r="C215" t="s">
        <v>9249</v>
      </c>
    </row>
    <row r="216" spans="2:3">
      <c r="B216">
        <v>1993011</v>
      </c>
      <c r="C216" t="s">
        <v>9250</v>
      </c>
    </row>
    <row r="217" spans="2:3">
      <c r="B217">
        <v>1996007</v>
      </c>
      <c r="C217" t="s">
        <v>9251</v>
      </c>
    </row>
    <row r="218" spans="2:3">
      <c r="B218">
        <v>1996075</v>
      </c>
      <c r="C218" t="s">
        <v>9252</v>
      </c>
    </row>
    <row r="219" spans="2:3">
      <c r="B219">
        <v>1992002</v>
      </c>
      <c r="C219" t="s">
        <v>9253</v>
      </c>
    </row>
    <row r="220" spans="2:3">
      <c r="B220">
        <v>1992149</v>
      </c>
      <c r="C220" t="s">
        <v>9254</v>
      </c>
    </row>
    <row r="221" spans="2:3">
      <c r="B221">
        <v>2012030</v>
      </c>
      <c r="C221" t="s">
        <v>9255</v>
      </c>
    </row>
    <row r="222" spans="2:3">
      <c r="B222">
        <v>1987031</v>
      </c>
      <c r="C222" t="s">
        <v>9256</v>
      </c>
    </row>
    <row r="223" spans="2:3">
      <c r="B223">
        <v>1980075</v>
      </c>
      <c r="C223" t="s">
        <v>9257</v>
      </c>
    </row>
    <row r="224" spans="2:3">
      <c r="B224">
        <v>1992036</v>
      </c>
      <c r="C224" t="s">
        <v>9258</v>
      </c>
    </row>
    <row r="225" spans="2:3">
      <c r="B225">
        <v>1997130</v>
      </c>
      <c r="C225" t="s">
        <v>9259</v>
      </c>
    </row>
    <row r="226" spans="2:3">
      <c r="B226">
        <v>2001090</v>
      </c>
      <c r="C226" t="s">
        <v>9260</v>
      </c>
    </row>
    <row r="227" spans="2:3">
      <c r="B227">
        <v>2001091</v>
      </c>
      <c r="C227" t="s">
        <v>9261</v>
      </c>
    </row>
    <row r="228" spans="2:3">
      <c r="B228">
        <v>2001002</v>
      </c>
      <c r="C228" t="s">
        <v>9262</v>
      </c>
    </row>
    <row r="229" spans="2:3">
      <c r="B229">
        <v>2000062</v>
      </c>
      <c r="C229" t="s">
        <v>9263</v>
      </c>
    </row>
    <row r="230" spans="2:3">
      <c r="B230">
        <v>1991105</v>
      </c>
      <c r="C230" t="s">
        <v>9264</v>
      </c>
    </row>
    <row r="231" spans="2:3">
      <c r="B231">
        <v>1991205</v>
      </c>
      <c r="C231" t="s">
        <v>9265</v>
      </c>
    </row>
    <row r="232" spans="2:3">
      <c r="B232">
        <v>1991120</v>
      </c>
      <c r="C232" t="s">
        <v>9266</v>
      </c>
    </row>
    <row r="233" spans="2:3">
      <c r="B233">
        <v>2001004</v>
      </c>
      <c r="C233" t="s">
        <v>9267</v>
      </c>
    </row>
    <row r="234" spans="2:3">
      <c r="B234">
        <v>2001005</v>
      </c>
      <c r="C234" t="s">
        <v>9268</v>
      </c>
    </row>
    <row r="235" spans="2:3">
      <c r="B235">
        <v>1987166</v>
      </c>
      <c r="C235" t="s">
        <v>9269</v>
      </c>
    </row>
    <row r="236" spans="2:3">
      <c r="B236">
        <v>2000076</v>
      </c>
      <c r="C236" t="s">
        <v>9270</v>
      </c>
    </row>
    <row r="237" spans="2:3">
      <c r="B237">
        <v>2010001</v>
      </c>
      <c r="C237" t="s">
        <v>9271</v>
      </c>
    </row>
    <row r="238" spans="2:3">
      <c r="B238">
        <v>1981138</v>
      </c>
      <c r="C238" t="s">
        <v>9272</v>
      </c>
    </row>
    <row r="239" spans="2:3">
      <c r="B239">
        <v>2002027</v>
      </c>
      <c r="C239" t="s">
        <v>9273</v>
      </c>
    </row>
    <row r="240" spans="2:3">
      <c r="B240">
        <v>1996175</v>
      </c>
      <c r="C240" t="s">
        <v>9274</v>
      </c>
    </row>
    <row r="241" spans="2:3">
      <c r="B241">
        <v>1991011</v>
      </c>
      <c r="C241" t="s">
        <v>9275</v>
      </c>
    </row>
    <row r="242" spans="2:3">
      <c r="B242">
        <v>2002026</v>
      </c>
      <c r="C242" t="s">
        <v>9276</v>
      </c>
    </row>
    <row r="243" spans="2:3">
      <c r="B243">
        <v>1987023</v>
      </c>
      <c r="C243" t="s">
        <v>9277</v>
      </c>
    </row>
    <row r="244" spans="2:3">
      <c r="B244">
        <v>1983062</v>
      </c>
      <c r="C244" t="s">
        <v>9278</v>
      </c>
    </row>
    <row r="245" spans="2:3">
      <c r="B245">
        <v>2009008</v>
      </c>
      <c r="C245" t="s">
        <v>9279</v>
      </c>
    </row>
    <row r="246" spans="2:3">
      <c r="B246">
        <v>1994064</v>
      </c>
      <c r="C246" t="s">
        <v>9280</v>
      </c>
    </row>
    <row r="247" spans="2:3">
      <c r="B247">
        <v>2012017</v>
      </c>
      <c r="C247" t="s">
        <v>9281</v>
      </c>
    </row>
    <row r="248" spans="2:3">
      <c r="B248">
        <v>2001020</v>
      </c>
      <c r="C248" t="s">
        <v>9282</v>
      </c>
    </row>
    <row r="249" spans="2:3">
      <c r="B249">
        <v>2001021</v>
      </c>
      <c r="C249" t="s">
        <v>9283</v>
      </c>
    </row>
    <row r="250" spans="2:3">
      <c r="B250">
        <v>1990069</v>
      </c>
      <c r="C250" t="s">
        <v>9284</v>
      </c>
    </row>
    <row r="251" spans="2:3">
      <c r="B251">
        <v>2011001</v>
      </c>
      <c r="C251" t="s">
        <v>9285</v>
      </c>
    </row>
    <row r="252" spans="2:3">
      <c r="B252">
        <v>1979199</v>
      </c>
      <c r="C252" t="s">
        <v>9286</v>
      </c>
    </row>
    <row r="253" spans="2:3">
      <c r="B253">
        <v>2000119</v>
      </c>
      <c r="C253" t="s">
        <v>9287</v>
      </c>
    </row>
    <row r="254" spans="2:3">
      <c r="B254">
        <v>1990031</v>
      </c>
      <c r="C254" t="s">
        <v>9288</v>
      </c>
    </row>
    <row r="255" spans="2:3">
      <c r="B255">
        <v>1987008</v>
      </c>
      <c r="C255" t="s">
        <v>9289</v>
      </c>
    </row>
    <row r="256" spans="2:3">
      <c r="B256">
        <v>2011016</v>
      </c>
      <c r="C256" t="s">
        <v>9290</v>
      </c>
    </row>
    <row r="257" spans="2:3">
      <c r="B257">
        <v>2011009</v>
      </c>
      <c r="C257" t="s">
        <v>9291</v>
      </c>
    </row>
    <row r="258" spans="2:3">
      <c r="B258">
        <v>1994054</v>
      </c>
      <c r="C258" t="s">
        <v>9292</v>
      </c>
    </row>
    <row r="259" spans="2:3">
      <c r="B259">
        <v>1994055</v>
      </c>
      <c r="C259" t="s">
        <v>9293</v>
      </c>
    </row>
    <row r="260" spans="2:3">
      <c r="B260">
        <v>1997031</v>
      </c>
      <c r="C260" t="s">
        <v>9294</v>
      </c>
    </row>
    <row r="261" spans="2:3">
      <c r="B261">
        <v>2009013</v>
      </c>
      <c r="C261" t="s">
        <v>9295</v>
      </c>
    </row>
    <row r="262" spans="2:3">
      <c r="B262">
        <v>1982099</v>
      </c>
      <c r="C262" t="s">
        <v>9296</v>
      </c>
    </row>
    <row r="263" spans="2:3">
      <c r="B263">
        <v>1996081</v>
      </c>
      <c r="C263" t="s">
        <v>9297</v>
      </c>
    </row>
    <row r="264" spans="2:3">
      <c r="B264">
        <v>1990056</v>
      </c>
      <c r="C264" t="s">
        <v>9298</v>
      </c>
    </row>
    <row r="265" spans="2:3">
      <c r="B265">
        <v>1985008</v>
      </c>
      <c r="C265" t="s">
        <v>9299</v>
      </c>
    </row>
    <row r="266" spans="2:3">
      <c r="B266">
        <v>1991177</v>
      </c>
      <c r="C266" t="s">
        <v>9300</v>
      </c>
    </row>
    <row r="267" spans="2:3">
      <c r="B267">
        <v>1980180</v>
      </c>
      <c r="C267" t="s">
        <v>9301</v>
      </c>
    </row>
    <row r="268" spans="2:3">
      <c r="B268">
        <v>2000049</v>
      </c>
      <c r="C268" t="s">
        <v>9302</v>
      </c>
    </row>
    <row r="269" spans="2:3">
      <c r="B269">
        <v>1996020</v>
      </c>
      <c r="C269" t="s">
        <v>9303</v>
      </c>
    </row>
    <row r="270" spans="2:3">
      <c r="B270">
        <v>1980124</v>
      </c>
      <c r="C270" t="s">
        <v>9304</v>
      </c>
    </row>
    <row r="271" spans="2:3">
      <c r="B271">
        <v>1990003</v>
      </c>
      <c r="C271" t="s">
        <v>9305</v>
      </c>
    </row>
    <row r="272" spans="2:3">
      <c r="B272">
        <v>2002018</v>
      </c>
      <c r="C272" t="s">
        <v>9306</v>
      </c>
    </row>
    <row r="273" spans="2:3">
      <c r="B273">
        <v>2000047</v>
      </c>
      <c r="C273" t="s">
        <v>9307</v>
      </c>
    </row>
    <row r="274" spans="2:3">
      <c r="B274">
        <v>2000050</v>
      </c>
      <c r="C274" t="s">
        <v>9308</v>
      </c>
    </row>
    <row r="275" spans="2:3">
      <c r="B275">
        <v>2000052</v>
      </c>
      <c r="C275" t="s">
        <v>9309</v>
      </c>
    </row>
    <row r="276" spans="2:3">
      <c r="B276">
        <v>1997051</v>
      </c>
      <c r="C276" t="s">
        <v>9310</v>
      </c>
    </row>
    <row r="277" spans="2:3">
      <c r="B277">
        <v>1991027</v>
      </c>
      <c r="C277" t="s">
        <v>9311</v>
      </c>
    </row>
    <row r="278" spans="2:3">
      <c r="B278">
        <v>1992154</v>
      </c>
      <c r="C278" t="s">
        <v>9312</v>
      </c>
    </row>
    <row r="279" spans="2:3">
      <c r="B279">
        <v>2000053</v>
      </c>
      <c r="C279" t="s">
        <v>9313</v>
      </c>
    </row>
    <row r="280" spans="2:3">
      <c r="B280">
        <v>1992114</v>
      </c>
      <c r="C280" t="s">
        <v>9314</v>
      </c>
    </row>
    <row r="281" spans="2:3">
      <c r="B281">
        <v>1979114</v>
      </c>
      <c r="C281" t="s">
        <v>9315</v>
      </c>
    </row>
    <row r="282" spans="2:3">
      <c r="B282">
        <v>1995005</v>
      </c>
      <c r="C282" t="s">
        <v>9316</v>
      </c>
    </row>
    <row r="283" spans="2:3">
      <c r="B283">
        <v>2011028</v>
      </c>
      <c r="C283" t="s">
        <v>9317</v>
      </c>
    </row>
    <row r="284" spans="2:3">
      <c r="B284">
        <v>1995009</v>
      </c>
      <c r="C284" t="s">
        <v>9086</v>
      </c>
    </row>
    <row r="285" spans="2:3">
      <c r="B285">
        <v>2000074</v>
      </c>
      <c r="C285" t="s">
        <v>9318</v>
      </c>
    </row>
    <row r="286" spans="2:3">
      <c r="B286">
        <v>2000075</v>
      </c>
      <c r="C286" t="s">
        <v>9319</v>
      </c>
    </row>
    <row r="287" spans="2:3">
      <c r="B287">
        <v>1990052</v>
      </c>
      <c r="C287" t="s">
        <v>9320</v>
      </c>
    </row>
    <row r="288" spans="2:3">
      <c r="B288">
        <v>2000081</v>
      </c>
      <c r="C288" t="s">
        <v>9321</v>
      </c>
    </row>
    <row r="289" spans="2:3">
      <c r="B289">
        <v>2000083</v>
      </c>
      <c r="C289" t="s">
        <v>9322</v>
      </c>
    </row>
    <row r="290" spans="2:3">
      <c r="B290">
        <v>2000085</v>
      </c>
      <c r="C290" t="s">
        <v>9323</v>
      </c>
    </row>
    <row r="291" spans="2:3">
      <c r="B291">
        <v>2000088</v>
      </c>
      <c r="C291" t="s">
        <v>9324</v>
      </c>
    </row>
    <row r="292" spans="2:3">
      <c r="B292">
        <v>2000078</v>
      </c>
      <c r="C292" t="s">
        <v>9325</v>
      </c>
    </row>
    <row r="293" spans="2:3">
      <c r="B293">
        <v>2000079</v>
      </c>
      <c r="C293" t="s">
        <v>9326</v>
      </c>
    </row>
    <row r="294" spans="2:3">
      <c r="B294">
        <v>1985037</v>
      </c>
      <c r="C294" t="s">
        <v>9327</v>
      </c>
    </row>
    <row r="295" spans="2:3">
      <c r="B295">
        <v>2012032</v>
      </c>
      <c r="C295" t="s">
        <v>9328</v>
      </c>
    </row>
    <row r="296" spans="2:3">
      <c r="B296">
        <v>1995102</v>
      </c>
      <c r="C296" t="s">
        <v>9329</v>
      </c>
    </row>
    <row r="297" spans="2:3">
      <c r="B297">
        <v>2000080</v>
      </c>
      <c r="C297" t="s">
        <v>9330</v>
      </c>
    </row>
    <row r="298" spans="2:3">
      <c r="B298">
        <v>1992025</v>
      </c>
      <c r="C298" t="s">
        <v>9331</v>
      </c>
    </row>
    <row r="299" spans="2:3">
      <c r="B299">
        <v>1983072</v>
      </c>
      <c r="C299" t="s">
        <v>9332</v>
      </c>
    </row>
    <row r="300" spans="2:3">
      <c r="B300">
        <v>1994044</v>
      </c>
      <c r="C300" t="s">
        <v>9333</v>
      </c>
    </row>
    <row r="301" spans="2:3">
      <c r="B301">
        <v>1997138</v>
      </c>
      <c r="C301" t="s">
        <v>9334</v>
      </c>
    </row>
    <row r="302" spans="2:3">
      <c r="B302">
        <v>1981037</v>
      </c>
      <c r="C302" t="s">
        <v>9335</v>
      </c>
    </row>
    <row r="303" spans="2:3">
      <c r="B303">
        <v>1997151</v>
      </c>
      <c r="C303" t="s">
        <v>9336</v>
      </c>
    </row>
    <row r="304" spans="2:3">
      <c r="B304">
        <v>1995013</v>
      </c>
      <c r="C304" t="s">
        <v>9337</v>
      </c>
    </row>
    <row r="305" spans="2:3">
      <c r="B305">
        <v>1981025</v>
      </c>
      <c r="C305" t="s">
        <v>9338</v>
      </c>
    </row>
    <row r="306" spans="2:3">
      <c r="B306">
        <v>2001096</v>
      </c>
      <c r="C306" t="s">
        <v>9339</v>
      </c>
    </row>
    <row r="307" spans="2:3">
      <c r="B307">
        <v>1989076</v>
      </c>
      <c r="C307" t="s">
        <v>9340</v>
      </c>
    </row>
    <row r="308" spans="2:3">
      <c r="B308">
        <v>2002030</v>
      </c>
      <c r="C308" t="s">
        <v>9341</v>
      </c>
    </row>
    <row r="309" spans="2:3">
      <c r="B309">
        <v>2002031</v>
      </c>
      <c r="C309" t="s">
        <v>9342</v>
      </c>
    </row>
    <row r="310" spans="2:3">
      <c r="B310">
        <v>1984093</v>
      </c>
      <c r="C310" t="s">
        <v>9343</v>
      </c>
    </row>
    <row r="311" spans="2:3">
      <c r="B311">
        <v>1989035</v>
      </c>
      <c r="C311" t="s">
        <v>9344</v>
      </c>
    </row>
    <row r="312" spans="2:3">
      <c r="B312">
        <v>1989031</v>
      </c>
      <c r="C312" t="s">
        <v>9345</v>
      </c>
    </row>
    <row r="313" spans="2:3">
      <c r="B313">
        <v>1981070</v>
      </c>
      <c r="C313" t="s">
        <v>9346</v>
      </c>
    </row>
    <row r="314" spans="2:3">
      <c r="B314">
        <v>1995098</v>
      </c>
      <c r="C314" t="s">
        <v>9347</v>
      </c>
    </row>
    <row r="315" spans="2:3">
      <c r="B315">
        <v>1987164</v>
      </c>
      <c r="C315" t="s">
        <v>9348</v>
      </c>
    </row>
    <row r="316" spans="2:3">
      <c r="B316">
        <v>1989052</v>
      </c>
      <c r="C316" t="s">
        <v>9349</v>
      </c>
    </row>
    <row r="317" spans="2:3">
      <c r="B317">
        <v>1984058</v>
      </c>
      <c r="C317" t="s">
        <v>9350</v>
      </c>
    </row>
    <row r="318" spans="2:3">
      <c r="B318">
        <v>1983036</v>
      </c>
      <c r="C318" t="s">
        <v>9351</v>
      </c>
    </row>
    <row r="319" spans="2:3">
      <c r="B319">
        <v>2012033</v>
      </c>
      <c r="C319" t="s">
        <v>9352</v>
      </c>
    </row>
    <row r="320" spans="2:3">
      <c r="B320">
        <v>1991203</v>
      </c>
      <c r="C320" t="s">
        <v>9353</v>
      </c>
    </row>
    <row r="321" spans="2:3">
      <c r="B321">
        <v>1990024</v>
      </c>
      <c r="C321" t="s">
        <v>9354</v>
      </c>
    </row>
    <row r="322" spans="2:3">
      <c r="B322">
        <v>1983138</v>
      </c>
      <c r="C322" t="s">
        <v>9355</v>
      </c>
    </row>
    <row r="323" spans="2:3">
      <c r="B323">
        <v>2011025</v>
      </c>
      <c r="C323" t="s">
        <v>9109</v>
      </c>
    </row>
    <row r="324" spans="2:3">
      <c r="B324">
        <v>1999025</v>
      </c>
      <c r="C324" t="s">
        <v>9356</v>
      </c>
    </row>
    <row r="325" spans="2:3">
      <c r="B325">
        <v>1991189</v>
      </c>
      <c r="C325" t="s">
        <v>9357</v>
      </c>
    </row>
    <row r="326" spans="2:3">
      <c r="B326">
        <v>2001132</v>
      </c>
      <c r="C326" t="s">
        <v>9358</v>
      </c>
    </row>
    <row r="327" spans="2:3">
      <c r="B327">
        <v>1995011</v>
      </c>
      <c r="C327" t="s">
        <v>9359</v>
      </c>
    </row>
    <row r="328" spans="2:3">
      <c r="B328">
        <v>2012004</v>
      </c>
      <c r="C328" t="s">
        <v>9360</v>
      </c>
    </row>
    <row r="329" spans="2:3">
      <c r="B329">
        <v>1999048</v>
      </c>
      <c r="C329" t="s">
        <v>9361</v>
      </c>
    </row>
    <row r="330" spans="2:3">
      <c r="B330">
        <v>1999049</v>
      </c>
      <c r="C330" t="s">
        <v>9362</v>
      </c>
    </row>
    <row r="331" spans="2:3">
      <c r="B331">
        <v>1995007</v>
      </c>
      <c r="C331" t="s">
        <v>9363</v>
      </c>
    </row>
    <row r="332" spans="2:3">
      <c r="B332">
        <v>2012010</v>
      </c>
      <c r="C332" t="s">
        <v>9364</v>
      </c>
    </row>
    <row r="333" spans="2:3">
      <c r="B333">
        <v>1994004</v>
      </c>
      <c r="C333" t="s">
        <v>9365</v>
      </c>
    </row>
    <row r="334" spans="2:3">
      <c r="B334">
        <v>1997015</v>
      </c>
      <c r="C334" t="s">
        <v>9366</v>
      </c>
    </row>
    <row r="335" spans="2:3">
      <c r="B335">
        <v>1992027</v>
      </c>
      <c r="C335" t="s">
        <v>9367</v>
      </c>
    </row>
    <row r="336" spans="2:3">
      <c r="B336">
        <v>1986022</v>
      </c>
      <c r="C336" t="s">
        <v>9368</v>
      </c>
    </row>
    <row r="337" spans="2:3">
      <c r="B337">
        <v>2011029</v>
      </c>
      <c r="C337" t="s">
        <v>9369</v>
      </c>
    </row>
    <row r="338" spans="2:3">
      <c r="B338">
        <v>2001128</v>
      </c>
      <c r="C338" t="s">
        <v>9370</v>
      </c>
    </row>
    <row r="339" spans="2:3">
      <c r="B339">
        <v>2000117</v>
      </c>
      <c r="C339" t="s">
        <v>9371</v>
      </c>
    </row>
    <row r="340" spans="2:3">
      <c r="B340">
        <v>2011056</v>
      </c>
      <c r="C340" t="s">
        <v>9372</v>
      </c>
    </row>
    <row r="341" spans="2:3">
      <c r="B341">
        <v>1994001</v>
      </c>
      <c r="C341" t="s">
        <v>9373</v>
      </c>
    </row>
    <row r="342" spans="2:3">
      <c r="B342">
        <v>1985075</v>
      </c>
      <c r="C342" t="s">
        <v>9374</v>
      </c>
    </row>
    <row r="343" spans="2:3">
      <c r="B343">
        <v>1996072</v>
      </c>
      <c r="C343" t="s">
        <v>9375</v>
      </c>
    </row>
    <row r="344" spans="2:3">
      <c r="B344">
        <v>1995088</v>
      </c>
      <c r="C344" t="s">
        <v>9376</v>
      </c>
    </row>
    <row r="345" spans="2:3">
      <c r="B345">
        <v>2011017</v>
      </c>
      <c r="C345" t="s">
        <v>9377</v>
      </c>
    </row>
    <row r="346" spans="2:3">
      <c r="B346">
        <v>1995008</v>
      </c>
      <c r="C346" t="s">
        <v>9378</v>
      </c>
    </row>
    <row r="347" spans="2:3">
      <c r="B347">
        <v>2000051</v>
      </c>
      <c r="C347" t="s">
        <v>9379</v>
      </c>
    </row>
    <row r="348" spans="2:3">
      <c r="B348">
        <v>1982151</v>
      </c>
      <c r="C348" t="s">
        <v>9380</v>
      </c>
    </row>
    <row r="349" spans="2:3">
      <c r="B349">
        <v>1993054</v>
      </c>
      <c r="C349" t="s">
        <v>9381</v>
      </c>
    </row>
    <row r="350" spans="2:3">
      <c r="B350">
        <v>2012021</v>
      </c>
      <c r="C350" t="s">
        <v>9382</v>
      </c>
    </row>
    <row r="351" spans="2:3">
      <c r="B351">
        <v>1992053</v>
      </c>
      <c r="C351" t="s">
        <v>9383</v>
      </c>
    </row>
    <row r="352" spans="2:3">
      <c r="B352">
        <v>1987100</v>
      </c>
      <c r="C352" t="s">
        <v>9384</v>
      </c>
    </row>
    <row r="353" spans="2:3">
      <c r="B353">
        <v>1994005</v>
      </c>
      <c r="C353" t="s">
        <v>9385</v>
      </c>
    </row>
    <row r="354" spans="2:3">
      <c r="B354">
        <v>2002028</v>
      </c>
      <c r="C354" t="s">
        <v>9298</v>
      </c>
    </row>
    <row r="355" spans="2:3">
      <c r="B355">
        <v>2002029</v>
      </c>
      <c r="C355" t="s">
        <v>9386</v>
      </c>
    </row>
    <row r="356" spans="2:3">
      <c r="B356">
        <v>1989074</v>
      </c>
      <c r="C356" t="s">
        <v>9387</v>
      </c>
    </row>
    <row r="357" spans="2:3">
      <c r="B357">
        <v>1996070</v>
      </c>
      <c r="C357" t="s">
        <v>9388</v>
      </c>
    </row>
    <row r="358" spans="2:3">
      <c r="B358">
        <v>1993067</v>
      </c>
      <c r="C358" t="s">
        <v>9389</v>
      </c>
    </row>
    <row r="359" spans="2:3">
      <c r="B359">
        <v>2000014</v>
      </c>
      <c r="C359" t="s">
        <v>9390</v>
      </c>
    </row>
    <row r="360" spans="2:3">
      <c r="B360">
        <v>1991196</v>
      </c>
      <c r="C360" t="s">
        <v>9391</v>
      </c>
    </row>
    <row r="361" spans="2:3">
      <c r="B361">
        <v>1994052</v>
      </c>
      <c r="C361" t="s">
        <v>9392</v>
      </c>
    </row>
    <row r="362" spans="2:3">
      <c r="B362">
        <v>2011013</v>
      </c>
      <c r="C362" t="s">
        <v>9393</v>
      </c>
    </row>
    <row r="363" spans="2:3">
      <c r="B363">
        <v>1994049</v>
      </c>
      <c r="C363" t="s">
        <v>9394</v>
      </c>
    </row>
    <row r="364" spans="2:3">
      <c r="B364">
        <v>1994089</v>
      </c>
      <c r="C364" t="s">
        <v>9395</v>
      </c>
    </row>
    <row r="365" spans="2:3">
      <c r="B365">
        <v>2002004</v>
      </c>
      <c r="C365" t="s">
        <v>9396</v>
      </c>
    </row>
    <row r="366" spans="2:3">
      <c r="B366">
        <v>2001119</v>
      </c>
      <c r="C366" t="s">
        <v>9397</v>
      </c>
    </row>
    <row r="367" spans="2:3">
      <c r="B367">
        <v>2012014</v>
      </c>
      <c r="C367" t="s">
        <v>9398</v>
      </c>
    </row>
    <row r="368" spans="2:3">
      <c r="B368">
        <v>1986018</v>
      </c>
      <c r="C368" t="s">
        <v>9399</v>
      </c>
    </row>
    <row r="369" spans="2:3">
      <c r="B369">
        <v>2001107</v>
      </c>
      <c r="C369" t="s">
        <v>9400</v>
      </c>
    </row>
    <row r="370" spans="2:3">
      <c r="B370">
        <v>1997142</v>
      </c>
      <c r="C370" t="s">
        <v>9401</v>
      </c>
    </row>
    <row r="371" spans="2:3">
      <c r="B371">
        <v>1979028</v>
      </c>
      <c r="C371" t="s">
        <v>9402</v>
      </c>
    </row>
    <row r="372" spans="2:3">
      <c r="B372">
        <v>2012020</v>
      </c>
      <c r="C372" t="s">
        <v>189</v>
      </c>
    </row>
    <row r="373" spans="2:3">
      <c r="B373">
        <v>2002003</v>
      </c>
      <c r="C373" t="s">
        <v>9403</v>
      </c>
    </row>
    <row r="374" spans="2:3">
      <c r="B374">
        <v>2002006</v>
      </c>
      <c r="C374" t="s">
        <v>9404</v>
      </c>
    </row>
    <row r="375" spans="2:3">
      <c r="B375">
        <v>2000071</v>
      </c>
      <c r="C375" t="s">
        <v>9405</v>
      </c>
    </row>
    <row r="376" spans="2:3">
      <c r="B376">
        <v>2000072</v>
      </c>
      <c r="C376" t="s">
        <v>9406</v>
      </c>
    </row>
    <row r="377" spans="2:3">
      <c r="B377">
        <v>1997140</v>
      </c>
      <c r="C377" t="s">
        <v>9407</v>
      </c>
    </row>
    <row r="378" spans="2:3">
      <c r="B378">
        <v>1997141</v>
      </c>
      <c r="C378" t="s">
        <v>9408</v>
      </c>
    </row>
    <row r="379" spans="2:3">
      <c r="B379">
        <v>2000118</v>
      </c>
      <c r="C379" t="s">
        <v>9409</v>
      </c>
    </row>
    <row r="380" spans="2:3">
      <c r="B380">
        <v>2000120</v>
      </c>
      <c r="C380" t="s">
        <v>9410</v>
      </c>
    </row>
    <row r="381" spans="2:3">
      <c r="B381">
        <v>2000113</v>
      </c>
      <c r="C381" t="s">
        <v>9411</v>
      </c>
    </row>
    <row r="382" spans="2:3">
      <c r="B382">
        <v>2000097</v>
      </c>
      <c r="C382" t="s">
        <v>9412</v>
      </c>
    </row>
    <row r="383" spans="2:3">
      <c r="B383">
        <v>2000107</v>
      </c>
      <c r="C383" t="s">
        <v>9413</v>
      </c>
    </row>
    <row r="384" spans="2:3">
      <c r="B384">
        <v>1987169</v>
      </c>
      <c r="C384" t="s">
        <v>9414</v>
      </c>
    </row>
    <row r="385" spans="2:3">
      <c r="B385">
        <v>1982092</v>
      </c>
      <c r="C385" t="s">
        <v>9415</v>
      </c>
    </row>
    <row r="386" spans="2:3">
      <c r="B386">
        <v>2012037</v>
      </c>
      <c r="C386" t="s">
        <v>9416</v>
      </c>
    </row>
    <row r="387" spans="2:3">
      <c r="B387">
        <v>2002002</v>
      </c>
      <c r="C387" t="s">
        <v>9417</v>
      </c>
    </row>
    <row r="388" spans="2:3">
      <c r="B388">
        <v>1990078</v>
      </c>
      <c r="C388" t="s">
        <v>9418</v>
      </c>
    </row>
    <row r="389" spans="2:3">
      <c r="B389">
        <v>1996071</v>
      </c>
      <c r="C389" t="s">
        <v>9419</v>
      </c>
    </row>
    <row r="390" spans="2:3">
      <c r="B390">
        <v>2000112</v>
      </c>
      <c r="C390" t="s">
        <v>9420</v>
      </c>
    </row>
    <row r="391" spans="2:3">
      <c r="B391">
        <v>2000115</v>
      </c>
      <c r="C391" t="s">
        <v>9421</v>
      </c>
    </row>
    <row r="392" spans="2:3">
      <c r="B392">
        <v>2012029</v>
      </c>
      <c r="C392" t="s">
        <v>9422</v>
      </c>
    </row>
    <row r="393" spans="2:3">
      <c r="B393">
        <v>1987099</v>
      </c>
      <c r="C393" t="s">
        <v>9423</v>
      </c>
    </row>
    <row r="394" spans="2:3">
      <c r="B394">
        <v>1994002</v>
      </c>
      <c r="C394" t="s">
        <v>9424</v>
      </c>
    </row>
    <row r="395" spans="2:3">
      <c r="B395">
        <v>1996150</v>
      </c>
      <c r="C395" t="s">
        <v>9425</v>
      </c>
    </row>
    <row r="396" spans="2:3">
      <c r="B396">
        <v>1994091</v>
      </c>
      <c r="C396" t="s">
        <v>9426</v>
      </c>
    </row>
    <row r="397" spans="2:3">
      <c r="B397">
        <v>2011007</v>
      </c>
      <c r="C397" t="s">
        <v>9427</v>
      </c>
    </row>
    <row r="398" spans="2:3">
      <c r="B398">
        <v>1980206</v>
      </c>
      <c r="C398" t="s">
        <v>9428</v>
      </c>
    </row>
    <row r="399" spans="2:3">
      <c r="B399">
        <v>2012041</v>
      </c>
      <c r="C399" t="s">
        <v>9429</v>
      </c>
    </row>
    <row r="400" spans="2:3">
      <c r="B400">
        <v>1993004</v>
      </c>
      <c r="C400" t="s">
        <v>9430</v>
      </c>
    </row>
    <row r="401" spans="2:3">
      <c r="B401">
        <v>1992110</v>
      </c>
      <c r="C401" t="s">
        <v>9319</v>
      </c>
    </row>
    <row r="402" spans="2:3">
      <c r="B402">
        <v>1992153</v>
      </c>
      <c r="C402" t="s">
        <v>9431</v>
      </c>
    </row>
    <row r="403" spans="2:3">
      <c r="B403">
        <v>1994111</v>
      </c>
      <c r="C403" t="s">
        <v>9432</v>
      </c>
    </row>
    <row r="404" spans="2:3">
      <c r="B404">
        <v>1989070</v>
      </c>
      <c r="C404" t="s">
        <v>9433</v>
      </c>
    </row>
    <row r="405" spans="2:3">
      <c r="B405">
        <v>1994066</v>
      </c>
      <c r="C405" t="s">
        <v>9434</v>
      </c>
    </row>
    <row r="406" spans="2:3">
      <c r="B406">
        <v>1984027</v>
      </c>
      <c r="C406" t="s">
        <v>9435</v>
      </c>
    </row>
    <row r="407" spans="2:3">
      <c r="B407">
        <v>2009015</v>
      </c>
      <c r="C407" t="s">
        <v>9436</v>
      </c>
    </row>
    <row r="408" spans="2:3">
      <c r="B408">
        <v>2000007</v>
      </c>
      <c r="C408" t="s">
        <v>9437</v>
      </c>
    </row>
    <row r="409" spans="2:3">
      <c r="B409">
        <v>2000012</v>
      </c>
      <c r="C409" t="s">
        <v>9438</v>
      </c>
    </row>
    <row r="410" spans="2:3">
      <c r="B410">
        <v>2000006</v>
      </c>
      <c r="C410" t="s">
        <v>9439</v>
      </c>
    </row>
    <row r="411" spans="2:3">
      <c r="B411">
        <v>2000009</v>
      </c>
      <c r="C411" t="s">
        <v>9440</v>
      </c>
    </row>
    <row r="412" spans="2:3">
      <c r="B412">
        <v>1996135</v>
      </c>
      <c r="C412" t="s">
        <v>9441</v>
      </c>
    </row>
    <row r="413" spans="2:3">
      <c r="B413">
        <v>1981195</v>
      </c>
      <c r="C413" t="s">
        <v>9146</v>
      </c>
    </row>
    <row r="414" spans="2:3">
      <c r="B414">
        <v>1981139</v>
      </c>
      <c r="C414" t="s">
        <v>9442</v>
      </c>
    </row>
    <row r="415" spans="2:3">
      <c r="B415">
        <v>1997005</v>
      </c>
      <c r="C415" t="s">
        <v>9443</v>
      </c>
    </row>
    <row r="416" spans="2:3">
      <c r="B416">
        <v>1992079</v>
      </c>
      <c r="C416" t="s">
        <v>9444</v>
      </c>
    </row>
    <row r="417" spans="2:3">
      <c r="B417">
        <v>2000095</v>
      </c>
      <c r="C417" t="s">
        <v>9445</v>
      </c>
    </row>
    <row r="418" spans="2:3">
      <c r="B418">
        <v>2000017</v>
      </c>
      <c r="C418" t="s">
        <v>9446</v>
      </c>
    </row>
    <row r="419" spans="2:3">
      <c r="B419">
        <v>2000032</v>
      </c>
      <c r="C419" t="s">
        <v>9447</v>
      </c>
    </row>
    <row r="420" spans="2:3">
      <c r="B420">
        <v>2000033</v>
      </c>
      <c r="C420" t="s">
        <v>9448</v>
      </c>
    </row>
    <row r="421" spans="2:3">
      <c r="B421">
        <v>1995063</v>
      </c>
      <c r="C421" t="s">
        <v>9449</v>
      </c>
    </row>
    <row r="422" spans="2:3">
      <c r="B422">
        <v>1997133</v>
      </c>
      <c r="C422" t="s">
        <v>9450</v>
      </c>
    </row>
    <row r="423" spans="2:3">
      <c r="B423">
        <v>2000037</v>
      </c>
      <c r="C423" t="s">
        <v>9451</v>
      </c>
    </row>
    <row r="424" spans="2:3">
      <c r="B424">
        <v>1991086</v>
      </c>
      <c r="C424" t="s">
        <v>9452</v>
      </c>
    </row>
    <row r="425" spans="2:3">
      <c r="B425">
        <v>2000091</v>
      </c>
      <c r="C425" t="s">
        <v>9453</v>
      </c>
    </row>
    <row r="426" spans="2:3">
      <c r="B426">
        <v>1994109</v>
      </c>
      <c r="C426" t="s">
        <v>9454</v>
      </c>
    </row>
    <row r="427" spans="2:3">
      <c r="B427">
        <v>1991202</v>
      </c>
      <c r="C427" t="s">
        <v>9455</v>
      </c>
    </row>
    <row r="428" spans="2:3">
      <c r="B428">
        <v>2011046</v>
      </c>
      <c r="C428" t="s">
        <v>9456</v>
      </c>
    </row>
    <row r="429" spans="2:3">
      <c r="B429">
        <v>1991208</v>
      </c>
      <c r="C429" t="s">
        <v>9457</v>
      </c>
    </row>
    <row r="430" spans="2:3">
      <c r="B430">
        <v>1992083</v>
      </c>
      <c r="C430" t="s">
        <v>9295</v>
      </c>
    </row>
    <row r="431" spans="2:3">
      <c r="B431">
        <v>1983127</v>
      </c>
      <c r="C431" t="s">
        <v>9458</v>
      </c>
    </row>
    <row r="432" spans="2:3">
      <c r="B432">
        <v>2000089</v>
      </c>
      <c r="C432" t="s">
        <v>9459</v>
      </c>
    </row>
    <row r="433" spans="2:3">
      <c r="B433">
        <v>1993107</v>
      </c>
      <c r="C433" t="s">
        <v>9460</v>
      </c>
    </row>
    <row r="434" spans="2:3">
      <c r="B434">
        <v>2011047</v>
      </c>
      <c r="C434" t="s">
        <v>9149</v>
      </c>
    </row>
    <row r="435" spans="2:3">
      <c r="B435">
        <v>2000102</v>
      </c>
      <c r="C435" t="s">
        <v>9461</v>
      </c>
    </row>
    <row r="436" spans="2:3">
      <c r="B436">
        <v>2000105</v>
      </c>
      <c r="C436" t="s">
        <v>9462</v>
      </c>
    </row>
    <row r="437" spans="2:3">
      <c r="B437">
        <v>2000086</v>
      </c>
      <c r="C437" t="s">
        <v>9463</v>
      </c>
    </row>
    <row r="438" spans="2:3">
      <c r="B438">
        <v>1997128</v>
      </c>
      <c r="C438" t="s">
        <v>9464</v>
      </c>
    </row>
    <row r="439" spans="2:3">
      <c r="B439">
        <v>1989037</v>
      </c>
      <c r="C439" t="s">
        <v>9465</v>
      </c>
    </row>
    <row r="440" spans="2:3">
      <c r="B440">
        <v>1987152</v>
      </c>
      <c r="C440" t="s">
        <v>9466</v>
      </c>
    </row>
    <row r="441" spans="2:3">
      <c r="B441">
        <v>1997134</v>
      </c>
      <c r="C441" t="s">
        <v>9467</v>
      </c>
    </row>
    <row r="442" spans="2:3">
      <c r="B442">
        <v>1991207</v>
      </c>
      <c r="C442" t="s">
        <v>9468</v>
      </c>
    </row>
    <row r="443" spans="2:3">
      <c r="B443">
        <v>1980069</v>
      </c>
      <c r="C443" t="s">
        <v>9469</v>
      </c>
    </row>
    <row r="444" spans="2:3">
      <c r="B444">
        <v>1983135</v>
      </c>
      <c r="C444" t="s">
        <v>9470</v>
      </c>
    </row>
    <row r="445" spans="2:3">
      <c r="B445">
        <v>2000094</v>
      </c>
      <c r="C445" t="s">
        <v>9471</v>
      </c>
    </row>
    <row r="446" spans="2:3">
      <c r="B446">
        <v>2000073</v>
      </c>
      <c r="C446" t="s">
        <v>9472</v>
      </c>
    </row>
    <row r="447" spans="2:3">
      <c r="B447">
        <v>1996114</v>
      </c>
      <c r="C447" t="s">
        <v>9473</v>
      </c>
    </row>
    <row r="448" spans="2:3">
      <c r="B448">
        <v>2000100</v>
      </c>
      <c r="C448" t="s">
        <v>9474</v>
      </c>
    </row>
    <row r="449" spans="2:3">
      <c r="B449">
        <v>1997052</v>
      </c>
      <c r="C449" t="s">
        <v>9475</v>
      </c>
    </row>
    <row r="450" spans="2:3">
      <c r="B450">
        <v>1995091</v>
      </c>
      <c r="C450" t="s">
        <v>9476</v>
      </c>
    </row>
    <row r="451" spans="2:3">
      <c r="B451">
        <v>1992075</v>
      </c>
      <c r="C451" t="s">
        <v>9477</v>
      </c>
    </row>
    <row r="452" spans="2:3">
      <c r="B452">
        <v>2000101</v>
      </c>
      <c r="C452" t="s">
        <v>9478</v>
      </c>
    </row>
    <row r="453" spans="2:3">
      <c r="B453">
        <v>2000043</v>
      </c>
      <c r="C453" t="s">
        <v>9479</v>
      </c>
    </row>
    <row r="454" spans="2:3">
      <c r="B454">
        <v>1991106</v>
      </c>
      <c r="C454" t="s">
        <v>9480</v>
      </c>
    </row>
    <row r="455" spans="2:3">
      <c r="B455">
        <v>1994059</v>
      </c>
      <c r="C455" t="s">
        <v>9481</v>
      </c>
    </row>
    <row r="456" spans="2:3">
      <c r="B456">
        <v>1992008</v>
      </c>
      <c r="C456" t="s">
        <v>9482</v>
      </c>
    </row>
    <row r="457" spans="2:3">
      <c r="B457">
        <v>1996023</v>
      </c>
      <c r="C457" t="s">
        <v>9483</v>
      </c>
    </row>
    <row r="458" spans="2:3">
      <c r="B458">
        <v>2012009</v>
      </c>
      <c r="C458" t="s">
        <v>9399</v>
      </c>
    </row>
    <row r="459" spans="2:3">
      <c r="B459">
        <v>1998002</v>
      </c>
      <c r="C459" t="s">
        <v>9484</v>
      </c>
    </row>
    <row r="460" spans="2:3">
      <c r="B460">
        <v>1978072</v>
      </c>
      <c r="C460" t="s">
        <v>9485</v>
      </c>
    </row>
    <row r="461" spans="2:3">
      <c r="B461">
        <v>1996073</v>
      </c>
      <c r="C461" t="s">
        <v>9486</v>
      </c>
    </row>
    <row r="462" spans="2:3">
      <c r="B462">
        <v>1994062</v>
      </c>
      <c r="C462" t="s">
        <v>9487</v>
      </c>
    </row>
    <row r="463" spans="2:3">
      <c r="B463">
        <v>1988012</v>
      </c>
      <c r="C463" t="s">
        <v>9488</v>
      </c>
    </row>
    <row r="464" spans="2:3">
      <c r="B464">
        <v>2001131</v>
      </c>
      <c r="C464" t="s">
        <v>9489</v>
      </c>
    </row>
    <row r="465" spans="2:3">
      <c r="B465">
        <v>2000103</v>
      </c>
      <c r="C465" t="s">
        <v>9490</v>
      </c>
    </row>
    <row r="466" spans="2:3">
      <c r="B466">
        <v>1991191</v>
      </c>
      <c r="C466" t="s">
        <v>9491</v>
      </c>
    </row>
    <row r="467" spans="2:3">
      <c r="B467">
        <v>1990082</v>
      </c>
      <c r="C467" t="s">
        <v>9492</v>
      </c>
    </row>
    <row r="468" spans="2:3">
      <c r="B468">
        <v>1995085</v>
      </c>
      <c r="C468" t="s">
        <v>9493</v>
      </c>
    </row>
    <row r="469" spans="2:3">
      <c r="B469">
        <v>2012011</v>
      </c>
      <c r="C469" t="s">
        <v>9494</v>
      </c>
    </row>
    <row r="470" spans="2:3">
      <c r="B470">
        <v>1996177</v>
      </c>
      <c r="C470" t="s">
        <v>9495</v>
      </c>
    </row>
    <row r="471" spans="2:3">
      <c r="B471">
        <v>1992010</v>
      </c>
      <c r="C471" t="s">
        <v>9496</v>
      </c>
    </row>
    <row r="472" spans="2:3">
      <c r="B472">
        <v>1993069</v>
      </c>
      <c r="C472" t="s">
        <v>9497</v>
      </c>
    </row>
    <row r="473" spans="2:3">
      <c r="B473">
        <v>1996127</v>
      </c>
      <c r="C473" t="s">
        <v>9498</v>
      </c>
    </row>
    <row r="474" spans="2:3">
      <c r="B474">
        <v>1986031</v>
      </c>
      <c r="C474" t="s">
        <v>9499</v>
      </c>
    </row>
    <row r="475" spans="2:3">
      <c r="B475">
        <v>1998007</v>
      </c>
      <c r="C475" t="s">
        <v>9500</v>
      </c>
    </row>
    <row r="476" spans="2:3">
      <c r="B476">
        <v>1979031</v>
      </c>
      <c r="C476" t="s">
        <v>9501</v>
      </c>
    </row>
    <row r="477" spans="2:3">
      <c r="B477">
        <v>1975003</v>
      </c>
      <c r="C477" t="s">
        <v>9502</v>
      </c>
    </row>
    <row r="478" spans="2:3">
      <c r="B478">
        <v>1997064</v>
      </c>
      <c r="C478" t="s">
        <v>9503</v>
      </c>
    </row>
    <row r="479" spans="2:3">
      <c r="B479">
        <v>2000057</v>
      </c>
      <c r="C479" t="s">
        <v>9504</v>
      </c>
    </row>
    <row r="480" spans="2:3">
      <c r="B480">
        <v>1979083</v>
      </c>
      <c r="C480" t="s">
        <v>9505</v>
      </c>
    </row>
    <row r="481" spans="2:3">
      <c r="B481">
        <v>2009003</v>
      </c>
      <c r="C481" t="s">
        <v>9506</v>
      </c>
    </row>
    <row r="482" spans="2:3">
      <c r="B482">
        <v>1980250</v>
      </c>
      <c r="C482" t="s">
        <v>9507</v>
      </c>
    </row>
    <row r="483" spans="2:3">
      <c r="B483">
        <v>1981026</v>
      </c>
      <c r="C483" t="s">
        <v>9508</v>
      </c>
    </row>
    <row r="484" spans="2:3">
      <c r="B484">
        <v>1980318</v>
      </c>
      <c r="C484" t="s">
        <v>9509</v>
      </c>
    </row>
    <row r="485" spans="2:3">
      <c r="B485">
        <v>1996152</v>
      </c>
      <c r="C485" t="s">
        <v>9510</v>
      </c>
    </row>
    <row r="486" spans="2:3">
      <c r="B486">
        <v>2000056</v>
      </c>
      <c r="C486" t="s">
        <v>9511</v>
      </c>
    </row>
    <row r="487" spans="2:3">
      <c r="B487">
        <v>2000058</v>
      </c>
      <c r="C487" t="s">
        <v>9512</v>
      </c>
    </row>
    <row r="488" spans="2:3">
      <c r="B488">
        <v>2000059</v>
      </c>
      <c r="C488" t="s">
        <v>9513</v>
      </c>
    </row>
    <row r="489" spans="2:3">
      <c r="B489">
        <v>2000064</v>
      </c>
      <c r="C489" t="s">
        <v>9514</v>
      </c>
    </row>
    <row r="490" spans="2:3">
      <c r="B490">
        <v>1996166</v>
      </c>
      <c r="C490" t="s">
        <v>9515</v>
      </c>
    </row>
    <row r="491" spans="2:3">
      <c r="B491">
        <v>1989012</v>
      </c>
      <c r="C491" t="s">
        <v>9516</v>
      </c>
    </row>
    <row r="492" spans="2:3">
      <c r="B492">
        <v>1994047</v>
      </c>
      <c r="C492" t="s">
        <v>9517</v>
      </c>
    </row>
    <row r="493" spans="2:3">
      <c r="B493">
        <v>1996161</v>
      </c>
      <c r="C493" t="s">
        <v>9518</v>
      </c>
    </row>
    <row r="494" spans="2:3">
      <c r="B494">
        <v>1994048</v>
      </c>
      <c r="C494" t="s">
        <v>9519</v>
      </c>
    </row>
    <row r="495" spans="2:3">
      <c r="B495">
        <v>1991188</v>
      </c>
      <c r="C495" t="s">
        <v>9520</v>
      </c>
    </row>
    <row r="496" spans="2:3">
      <c r="B496">
        <v>1986013</v>
      </c>
      <c r="C496" t="s">
        <v>9521</v>
      </c>
    </row>
    <row r="497" spans="2:3">
      <c r="B497">
        <v>1996167</v>
      </c>
      <c r="C497" t="s">
        <v>9522</v>
      </c>
    </row>
    <row r="498" spans="2:3">
      <c r="B498">
        <v>2009014</v>
      </c>
      <c r="C498" t="s">
        <v>9523</v>
      </c>
    </row>
    <row r="499" spans="2:3">
      <c r="B499">
        <v>1995060</v>
      </c>
      <c r="C499" t="s">
        <v>9524</v>
      </c>
    </row>
    <row r="500" spans="2:3">
      <c r="B500">
        <v>1989010</v>
      </c>
      <c r="C500" t="s">
        <v>9525</v>
      </c>
    </row>
    <row r="501" spans="2:3">
      <c r="B501">
        <v>1992107</v>
      </c>
      <c r="C501" t="s">
        <v>1394</v>
      </c>
    </row>
    <row r="502" spans="2:3">
      <c r="B502">
        <v>2002007</v>
      </c>
      <c r="C502" t="s">
        <v>9526</v>
      </c>
    </row>
    <row r="503" spans="2:3">
      <c r="B503">
        <v>1989054</v>
      </c>
      <c r="C503" t="s">
        <v>9527</v>
      </c>
    </row>
    <row r="504" spans="2:3">
      <c r="B504">
        <v>1995104</v>
      </c>
      <c r="C504" t="s">
        <v>9528</v>
      </c>
    </row>
    <row r="505" spans="2:3">
      <c r="B505">
        <v>2011023</v>
      </c>
      <c r="C505" t="s">
        <v>9529</v>
      </c>
    </row>
    <row r="506" spans="2:3">
      <c r="B506">
        <v>1996025</v>
      </c>
      <c r="C506" t="s">
        <v>9530</v>
      </c>
    </row>
    <row r="507" spans="2:3">
      <c r="B507">
        <v>2012016</v>
      </c>
      <c r="C507" t="s">
        <v>9531</v>
      </c>
    </row>
    <row r="508" spans="2:3">
      <c r="B508">
        <v>1987144</v>
      </c>
      <c r="C508" t="s">
        <v>9532</v>
      </c>
    </row>
    <row r="509" spans="2:3">
      <c r="B509">
        <v>2012038</v>
      </c>
      <c r="C509" t="s">
        <v>9533</v>
      </c>
    </row>
    <row r="510" spans="2:3">
      <c r="B510">
        <v>1997147</v>
      </c>
      <c r="C510" t="s">
        <v>9534</v>
      </c>
    </row>
    <row r="511" spans="2:3">
      <c r="B511">
        <v>2011034</v>
      </c>
      <c r="C511" t="s">
        <v>9535</v>
      </c>
    </row>
    <row r="512" spans="2:3">
      <c r="B512">
        <v>1994058</v>
      </c>
      <c r="C512" t="s">
        <v>9536</v>
      </c>
    </row>
    <row r="513" spans="2:3">
      <c r="B513">
        <v>1996138</v>
      </c>
      <c r="C513" t="s">
        <v>9537</v>
      </c>
    </row>
    <row r="514" spans="2:3">
      <c r="B514">
        <v>1995006</v>
      </c>
      <c r="C514" t="s">
        <v>9538</v>
      </c>
    </row>
    <row r="515" spans="2:3">
      <c r="B515">
        <v>1996029</v>
      </c>
      <c r="C515" t="s">
        <v>9074</v>
      </c>
    </row>
    <row r="516" spans="2:3">
      <c r="B516">
        <v>2011051</v>
      </c>
      <c r="C516" t="s">
        <v>9539</v>
      </c>
    </row>
    <row r="517" spans="2:3">
      <c r="B517">
        <v>1987094</v>
      </c>
      <c r="C517" t="s">
        <v>9540</v>
      </c>
    </row>
    <row r="518" spans="2:3">
      <c r="B518">
        <v>1997145</v>
      </c>
      <c r="C518" t="s">
        <v>9541</v>
      </c>
    </row>
    <row r="519" spans="2:3">
      <c r="B519">
        <v>1988011</v>
      </c>
      <c r="C519" t="s">
        <v>9542</v>
      </c>
    </row>
    <row r="520" spans="2:3">
      <c r="B520">
        <v>1977031</v>
      </c>
      <c r="C520" t="s">
        <v>9543</v>
      </c>
    </row>
    <row r="521" spans="2:3">
      <c r="B521">
        <v>2011018</v>
      </c>
      <c r="C521" t="s">
        <v>9544</v>
      </c>
    </row>
    <row r="522" spans="2:3">
      <c r="B522">
        <v>2012034</v>
      </c>
      <c r="C522" t="s">
        <v>9545</v>
      </c>
    </row>
    <row r="523" spans="2:3">
      <c r="B523">
        <v>1995059</v>
      </c>
      <c r="C523" t="s">
        <v>9546</v>
      </c>
    </row>
    <row r="524" spans="2:3">
      <c r="B524">
        <v>1992041</v>
      </c>
      <c r="C524" t="s">
        <v>9547</v>
      </c>
    </row>
    <row r="525" spans="2:3">
      <c r="B525">
        <v>1993024</v>
      </c>
      <c r="C525" t="s">
        <v>9548</v>
      </c>
    </row>
    <row r="526" spans="2:3">
      <c r="B526">
        <v>1992039</v>
      </c>
      <c r="C526" t="s">
        <v>9549</v>
      </c>
    </row>
    <row r="527" spans="2:3">
      <c r="B527">
        <v>1979026</v>
      </c>
      <c r="C527" t="s">
        <v>8897</v>
      </c>
    </row>
    <row r="528" spans="2:3">
      <c r="B528">
        <v>2000046</v>
      </c>
      <c r="C528" t="s">
        <v>9550</v>
      </c>
    </row>
    <row r="529" spans="2:3">
      <c r="B529">
        <v>1996015</v>
      </c>
      <c r="C529" t="s">
        <v>9551</v>
      </c>
    </row>
    <row r="530" spans="2:3">
      <c r="B530">
        <v>1985018</v>
      </c>
      <c r="C530" t="s">
        <v>9552</v>
      </c>
    </row>
    <row r="531" spans="2:3">
      <c r="B531">
        <v>1995099</v>
      </c>
      <c r="C531" t="s">
        <v>9553</v>
      </c>
    </row>
    <row r="532" spans="2:3">
      <c r="B532">
        <v>2002025</v>
      </c>
      <c r="C532" t="s">
        <v>9554</v>
      </c>
    </row>
    <row r="533" spans="2:3">
      <c r="B533">
        <v>1990057</v>
      </c>
      <c r="C533" t="s">
        <v>9555</v>
      </c>
    </row>
    <row r="534" spans="2:3">
      <c r="B534">
        <v>2011022</v>
      </c>
      <c r="C534" t="s">
        <v>9556</v>
      </c>
    </row>
    <row r="535" spans="2:3">
      <c r="B535">
        <v>1994071</v>
      </c>
      <c r="C535" t="s">
        <v>9557</v>
      </c>
    </row>
    <row r="536" spans="2:3">
      <c r="B536">
        <v>1996006</v>
      </c>
      <c r="C536" t="s">
        <v>9558</v>
      </c>
    </row>
    <row r="537" spans="2:3">
      <c r="B537">
        <v>1996013</v>
      </c>
      <c r="C537" t="s">
        <v>9559</v>
      </c>
    </row>
    <row r="538" spans="2:3">
      <c r="B538">
        <v>1996074</v>
      </c>
      <c r="C538" t="s">
        <v>9560</v>
      </c>
    </row>
    <row r="539" spans="2:3">
      <c r="B539">
        <v>2011040</v>
      </c>
      <c r="C539" t="s">
        <v>9561</v>
      </c>
    </row>
    <row r="540" spans="2:3">
      <c r="B540">
        <v>2011026</v>
      </c>
      <c r="C540" t="s">
        <v>9562</v>
      </c>
    </row>
    <row r="541" spans="2:3">
      <c r="B541">
        <v>1994060</v>
      </c>
      <c r="C541" t="s">
        <v>9563</v>
      </c>
    </row>
    <row r="542" spans="2:3">
      <c r="B542">
        <v>1992049</v>
      </c>
      <c r="C542" t="s">
        <v>9564</v>
      </c>
    </row>
    <row r="543" spans="2:3">
      <c r="B543">
        <v>2011027</v>
      </c>
      <c r="C543" t="s">
        <v>9565</v>
      </c>
    </row>
    <row r="544" spans="2:3">
      <c r="B544">
        <v>1995109</v>
      </c>
      <c r="C544" t="s">
        <v>9566</v>
      </c>
    </row>
    <row r="545" spans="2:3">
      <c r="B545">
        <v>1993005</v>
      </c>
      <c r="C545" t="s">
        <v>9567</v>
      </c>
    </row>
    <row r="546" spans="2:3">
      <c r="B546">
        <v>1992023</v>
      </c>
      <c r="C546" t="s">
        <v>9568</v>
      </c>
    </row>
    <row r="547" spans="2:3">
      <c r="B547">
        <v>1995090</v>
      </c>
      <c r="C547" t="s">
        <v>9569</v>
      </c>
    </row>
    <row r="548" spans="2:3">
      <c r="B548">
        <v>2011031</v>
      </c>
      <c r="C548" t="s">
        <v>9570</v>
      </c>
    </row>
    <row r="549" spans="2:3">
      <c r="B549">
        <v>2000054</v>
      </c>
      <c r="C549" t="s">
        <v>9571</v>
      </c>
    </row>
    <row r="550" spans="2:3">
      <c r="B550">
        <v>1992037</v>
      </c>
      <c r="C550" t="s">
        <v>9572</v>
      </c>
    </row>
    <row r="551" spans="2:3">
      <c r="B551">
        <v>2009016</v>
      </c>
      <c r="C551" t="s">
        <v>9573</v>
      </c>
    </row>
    <row r="552" spans="2:3">
      <c r="B552">
        <v>1989088</v>
      </c>
      <c r="C552" t="s">
        <v>9574</v>
      </c>
    </row>
    <row r="553" spans="2:3">
      <c r="B553">
        <v>1998006</v>
      </c>
      <c r="C553" t="s">
        <v>9575</v>
      </c>
    </row>
    <row r="554" spans="2:3">
      <c r="B554">
        <v>2001102</v>
      </c>
      <c r="C554" t="s">
        <v>9576</v>
      </c>
    </row>
    <row r="555" spans="2:3">
      <c r="B555">
        <v>2012005</v>
      </c>
      <c r="C555" t="s">
        <v>9577</v>
      </c>
    </row>
    <row r="556" spans="2:3">
      <c r="B556">
        <v>1995095</v>
      </c>
      <c r="C556" t="s">
        <v>9578</v>
      </c>
    </row>
    <row r="557" spans="2:3">
      <c r="B557">
        <v>1996130</v>
      </c>
      <c r="C557" t="s">
        <v>9302</v>
      </c>
    </row>
    <row r="558" spans="2:3">
      <c r="B558">
        <v>1984082</v>
      </c>
      <c r="C558" t="s">
        <v>9579</v>
      </c>
    </row>
    <row r="559" spans="2:3">
      <c r="B559">
        <v>1991008</v>
      </c>
      <c r="C559" t="s">
        <v>9580</v>
      </c>
    </row>
    <row r="560" spans="2:3">
      <c r="B560">
        <v>2011038</v>
      </c>
      <c r="C560" t="s">
        <v>9581</v>
      </c>
    </row>
    <row r="561" spans="2:3">
      <c r="B561">
        <v>1980060</v>
      </c>
      <c r="C561" t="s">
        <v>9582</v>
      </c>
    </row>
    <row r="562" spans="2:3">
      <c r="B562">
        <v>1986049</v>
      </c>
      <c r="C562" t="s">
        <v>9583</v>
      </c>
    </row>
    <row r="563" spans="2:3">
      <c r="B563">
        <v>1978119</v>
      </c>
      <c r="C563" t="s">
        <v>9584</v>
      </c>
    </row>
    <row r="564" spans="2:3">
      <c r="B564">
        <v>2009018</v>
      </c>
      <c r="C564" t="s">
        <v>9585</v>
      </c>
    </row>
    <row r="565" spans="2:3">
      <c r="B565">
        <v>1982153</v>
      </c>
      <c r="C565" t="s">
        <v>9586</v>
      </c>
    </row>
    <row r="566" spans="2:3">
      <c r="B566">
        <v>2012012</v>
      </c>
      <c r="C566" t="s">
        <v>9587</v>
      </c>
    </row>
    <row r="567" spans="2:3">
      <c r="B567">
        <v>1982089</v>
      </c>
      <c r="C567" t="s">
        <v>9588</v>
      </c>
    </row>
    <row r="568" spans="2:3">
      <c r="B568">
        <v>1984063</v>
      </c>
      <c r="C568" t="s">
        <v>9589</v>
      </c>
    </row>
    <row r="569" spans="2:3">
      <c r="B569">
        <v>1992009</v>
      </c>
      <c r="C569" t="s">
        <v>9590</v>
      </c>
    </row>
    <row r="570" spans="2:3">
      <c r="B570">
        <v>2007006</v>
      </c>
      <c r="C570" t="s">
        <v>9591</v>
      </c>
    </row>
    <row r="571" spans="2:3">
      <c r="B571">
        <v>2007009</v>
      </c>
      <c r="C571" t="s">
        <v>9592</v>
      </c>
    </row>
    <row r="572" spans="2:3">
      <c r="B572">
        <v>2007016</v>
      </c>
      <c r="C572" t="s">
        <v>9593</v>
      </c>
    </row>
    <row r="573" spans="2:3">
      <c r="B573">
        <v>2007017</v>
      </c>
      <c r="C573" t="s">
        <v>9069</v>
      </c>
    </row>
    <row r="574" spans="2:3">
      <c r="B574">
        <v>2007018</v>
      </c>
      <c r="C574" t="s">
        <v>9594</v>
      </c>
    </row>
    <row r="575" spans="2:3">
      <c r="B575">
        <v>2007022</v>
      </c>
      <c r="C575" t="s">
        <v>9595</v>
      </c>
    </row>
    <row r="576" spans="2:3">
      <c r="B576">
        <v>1980121</v>
      </c>
      <c r="C576" t="s">
        <v>9354</v>
      </c>
    </row>
    <row r="577" spans="2:3">
      <c r="B577">
        <v>2003021</v>
      </c>
      <c r="C577" t="s">
        <v>9596</v>
      </c>
    </row>
    <row r="578" spans="2:3">
      <c r="B578">
        <v>2003024</v>
      </c>
      <c r="C578" t="s">
        <v>9597</v>
      </c>
    </row>
    <row r="579" spans="2:3">
      <c r="B579">
        <v>2003005</v>
      </c>
      <c r="C579" t="s">
        <v>9598</v>
      </c>
    </row>
    <row r="580" spans="2:3">
      <c r="B580">
        <v>2003008</v>
      </c>
      <c r="C580" t="s">
        <v>9594</v>
      </c>
    </row>
    <row r="581" spans="2:3">
      <c r="B581">
        <v>2003009</v>
      </c>
      <c r="C581" t="s">
        <v>9599</v>
      </c>
    </row>
    <row r="582" spans="2:3">
      <c r="B582">
        <v>2007023</v>
      </c>
      <c r="C582" t="s">
        <v>9600</v>
      </c>
    </row>
    <row r="583" spans="2:3">
      <c r="B583">
        <v>2007024</v>
      </c>
      <c r="C583" t="s">
        <v>9601</v>
      </c>
    </row>
    <row r="584" spans="2:3">
      <c r="B584">
        <v>2007025</v>
      </c>
      <c r="C584" t="s">
        <v>9602</v>
      </c>
    </row>
    <row r="585" spans="2:3">
      <c r="B585">
        <v>2007029</v>
      </c>
      <c r="C585" t="s">
        <v>9603</v>
      </c>
    </row>
    <row r="586" spans="2:3">
      <c r="B586">
        <v>2007030</v>
      </c>
      <c r="C586" t="s">
        <v>9604</v>
      </c>
    </row>
    <row r="587" spans="2:3">
      <c r="B587">
        <v>2007031</v>
      </c>
      <c r="C587" t="s">
        <v>9605</v>
      </c>
    </row>
    <row r="588" spans="2:3">
      <c r="B588">
        <v>2007033</v>
      </c>
      <c r="C588" t="s">
        <v>9606</v>
      </c>
    </row>
    <row r="589" spans="2:3">
      <c r="B589">
        <v>1982100</v>
      </c>
      <c r="C589" t="s">
        <v>9607</v>
      </c>
    </row>
    <row r="590" spans="2:3">
      <c r="B590">
        <v>1986035</v>
      </c>
      <c r="C590" t="s">
        <v>9608</v>
      </c>
    </row>
    <row r="591" spans="2:3">
      <c r="B591">
        <v>2003011</v>
      </c>
      <c r="C591" t="s">
        <v>9609</v>
      </c>
    </row>
    <row r="592" spans="2:3">
      <c r="B592">
        <v>2003013</v>
      </c>
      <c r="C592" t="s">
        <v>9610</v>
      </c>
    </row>
    <row r="593" spans="2:3">
      <c r="B593">
        <v>2004076</v>
      </c>
      <c r="C593" t="s">
        <v>9611</v>
      </c>
    </row>
    <row r="594" spans="2:3">
      <c r="B594">
        <v>2007035</v>
      </c>
      <c r="C594" t="s">
        <v>9612</v>
      </c>
    </row>
    <row r="595" spans="2:3">
      <c r="B595">
        <v>2007036</v>
      </c>
      <c r="C595" t="s">
        <v>9613</v>
      </c>
    </row>
    <row r="596" spans="2:3">
      <c r="B596">
        <v>2007037</v>
      </c>
      <c r="C596" t="s">
        <v>9614</v>
      </c>
    </row>
    <row r="597" spans="2:3">
      <c r="B597">
        <v>2007039</v>
      </c>
      <c r="C597" t="s">
        <v>9615</v>
      </c>
    </row>
    <row r="598" spans="2:3">
      <c r="B598">
        <v>2007046</v>
      </c>
      <c r="C598" t="s">
        <v>9616</v>
      </c>
    </row>
    <row r="599" spans="2:3">
      <c r="B599">
        <v>2007047</v>
      </c>
      <c r="C599" t="s">
        <v>9617</v>
      </c>
    </row>
    <row r="600" spans="2:3">
      <c r="B600">
        <v>2007048</v>
      </c>
      <c r="C600" t="s">
        <v>9618</v>
      </c>
    </row>
    <row r="601" spans="2:3">
      <c r="B601">
        <v>2007049</v>
      </c>
      <c r="C601" t="s">
        <v>9619</v>
      </c>
    </row>
    <row r="602" spans="2:3">
      <c r="B602">
        <v>2001025</v>
      </c>
      <c r="C602" t="s">
        <v>9620</v>
      </c>
    </row>
    <row r="603" spans="2:3">
      <c r="B603">
        <v>2001040</v>
      </c>
      <c r="C603" t="s">
        <v>9621</v>
      </c>
    </row>
    <row r="604" spans="2:3">
      <c r="B604">
        <v>1997058</v>
      </c>
      <c r="C604" t="s">
        <v>9622</v>
      </c>
    </row>
    <row r="605" spans="2:3">
      <c r="B605">
        <v>2003048</v>
      </c>
      <c r="C605" t="s">
        <v>9623</v>
      </c>
    </row>
    <row r="606" spans="2:3">
      <c r="B606">
        <v>2005004</v>
      </c>
      <c r="C606" t="s">
        <v>9624</v>
      </c>
    </row>
    <row r="607" spans="2:3">
      <c r="B607">
        <v>2007050</v>
      </c>
      <c r="C607" t="s">
        <v>9625</v>
      </c>
    </row>
    <row r="608" spans="2:3">
      <c r="B608">
        <v>2007051</v>
      </c>
      <c r="C608" t="s">
        <v>9178</v>
      </c>
    </row>
    <row r="609" spans="2:3">
      <c r="B609">
        <v>2007053</v>
      </c>
      <c r="C609" t="s">
        <v>9626</v>
      </c>
    </row>
    <row r="610" spans="2:3">
      <c r="B610">
        <v>2007054</v>
      </c>
      <c r="C610" t="s">
        <v>9627</v>
      </c>
    </row>
    <row r="611" spans="2:3">
      <c r="B611">
        <v>2007058</v>
      </c>
      <c r="C611" t="s">
        <v>9628</v>
      </c>
    </row>
    <row r="612" spans="2:3">
      <c r="B612">
        <v>2007059</v>
      </c>
      <c r="C612" t="s">
        <v>9629</v>
      </c>
    </row>
    <row r="613" spans="2:3">
      <c r="B613">
        <v>2007011</v>
      </c>
      <c r="C613" t="s">
        <v>9630</v>
      </c>
    </row>
    <row r="614" spans="2:3">
      <c r="B614">
        <v>2007045</v>
      </c>
      <c r="C614" t="s">
        <v>9631</v>
      </c>
    </row>
    <row r="615" spans="2:3">
      <c r="B615">
        <v>1996069</v>
      </c>
      <c r="C615" t="s">
        <v>9632</v>
      </c>
    </row>
    <row r="616" spans="2:3">
      <c r="B616">
        <v>1996151</v>
      </c>
      <c r="C616" t="s">
        <v>9633</v>
      </c>
    </row>
    <row r="617" spans="2:3">
      <c r="B617">
        <v>2001033</v>
      </c>
      <c r="C617" t="s">
        <v>9634</v>
      </c>
    </row>
    <row r="618" spans="2:3">
      <c r="B618">
        <v>2005009</v>
      </c>
      <c r="C618" t="s">
        <v>9635</v>
      </c>
    </row>
    <row r="619" spans="2:3">
      <c r="B619">
        <v>2005011</v>
      </c>
      <c r="C619" t="s">
        <v>9636</v>
      </c>
    </row>
    <row r="620" spans="2:3">
      <c r="B620">
        <v>2005013</v>
      </c>
      <c r="C620" t="s">
        <v>9637</v>
      </c>
    </row>
    <row r="621" spans="2:3">
      <c r="B621">
        <v>2005014</v>
      </c>
      <c r="C621" t="s">
        <v>9638</v>
      </c>
    </row>
    <row r="622" spans="2:3">
      <c r="B622">
        <v>2005012</v>
      </c>
      <c r="C622" t="s">
        <v>9639</v>
      </c>
    </row>
    <row r="623" spans="2:3">
      <c r="B623">
        <v>2005008</v>
      </c>
      <c r="C623" t="s">
        <v>9640</v>
      </c>
    </row>
    <row r="624" spans="2:3">
      <c r="B624">
        <v>2007021</v>
      </c>
      <c r="C624" t="s">
        <v>9641</v>
      </c>
    </row>
    <row r="625" spans="2:3">
      <c r="B625">
        <v>2007060</v>
      </c>
      <c r="C625" t="s">
        <v>9642</v>
      </c>
    </row>
    <row r="626" spans="2:3">
      <c r="B626">
        <v>2007003</v>
      </c>
      <c r="C626" t="s">
        <v>9643</v>
      </c>
    </row>
    <row r="627" spans="2:3">
      <c r="B627">
        <v>2007040</v>
      </c>
      <c r="C627" t="s">
        <v>9505</v>
      </c>
    </row>
    <row r="628" spans="2:3">
      <c r="B628">
        <v>2007043</v>
      </c>
      <c r="C628" t="s">
        <v>9644</v>
      </c>
    </row>
    <row r="629" spans="2:3">
      <c r="B629">
        <v>2007065</v>
      </c>
      <c r="C629" t="s">
        <v>9645</v>
      </c>
    </row>
    <row r="630" spans="2:3">
      <c r="B630">
        <v>2007066</v>
      </c>
      <c r="C630" t="s">
        <v>9646</v>
      </c>
    </row>
    <row r="631" spans="2:3">
      <c r="B631">
        <v>2005005</v>
      </c>
      <c r="C631" t="s">
        <v>9647</v>
      </c>
    </row>
    <row r="632" spans="2:3">
      <c r="B632">
        <v>2005002</v>
      </c>
      <c r="C632" t="s">
        <v>9648</v>
      </c>
    </row>
    <row r="633" spans="2:3">
      <c r="B633">
        <v>2005015</v>
      </c>
      <c r="C633" t="s">
        <v>9649</v>
      </c>
    </row>
    <row r="634" spans="2:3">
      <c r="B634">
        <v>2005016</v>
      </c>
      <c r="C634" t="s">
        <v>9650</v>
      </c>
    </row>
    <row r="635" spans="2:3">
      <c r="B635">
        <v>2005018</v>
      </c>
      <c r="C635" t="s">
        <v>9651</v>
      </c>
    </row>
    <row r="636" spans="2:3">
      <c r="B636">
        <v>2005021</v>
      </c>
      <c r="C636" t="s">
        <v>9652</v>
      </c>
    </row>
    <row r="637" spans="2:3">
      <c r="B637">
        <v>2005022</v>
      </c>
      <c r="C637" t="s">
        <v>9653</v>
      </c>
    </row>
    <row r="638" spans="2:3">
      <c r="B638">
        <v>2007083</v>
      </c>
      <c r="C638" t="s">
        <v>9654</v>
      </c>
    </row>
    <row r="639" spans="2:3">
      <c r="B639">
        <v>2007086</v>
      </c>
      <c r="C639" t="s">
        <v>9655</v>
      </c>
    </row>
    <row r="640" spans="2:3">
      <c r="B640">
        <v>2007087</v>
      </c>
      <c r="C640" t="s">
        <v>9656</v>
      </c>
    </row>
    <row r="641" spans="2:3">
      <c r="B641">
        <v>2007088</v>
      </c>
      <c r="C641" t="s">
        <v>9657</v>
      </c>
    </row>
    <row r="642" spans="2:3">
      <c r="B642">
        <v>2007089</v>
      </c>
      <c r="C642" t="s">
        <v>9658</v>
      </c>
    </row>
    <row r="643" spans="2:3">
      <c r="B643">
        <v>2007091</v>
      </c>
      <c r="C643" t="s">
        <v>9659</v>
      </c>
    </row>
    <row r="644" spans="2:3">
      <c r="B644">
        <v>2007093</v>
      </c>
      <c r="C644" t="s">
        <v>9660</v>
      </c>
    </row>
    <row r="645" spans="2:3">
      <c r="B645">
        <v>1983117</v>
      </c>
      <c r="C645" t="s">
        <v>9661</v>
      </c>
    </row>
    <row r="646" spans="2:3">
      <c r="B646">
        <v>2005026</v>
      </c>
      <c r="C646" t="s">
        <v>9662</v>
      </c>
    </row>
    <row r="647" spans="2:3">
      <c r="B647">
        <v>2005027</v>
      </c>
      <c r="C647" t="s">
        <v>9663</v>
      </c>
    </row>
    <row r="648" spans="2:3">
      <c r="B648">
        <v>2005028</v>
      </c>
      <c r="C648" t="s">
        <v>9664</v>
      </c>
    </row>
    <row r="649" spans="2:3">
      <c r="B649">
        <v>2005029</v>
      </c>
      <c r="C649" t="s">
        <v>9665</v>
      </c>
    </row>
    <row r="650" spans="2:3">
      <c r="B650">
        <v>2005032</v>
      </c>
      <c r="C650" t="s">
        <v>9666</v>
      </c>
    </row>
    <row r="651" spans="2:3">
      <c r="B651">
        <v>2005033</v>
      </c>
      <c r="C651" t="s">
        <v>9667</v>
      </c>
    </row>
    <row r="652" spans="2:3">
      <c r="B652">
        <v>2005034</v>
      </c>
      <c r="C652" t="s">
        <v>9668</v>
      </c>
    </row>
    <row r="653" spans="2:3">
      <c r="B653">
        <v>2007041</v>
      </c>
      <c r="C653" t="s">
        <v>9669</v>
      </c>
    </row>
    <row r="654" spans="2:3">
      <c r="B654">
        <v>2007042</v>
      </c>
      <c r="C654" t="s">
        <v>9670</v>
      </c>
    </row>
    <row r="655" spans="2:3">
      <c r="B655">
        <v>2007013</v>
      </c>
      <c r="C655" t="s">
        <v>9671</v>
      </c>
    </row>
    <row r="656" spans="2:3">
      <c r="B656">
        <v>2007028</v>
      </c>
      <c r="C656" t="s">
        <v>9672</v>
      </c>
    </row>
    <row r="657" spans="2:3">
      <c r="B657">
        <v>2007055</v>
      </c>
      <c r="C657" t="s">
        <v>9673</v>
      </c>
    </row>
    <row r="658" spans="2:3">
      <c r="B658">
        <v>2005030</v>
      </c>
      <c r="C658" t="s">
        <v>9674</v>
      </c>
    </row>
    <row r="659" spans="2:3">
      <c r="B659">
        <v>2005037</v>
      </c>
      <c r="C659" t="s">
        <v>9675</v>
      </c>
    </row>
    <row r="660" spans="2:3">
      <c r="B660">
        <v>2005043</v>
      </c>
      <c r="C660" t="s">
        <v>9676</v>
      </c>
    </row>
    <row r="661" spans="2:3">
      <c r="B661">
        <v>2007069</v>
      </c>
      <c r="C661" t="s">
        <v>9677</v>
      </c>
    </row>
    <row r="662" spans="2:3">
      <c r="B662">
        <v>2007070</v>
      </c>
      <c r="C662" t="s">
        <v>9678</v>
      </c>
    </row>
    <row r="663" spans="2:3">
      <c r="B663">
        <v>2007072</v>
      </c>
      <c r="C663" t="s">
        <v>9679</v>
      </c>
    </row>
    <row r="664" spans="2:3">
      <c r="B664">
        <v>2007079</v>
      </c>
      <c r="C664" t="s">
        <v>9680</v>
      </c>
    </row>
    <row r="665" spans="2:3">
      <c r="B665">
        <v>2007080</v>
      </c>
      <c r="C665" t="s">
        <v>9681</v>
      </c>
    </row>
    <row r="666" spans="2:3">
      <c r="B666">
        <v>2007081</v>
      </c>
      <c r="C666" t="s">
        <v>9682</v>
      </c>
    </row>
    <row r="667" spans="2:3">
      <c r="B667">
        <v>1991064</v>
      </c>
      <c r="C667" t="s">
        <v>9683</v>
      </c>
    </row>
    <row r="668" spans="2:3">
      <c r="B668">
        <v>1991091</v>
      </c>
      <c r="C668" t="s">
        <v>9684</v>
      </c>
    </row>
    <row r="669" spans="2:3">
      <c r="B669">
        <v>1993236</v>
      </c>
      <c r="C669" t="s">
        <v>9685</v>
      </c>
    </row>
    <row r="670" spans="2:3">
      <c r="B670">
        <v>1999007</v>
      </c>
      <c r="C670" t="s">
        <v>9334</v>
      </c>
    </row>
    <row r="671" spans="2:3">
      <c r="B671">
        <v>2009017</v>
      </c>
      <c r="C671" t="s">
        <v>9686</v>
      </c>
    </row>
    <row r="672" spans="2:3">
      <c r="B672">
        <v>2005047</v>
      </c>
      <c r="C672" t="s">
        <v>9687</v>
      </c>
    </row>
    <row r="673" spans="2:3">
      <c r="B673">
        <v>2007096</v>
      </c>
      <c r="C673" t="s">
        <v>9688</v>
      </c>
    </row>
    <row r="674" spans="2:3">
      <c r="B674">
        <v>2007097</v>
      </c>
      <c r="C674" t="s">
        <v>9689</v>
      </c>
    </row>
    <row r="675" spans="2:3">
      <c r="B675">
        <v>2007014</v>
      </c>
      <c r="C675" t="s">
        <v>9690</v>
      </c>
    </row>
    <row r="676" spans="2:3">
      <c r="B676">
        <v>2007098</v>
      </c>
      <c r="C676" t="s">
        <v>9691</v>
      </c>
    </row>
    <row r="677" spans="2:3">
      <c r="B677">
        <v>2007102</v>
      </c>
      <c r="C677" t="s">
        <v>9692</v>
      </c>
    </row>
    <row r="678" spans="2:3">
      <c r="B678">
        <v>2005051</v>
      </c>
      <c r="C678" t="s">
        <v>9693</v>
      </c>
    </row>
    <row r="679" spans="2:3">
      <c r="B679">
        <v>2005052</v>
      </c>
      <c r="C679" t="s">
        <v>9694</v>
      </c>
    </row>
    <row r="680" spans="2:3">
      <c r="B680">
        <v>2005053</v>
      </c>
      <c r="C680" t="s">
        <v>9695</v>
      </c>
    </row>
    <row r="681" spans="2:3">
      <c r="B681">
        <v>2005054</v>
      </c>
      <c r="C681" t="s">
        <v>9696</v>
      </c>
    </row>
    <row r="682" spans="2:3">
      <c r="B682">
        <v>2005063</v>
      </c>
      <c r="C682" t="s">
        <v>9697</v>
      </c>
    </row>
    <row r="683" spans="2:3">
      <c r="B683">
        <v>2005056</v>
      </c>
      <c r="C683" t="s">
        <v>9698</v>
      </c>
    </row>
    <row r="684" spans="2:3">
      <c r="B684">
        <v>2005058</v>
      </c>
      <c r="C684" t="s">
        <v>9699</v>
      </c>
    </row>
    <row r="685" spans="2:3">
      <c r="B685">
        <v>2007063</v>
      </c>
      <c r="C685" t="s">
        <v>9700</v>
      </c>
    </row>
    <row r="686" spans="2:3">
      <c r="B686">
        <v>2007064</v>
      </c>
      <c r="C686" t="s">
        <v>9701</v>
      </c>
    </row>
    <row r="687" spans="2:3">
      <c r="B687">
        <v>2007034</v>
      </c>
      <c r="C687" t="s">
        <v>9702</v>
      </c>
    </row>
    <row r="688" spans="2:3">
      <c r="B688">
        <v>2007007</v>
      </c>
      <c r="C688" t="s">
        <v>9703</v>
      </c>
    </row>
    <row r="689" spans="2:3">
      <c r="B689">
        <v>2007057</v>
      </c>
      <c r="C689" t="s">
        <v>9704</v>
      </c>
    </row>
    <row r="690" spans="2:3">
      <c r="B690">
        <v>2007052</v>
      </c>
      <c r="C690" t="s">
        <v>9705</v>
      </c>
    </row>
    <row r="691" spans="2:3">
      <c r="B691">
        <v>1992141</v>
      </c>
      <c r="C691" t="s">
        <v>9706</v>
      </c>
    </row>
    <row r="692" spans="2:3">
      <c r="B692">
        <v>2002034</v>
      </c>
      <c r="C692" t="s">
        <v>9707</v>
      </c>
    </row>
    <row r="693" spans="2:3">
      <c r="B693">
        <v>2005059</v>
      </c>
      <c r="C693" t="s">
        <v>9708</v>
      </c>
    </row>
    <row r="694" spans="2:3">
      <c r="B694">
        <v>2005061</v>
      </c>
      <c r="C694" t="s">
        <v>9709</v>
      </c>
    </row>
    <row r="695" spans="2:3">
      <c r="B695">
        <v>2005062</v>
      </c>
      <c r="C695" t="s">
        <v>9710</v>
      </c>
    </row>
    <row r="696" spans="2:3">
      <c r="B696">
        <v>2005065</v>
      </c>
      <c r="C696" t="s">
        <v>9711</v>
      </c>
    </row>
    <row r="697" spans="2:3">
      <c r="B697">
        <v>1991178</v>
      </c>
      <c r="C697" t="s">
        <v>9712</v>
      </c>
    </row>
    <row r="698" spans="2:3">
      <c r="B698">
        <v>1989007</v>
      </c>
      <c r="C698" t="s">
        <v>9713</v>
      </c>
    </row>
    <row r="699" spans="2:3">
      <c r="B699">
        <v>2002035</v>
      </c>
      <c r="C699" t="s">
        <v>9714</v>
      </c>
    </row>
    <row r="700" spans="2:3">
      <c r="B700">
        <v>2002036</v>
      </c>
      <c r="C700" t="s">
        <v>9715</v>
      </c>
    </row>
    <row r="701" spans="2:3">
      <c r="B701">
        <v>2002039</v>
      </c>
      <c r="C701" t="s">
        <v>9716</v>
      </c>
    </row>
    <row r="702" spans="2:3">
      <c r="B702">
        <v>2002045</v>
      </c>
      <c r="C702" t="s">
        <v>9717</v>
      </c>
    </row>
    <row r="703" spans="2:3">
      <c r="B703">
        <v>2006001</v>
      </c>
      <c r="C703" t="s">
        <v>9718</v>
      </c>
    </row>
    <row r="704" spans="2:3">
      <c r="B704">
        <v>1997055</v>
      </c>
      <c r="C704" t="s">
        <v>9719</v>
      </c>
    </row>
    <row r="705" spans="2:3">
      <c r="B705">
        <v>2002047</v>
      </c>
      <c r="C705" t="s">
        <v>9720</v>
      </c>
    </row>
    <row r="706" spans="2:3">
      <c r="B706">
        <v>2002048</v>
      </c>
      <c r="C706" t="s">
        <v>9721</v>
      </c>
    </row>
    <row r="707" spans="2:3">
      <c r="B707">
        <v>2002049</v>
      </c>
      <c r="C707" t="s">
        <v>9722</v>
      </c>
    </row>
    <row r="708" spans="2:3">
      <c r="B708">
        <v>2002050</v>
      </c>
      <c r="C708" t="s">
        <v>9723</v>
      </c>
    </row>
    <row r="709" spans="2:3">
      <c r="B709">
        <v>2002051</v>
      </c>
      <c r="C709" t="s">
        <v>9724</v>
      </c>
    </row>
    <row r="710" spans="2:3">
      <c r="B710">
        <v>2003001</v>
      </c>
      <c r="C710" t="s">
        <v>9725</v>
      </c>
    </row>
    <row r="711" spans="2:3">
      <c r="B711">
        <v>2011012</v>
      </c>
      <c r="C711" t="s">
        <v>9726</v>
      </c>
    </row>
    <row r="712" spans="2:3">
      <c r="B712">
        <v>1993017</v>
      </c>
      <c r="C712" t="s">
        <v>9727</v>
      </c>
    </row>
    <row r="713" spans="2:3">
      <c r="B713">
        <v>2003002</v>
      </c>
      <c r="C713" t="s">
        <v>9728</v>
      </c>
    </row>
    <row r="714" spans="2:3">
      <c r="B714">
        <v>2003039</v>
      </c>
      <c r="C714" t="s">
        <v>9729</v>
      </c>
    </row>
    <row r="715" spans="2:3">
      <c r="B715">
        <v>2003045</v>
      </c>
      <c r="C715" t="s">
        <v>9730</v>
      </c>
    </row>
    <row r="716" spans="2:3">
      <c r="B716">
        <v>2011048</v>
      </c>
      <c r="C716" t="s">
        <v>9731</v>
      </c>
    </row>
    <row r="717" spans="2:3">
      <c r="B717">
        <v>2006011</v>
      </c>
      <c r="C717" t="s">
        <v>9732</v>
      </c>
    </row>
    <row r="718" spans="2:3">
      <c r="B718">
        <v>2006012</v>
      </c>
      <c r="C718" t="s">
        <v>9733</v>
      </c>
    </row>
    <row r="719" spans="2:3">
      <c r="B719">
        <v>2006013</v>
      </c>
      <c r="C719" t="s">
        <v>9734</v>
      </c>
    </row>
    <row r="720" spans="2:3">
      <c r="B720">
        <v>2006014</v>
      </c>
      <c r="C720" t="s">
        <v>9735</v>
      </c>
    </row>
    <row r="721" spans="2:3">
      <c r="B721">
        <v>2006015</v>
      </c>
      <c r="C721" t="s">
        <v>9736</v>
      </c>
    </row>
    <row r="722" spans="2:3">
      <c r="B722">
        <v>2006016</v>
      </c>
      <c r="C722" t="s">
        <v>9737</v>
      </c>
    </row>
    <row r="723" spans="2:3">
      <c r="B723">
        <v>2006019</v>
      </c>
      <c r="C723" t="s">
        <v>9738</v>
      </c>
    </row>
    <row r="724" spans="2:3">
      <c r="B724">
        <v>1994074</v>
      </c>
      <c r="C724" t="s">
        <v>9739</v>
      </c>
    </row>
    <row r="725" spans="2:3">
      <c r="B725">
        <v>1992067</v>
      </c>
      <c r="C725" t="s">
        <v>9740</v>
      </c>
    </row>
    <row r="726" spans="2:3">
      <c r="B726">
        <v>1987178</v>
      </c>
      <c r="C726" t="s">
        <v>9741</v>
      </c>
    </row>
    <row r="727" spans="2:3">
      <c r="B727">
        <v>2003046</v>
      </c>
      <c r="C727" t="s">
        <v>9742</v>
      </c>
    </row>
    <row r="728" spans="2:3">
      <c r="B728">
        <v>2003026</v>
      </c>
      <c r="C728" t="s">
        <v>9743</v>
      </c>
    </row>
    <row r="729" spans="2:3">
      <c r="B729">
        <v>2003023</v>
      </c>
      <c r="C729" t="s">
        <v>9744</v>
      </c>
    </row>
    <row r="730" spans="2:3">
      <c r="B730">
        <v>2003040</v>
      </c>
      <c r="C730" t="s">
        <v>9745</v>
      </c>
    </row>
    <row r="731" spans="2:3">
      <c r="B731">
        <v>2006020</v>
      </c>
      <c r="C731" t="s">
        <v>9746</v>
      </c>
    </row>
    <row r="732" spans="2:3">
      <c r="B732">
        <v>2006021</v>
      </c>
      <c r="C732" t="s">
        <v>9747</v>
      </c>
    </row>
    <row r="733" spans="2:3">
      <c r="B733">
        <v>2006022</v>
      </c>
      <c r="C733" t="s">
        <v>9748</v>
      </c>
    </row>
    <row r="734" spans="2:3">
      <c r="B734">
        <v>2006023</v>
      </c>
      <c r="C734" t="s">
        <v>9749</v>
      </c>
    </row>
    <row r="735" spans="2:3">
      <c r="B735">
        <v>2006017</v>
      </c>
      <c r="C735" t="s">
        <v>9750</v>
      </c>
    </row>
    <row r="736" spans="2:3">
      <c r="B736">
        <v>2006024</v>
      </c>
      <c r="C736" t="s">
        <v>9751</v>
      </c>
    </row>
    <row r="737" spans="2:3">
      <c r="B737">
        <v>2006026</v>
      </c>
      <c r="C737" t="s">
        <v>9752</v>
      </c>
    </row>
    <row r="738" spans="2:3">
      <c r="B738">
        <v>2003041</v>
      </c>
      <c r="C738" t="s">
        <v>9753</v>
      </c>
    </row>
    <row r="739" spans="2:3">
      <c r="B739">
        <v>2003018</v>
      </c>
      <c r="C739" t="s">
        <v>9754</v>
      </c>
    </row>
    <row r="740" spans="2:3">
      <c r="B740">
        <v>2003014</v>
      </c>
      <c r="C740" t="s">
        <v>9755</v>
      </c>
    </row>
    <row r="741" spans="2:3">
      <c r="B741">
        <v>2003006</v>
      </c>
      <c r="C741" t="s">
        <v>9756</v>
      </c>
    </row>
    <row r="742" spans="2:3">
      <c r="B742">
        <v>2006027</v>
      </c>
      <c r="C742" t="s">
        <v>9757</v>
      </c>
    </row>
    <row r="743" spans="2:3">
      <c r="B743">
        <v>2007004</v>
      </c>
      <c r="C743" t="s">
        <v>9758</v>
      </c>
    </row>
    <row r="744" spans="2:3">
      <c r="B744">
        <v>2007005</v>
      </c>
      <c r="C744" t="s">
        <v>9759</v>
      </c>
    </row>
    <row r="745" spans="2:3">
      <c r="B745">
        <v>2008030</v>
      </c>
      <c r="C745" t="s">
        <v>9760</v>
      </c>
    </row>
    <row r="746" spans="2:3">
      <c r="B746">
        <v>2008031</v>
      </c>
      <c r="C746" t="s">
        <v>9761</v>
      </c>
    </row>
    <row r="747" spans="2:3">
      <c r="B747">
        <v>2008034</v>
      </c>
      <c r="C747" t="s">
        <v>9762</v>
      </c>
    </row>
    <row r="748" spans="2:3">
      <c r="B748">
        <v>2008037</v>
      </c>
      <c r="C748" t="s">
        <v>9763</v>
      </c>
    </row>
    <row r="749" spans="2:3">
      <c r="B749">
        <v>2008039</v>
      </c>
      <c r="C749" t="s">
        <v>9764</v>
      </c>
    </row>
    <row r="750" spans="2:3">
      <c r="B750">
        <v>2008043</v>
      </c>
      <c r="C750" t="s">
        <v>9765</v>
      </c>
    </row>
    <row r="751" spans="2:3">
      <c r="B751">
        <v>2008045</v>
      </c>
      <c r="C751" t="s">
        <v>9766</v>
      </c>
    </row>
    <row r="752" spans="2:3">
      <c r="B752">
        <v>2008046</v>
      </c>
      <c r="C752" t="s">
        <v>9767</v>
      </c>
    </row>
    <row r="753" spans="2:3">
      <c r="B753">
        <v>2008049</v>
      </c>
      <c r="C753" t="s">
        <v>9768</v>
      </c>
    </row>
    <row r="754" spans="2:3">
      <c r="B754">
        <v>2008050</v>
      </c>
      <c r="C754" t="s">
        <v>9769</v>
      </c>
    </row>
    <row r="755" spans="2:3">
      <c r="B755">
        <v>2008051</v>
      </c>
      <c r="C755" t="s">
        <v>9770</v>
      </c>
    </row>
    <row r="756" spans="2:3">
      <c r="B756">
        <v>2008054</v>
      </c>
      <c r="C756" t="s">
        <v>9771</v>
      </c>
    </row>
    <row r="757" spans="2:3">
      <c r="B757">
        <v>2008055</v>
      </c>
      <c r="C757" t="s">
        <v>9772</v>
      </c>
    </row>
    <row r="758" spans="2:3">
      <c r="B758">
        <v>1981062</v>
      </c>
      <c r="C758" t="s">
        <v>9773</v>
      </c>
    </row>
    <row r="759" spans="2:3">
      <c r="B759">
        <v>2009010</v>
      </c>
      <c r="C759" t="s">
        <v>9774</v>
      </c>
    </row>
    <row r="760" spans="2:3">
      <c r="B760">
        <v>2008059</v>
      </c>
      <c r="C760" t="s">
        <v>9775</v>
      </c>
    </row>
    <row r="761" spans="2:3">
      <c r="B761">
        <v>2008061</v>
      </c>
      <c r="C761" t="s">
        <v>9776</v>
      </c>
    </row>
    <row r="762" spans="2:3">
      <c r="B762">
        <v>2008063</v>
      </c>
      <c r="C762" t="s">
        <v>9777</v>
      </c>
    </row>
    <row r="763" spans="2:3">
      <c r="B763">
        <v>2008067</v>
      </c>
      <c r="C763" t="s">
        <v>9778</v>
      </c>
    </row>
    <row r="764" spans="2:3">
      <c r="B764">
        <v>2008068</v>
      </c>
      <c r="C764" t="s">
        <v>9779</v>
      </c>
    </row>
    <row r="765" spans="2:3">
      <c r="B765">
        <v>2008036</v>
      </c>
      <c r="C765" t="s">
        <v>9780</v>
      </c>
    </row>
    <row r="766" spans="2:3">
      <c r="B766">
        <v>2008052</v>
      </c>
      <c r="C766" t="s">
        <v>9781</v>
      </c>
    </row>
    <row r="767" spans="2:3">
      <c r="B767">
        <v>2008062</v>
      </c>
      <c r="C767" t="s">
        <v>9782</v>
      </c>
    </row>
    <row r="768" spans="2:3">
      <c r="B768">
        <v>2008065</v>
      </c>
      <c r="C768" t="s">
        <v>9504</v>
      </c>
    </row>
    <row r="769" spans="2:3">
      <c r="B769">
        <v>2008038</v>
      </c>
      <c r="C769" t="s">
        <v>9783</v>
      </c>
    </row>
    <row r="770" spans="2:3">
      <c r="B770">
        <v>2008042</v>
      </c>
      <c r="C770" t="s">
        <v>9784</v>
      </c>
    </row>
    <row r="771" spans="2:3">
      <c r="B771">
        <v>2008032</v>
      </c>
      <c r="C771" t="s">
        <v>9785</v>
      </c>
    </row>
    <row r="772" spans="2:3">
      <c r="B772">
        <v>2008033</v>
      </c>
      <c r="C772" t="s">
        <v>9786</v>
      </c>
    </row>
    <row r="773" spans="2:3">
      <c r="B773">
        <v>2008047</v>
      </c>
      <c r="C773" t="s">
        <v>9787</v>
      </c>
    </row>
    <row r="774" spans="2:3">
      <c r="B774">
        <v>2008048</v>
      </c>
      <c r="C774" t="s">
        <v>9788</v>
      </c>
    </row>
    <row r="775" spans="2:3">
      <c r="B775">
        <v>2008053</v>
      </c>
      <c r="C775" t="s">
        <v>9789</v>
      </c>
    </row>
    <row r="776" spans="2:3">
      <c r="B776">
        <v>2008060</v>
      </c>
      <c r="C776" t="s">
        <v>9790</v>
      </c>
    </row>
    <row r="777" spans="2:3">
      <c r="B777">
        <v>2008066</v>
      </c>
      <c r="C777" t="s">
        <v>9791</v>
      </c>
    </row>
    <row r="778" spans="2:3">
      <c r="B778">
        <v>2008040</v>
      </c>
      <c r="C778" t="s">
        <v>9792</v>
      </c>
    </row>
    <row r="779" spans="2:3">
      <c r="B779">
        <v>2008028</v>
      </c>
      <c r="C779" t="s">
        <v>9793</v>
      </c>
    </row>
    <row r="780" spans="2:3">
      <c r="B780">
        <v>2008041</v>
      </c>
      <c r="C780" t="s">
        <v>8879</v>
      </c>
    </row>
    <row r="781" spans="2:3">
      <c r="B781">
        <v>2008064</v>
      </c>
      <c r="C781" t="s">
        <v>9794</v>
      </c>
    </row>
    <row r="782" spans="2:3">
      <c r="B782">
        <v>2008071</v>
      </c>
      <c r="C782" t="s">
        <v>9795</v>
      </c>
    </row>
    <row r="783" spans="2:3">
      <c r="B783">
        <v>2008072</v>
      </c>
      <c r="C783" t="s">
        <v>9796</v>
      </c>
    </row>
    <row r="784" spans="2:3">
      <c r="B784">
        <v>2008075</v>
      </c>
      <c r="C784" t="s">
        <v>9427</v>
      </c>
    </row>
    <row r="785" spans="2:3">
      <c r="B785">
        <v>2011004</v>
      </c>
      <c r="C785" t="s">
        <v>9797</v>
      </c>
    </row>
    <row r="786" spans="2:3">
      <c r="B786">
        <v>2011033</v>
      </c>
      <c r="C786" t="s">
        <v>9798</v>
      </c>
    </row>
    <row r="787" spans="2:3">
      <c r="B787">
        <v>2011043</v>
      </c>
      <c r="C787" t="s">
        <v>9799</v>
      </c>
    </row>
    <row r="788" spans="2:3">
      <c r="B788">
        <v>2008077</v>
      </c>
      <c r="C788" t="s">
        <v>9143</v>
      </c>
    </row>
    <row r="789" spans="2:3">
      <c r="B789">
        <v>2008078</v>
      </c>
      <c r="C789" t="s">
        <v>9800</v>
      </c>
    </row>
    <row r="790" spans="2:3">
      <c r="B790">
        <v>2008079</v>
      </c>
      <c r="C790" t="s">
        <v>9800</v>
      </c>
    </row>
    <row r="791" spans="2:3">
      <c r="B791">
        <v>2008081</v>
      </c>
      <c r="C791" t="s">
        <v>9801</v>
      </c>
    </row>
    <row r="792" spans="2:3">
      <c r="B792">
        <v>2008083</v>
      </c>
      <c r="C792" t="s">
        <v>9802</v>
      </c>
    </row>
    <row r="793" spans="2:3">
      <c r="B793">
        <v>2008084</v>
      </c>
      <c r="C793" t="s">
        <v>9803</v>
      </c>
    </row>
    <row r="794" spans="2:3">
      <c r="B794">
        <v>2008085</v>
      </c>
      <c r="C794" t="s">
        <v>9804</v>
      </c>
    </row>
    <row r="795" spans="2:3">
      <c r="B795">
        <v>2008086</v>
      </c>
      <c r="C795" t="s">
        <v>9805</v>
      </c>
    </row>
    <row r="796" spans="2:3">
      <c r="B796">
        <v>2008087</v>
      </c>
      <c r="C796" t="s">
        <v>9806</v>
      </c>
    </row>
    <row r="797" spans="2:3">
      <c r="B797">
        <v>2008090</v>
      </c>
      <c r="C797" t="s">
        <v>9807</v>
      </c>
    </row>
    <row r="798" spans="2:3">
      <c r="B798">
        <v>2008091</v>
      </c>
      <c r="C798" t="s">
        <v>9808</v>
      </c>
    </row>
    <row r="799" spans="2:3">
      <c r="B799">
        <v>2008076</v>
      </c>
      <c r="C799" t="s">
        <v>9599</v>
      </c>
    </row>
    <row r="800" spans="2:3">
      <c r="B800">
        <v>2008080</v>
      </c>
      <c r="C800" t="s">
        <v>9774</v>
      </c>
    </row>
    <row r="801" spans="2:3">
      <c r="B801">
        <v>2008088</v>
      </c>
      <c r="C801" t="s">
        <v>9809</v>
      </c>
    </row>
    <row r="802" spans="2:3">
      <c r="B802">
        <v>2008089</v>
      </c>
      <c r="C802" t="s">
        <v>9810</v>
      </c>
    </row>
    <row r="803" spans="2:3">
      <c r="B803">
        <v>2007026</v>
      </c>
      <c r="C803" t="s">
        <v>9811</v>
      </c>
    </row>
    <row r="804" spans="2:3">
      <c r="B804">
        <v>2007038</v>
      </c>
      <c r="C804" t="s">
        <v>9812</v>
      </c>
    </row>
    <row r="805" spans="2:3">
      <c r="B805">
        <v>1984092</v>
      </c>
      <c r="C805" t="s">
        <v>9813</v>
      </c>
    </row>
    <row r="806" spans="2:3">
      <c r="B806">
        <v>1988047</v>
      </c>
      <c r="C806" t="s">
        <v>9814</v>
      </c>
    </row>
    <row r="807" spans="2:3">
      <c r="B807">
        <v>2011003</v>
      </c>
      <c r="C807" t="s">
        <v>9815</v>
      </c>
    </row>
    <row r="808" spans="2:3">
      <c r="B808">
        <v>2011042</v>
      </c>
      <c r="C808" t="s">
        <v>9816</v>
      </c>
    </row>
    <row r="809" spans="2:3">
      <c r="B809">
        <v>2012028</v>
      </c>
      <c r="C809" t="s">
        <v>9817</v>
      </c>
    </row>
    <row r="810" spans="2:3">
      <c r="B810">
        <v>2012031</v>
      </c>
      <c r="C810" t="s">
        <v>9818</v>
      </c>
    </row>
    <row r="811" spans="2:3">
      <c r="B811">
        <v>2012036</v>
      </c>
      <c r="C811" t="s">
        <v>9819</v>
      </c>
    </row>
    <row r="812" spans="2:3">
      <c r="B812">
        <v>1994108</v>
      </c>
      <c r="C812" t="s">
        <v>9820</v>
      </c>
    </row>
    <row r="813" spans="2:3">
      <c r="B813">
        <v>1996076</v>
      </c>
      <c r="C813" t="s">
        <v>9821</v>
      </c>
    </row>
    <row r="814" spans="2:3">
      <c r="B814">
        <v>1999039</v>
      </c>
      <c r="C814" t="s">
        <v>9822</v>
      </c>
    </row>
    <row r="815" spans="2:3">
      <c r="B815">
        <v>2000096</v>
      </c>
      <c r="C815" t="s">
        <v>9823</v>
      </c>
    </row>
    <row r="816" spans="2:3">
      <c r="B816">
        <v>2001111</v>
      </c>
      <c r="C816" t="s">
        <v>9824</v>
      </c>
    </row>
    <row r="817" spans="2:3">
      <c r="B817">
        <v>2001118</v>
      </c>
      <c r="C817" t="s">
        <v>9825</v>
      </c>
    </row>
    <row r="818" spans="2:3">
      <c r="B818">
        <v>2007103</v>
      </c>
      <c r="C818" t="s">
        <v>9826</v>
      </c>
    </row>
    <row r="819" spans="2:3">
      <c r="B819">
        <v>2007105</v>
      </c>
      <c r="C819" t="s">
        <v>9827</v>
      </c>
    </row>
    <row r="820" spans="2:3">
      <c r="B820">
        <v>2007056</v>
      </c>
      <c r="C820" t="s">
        <v>9828</v>
      </c>
    </row>
    <row r="821" spans="2:3">
      <c r="B821">
        <v>2007073</v>
      </c>
      <c r="C821" t="s">
        <v>9829</v>
      </c>
    </row>
    <row r="822" spans="2:3">
      <c r="B822">
        <v>2007104</v>
      </c>
      <c r="C822" t="s">
        <v>9830</v>
      </c>
    </row>
    <row r="823" spans="2:3">
      <c r="B823">
        <v>2007068</v>
      </c>
      <c r="C823" t="s">
        <v>9831</v>
      </c>
    </row>
    <row r="824" spans="2:3">
      <c r="B824">
        <v>2007071</v>
      </c>
      <c r="C824" t="s">
        <v>9832</v>
      </c>
    </row>
    <row r="825" spans="2:3">
      <c r="B825">
        <v>2002033</v>
      </c>
      <c r="C825" t="s">
        <v>9833</v>
      </c>
    </row>
    <row r="826" spans="2:3">
      <c r="B826">
        <v>2003007</v>
      </c>
      <c r="C826" t="s">
        <v>9834</v>
      </c>
    </row>
    <row r="827" spans="2:3">
      <c r="B827">
        <v>2004026</v>
      </c>
      <c r="C827" t="s">
        <v>9835</v>
      </c>
    </row>
    <row r="828" spans="2:3">
      <c r="B828">
        <v>2007020</v>
      </c>
      <c r="C828" t="s">
        <v>9836</v>
      </c>
    </row>
    <row r="829" spans="2:3">
      <c r="B829">
        <v>2007032</v>
      </c>
      <c r="C829" t="s">
        <v>9837</v>
      </c>
    </row>
    <row r="830" spans="2:3">
      <c r="B830">
        <v>2007044</v>
      </c>
      <c r="C830" t="s">
        <v>9838</v>
      </c>
    </row>
    <row r="831" spans="2:3">
      <c r="B831">
        <v>2008035</v>
      </c>
      <c r="C831" t="s">
        <v>9839</v>
      </c>
    </row>
    <row r="832" spans="2:3">
      <c r="B832">
        <v>2011002</v>
      </c>
      <c r="C832" t="s">
        <v>9840</v>
      </c>
    </row>
    <row r="833" spans="2:3">
      <c r="B833">
        <v>2007100</v>
      </c>
      <c r="C833" t="s">
        <v>9841</v>
      </c>
    </row>
    <row r="834" spans="2:3">
      <c r="B834">
        <v>2007106</v>
      </c>
      <c r="C834" t="s">
        <v>9842</v>
      </c>
    </row>
    <row r="835" spans="2:3">
      <c r="B835">
        <v>2007075</v>
      </c>
      <c r="C835" t="s">
        <v>9843</v>
      </c>
    </row>
    <row r="836" spans="2:3">
      <c r="B836">
        <v>2007076</v>
      </c>
      <c r="C836" t="s">
        <v>9844</v>
      </c>
    </row>
    <row r="837" spans="2:3">
      <c r="B837">
        <v>2007085</v>
      </c>
      <c r="C837" t="s">
        <v>9845</v>
      </c>
    </row>
    <row r="838" spans="2:3">
      <c r="B838">
        <v>2007090</v>
      </c>
      <c r="C838" t="s">
        <v>9658</v>
      </c>
    </row>
    <row r="839" spans="2:3">
      <c r="B839">
        <v>2007107</v>
      </c>
      <c r="C839" t="s">
        <v>9846</v>
      </c>
    </row>
    <row r="840" spans="2:3">
      <c r="B840">
        <v>2007092</v>
      </c>
      <c r="C840" t="s">
        <v>9847</v>
      </c>
    </row>
    <row r="841" spans="2:3">
      <c r="B841">
        <v>2007094</v>
      </c>
      <c r="C841" t="s">
        <v>9848</v>
      </c>
    </row>
    <row r="842" spans="2:3">
      <c r="B842">
        <v>2008002</v>
      </c>
      <c r="C842" t="s">
        <v>9849</v>
      </c>
    </row>
    <row r="843" spans="2:3">
      <c r="B843">
        <v>2008004</v>
      </c>
      <c r="C843" t="s">
        <v>9850</v>
      </c>
    </row>
    <row r="844" spans="2:3">
      <c r="B844">
        <v>2008005</v>
      </c>
      <c r="C844" t="s">
        <v>9851</v>
      </c>
    </row>
    <row r="845" spans="2:3">
      <c r="B845">
        <v>2008006</v>
      </c>
      <c r="C845" t="s">
        <v>9852</v>
      </c>
    </row>
    <row r="846" spans="2:3">
      <c r="B846">
        <v>2008007</v>
      </c>
      <c r="C846" t="s">
        <v>9853</v>
      </c>
    </row>
    <row r="847" spans="2:3">
      <c r="B847">
        <v>2008008</v>
      </c>
      <c r="C847" t="s">
        <v>9854</v>
      </c>
    </row>
    <row r="848" spans="2:3">
      <c r="B848">
        <v>2008009</v>
      </c>
      <c r="C848" t="s">
        <v>9855</v>
      </c>
    </row>
    <row r="849" spans="2:3">
      <c r="B849">
        <v>2008010</v>
      </c>
      <c r="C849" t="s">
        <v>9856</v>
      </c>
    </row>
    <row r="850" spans="2:3">
      <c r="B850">
        <v>2008012</v>
      </c>
      <c r="C850" t="s">
        <v>9857</v>
      </c>
    </row>
    <row r="851" spans="2:3">
      <c r="B851">
        <v>2008014</v>
      </c>
      <c r="C851" t="s">
        <v>9858</v>
      </c>
    </row>
    <row r="852" spans="2:3">
      <c r="B852">
        <v>2008016</v>
      </c>
      <c r="C852" t="s">
        <v>9859</v>
      </c>
    </row>
    <row r="853" spans="2:3">
      <c r="B853">
        <v>2008018</v>
      </c>
      <c r="C853" t="s">
        <v>9860</v>
      </c>
    </row>
    <row r="854" spans="2:3">
      <c r="B854">
        <v>2008015</v>
      </c>
      <c r="C854" t="s">
        <v>9861</v>
      </c>
    </row>
    <row r="855" spans="2:3">
      <c r="B855">
        <v>2008013</v>
      </c>
      <c r="C855" t="s">
        <v>9862</v>
      </c>
    </row>
    <row r="856" spans="2:3">
      <c r="B856">
        <v>2008017</v>
      </c>
      <c r="C856" t="s">
        <v>9863</v>
      </c>
    </row>
    <row r="857" spans="2:3">
      <c r="B857">
        <v>2009006</v>
      </c>
      <c r="C857" t="s">
        <v>9864</v>
      </c>
    </row>
    <row r="858" spans="2:3">
      <c r="B858">
        <v>2011045</v>
      </c>
      <c r="C858" t="s">
        <v>9865</v>
      </c>
    </row>
    <row r="859" spans="2:3">
      <c r="B859">
        <v>2011053</v>
      </c>
      <c r="C859" t="s">
        <v>9866</v>
      </c>
    </row>
    <row r="860" spans="2:3">
      <c r="B860">
        <v>2008023</v>
      </c>
      <c r="C860" t="s">
        <v>9867</v>
      </c>
    </row>
    <row r="861" spans="2:3">
      <c r="B861">
        <v>2008024</v>
      </c>
      <c r="C861" t="s">
        <v>9868</v>
      </c>
    </row>
    <row r="862" spans="2:3">
      <c r="B862">
        <v>2008025</v>
      </c>
      <c r="C862" t="s">
        <v>9869</v>
      </c>
    </row>
    <row r="863" spans="2:3">
      <c r="B863">
        <v>2008026</v>
      </c>
      <c r="C863" t="s">
        <v>9870</v>
      </c>
    </row>
    <row r="864" spans="2:3">
      <c r="B864">
        <v>2008029</v>
      </c>
      <c r="C864" t="s">
        <v>9871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용어관리</vt:lpstr>
      <vt:lpstr>작업목록</vt:lpstr>
      <vt:lpstr>TB</vt:lpstr>
      <vt:lpstr>HMA_TB</vt:lpstr>
      <vt:lpstr>PM_TB</vt:lpstr>
      <vt:lpstr>공통코드(마스터)</vt:lpstr>
      <vt:lpstr>공통코드(디테일)</vt:lpstr>
      <vt:lpstr>직급코드표</vt:lpstr>
      <vt:lpstr>작업</vt:lpstr>
      <vt:lpstr>메뉴얼목록</vt:lpstr>
      <vt:lpstr>holidays</vt:lpstr>
      <vt:lpstr>dic</vt:lpstr>
      <vt:lpstr>템프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cp:lastPrinted>2014-01-08T08:10:53Z</cp:lastPrinted>
  <dcterms:created xsi:type="dcterms:W3CDTF">2013-07-29T07:59:53Z</dcterms:created>
  <dcterms:modified xsi:type="dcterms:W3CDTF">2014-02-27T04:52:48Z</dcterms:modified>
</cp:coreProperties>
</file>